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481b3127ff98f7e/Focus CFO/AI/DNA Model/webapp/"/>
    </mc:Choice>
  </mc:AlternateContent>
  <xr:revisionPtr revIDLastSave="1" documentId="8_{CBD7D887-DC31-4A3B-AA3E-2F948AF1B039}" xr6:coauthVersionLast="47" xr6:coauthVersionMax="47" xr10:uidLastSave="{A43F911C-5D9F-4424-93B9-2CE7057D4AD9}"/>
  <bookViews>
    <workbookView xWindow="-64920" yWindow="90" windowWidth="29040" windowHeight="15720" activeTab="2" xr2:uid="{6B7E54E3-5F04-4C8E-B138-DC6789A38605}"/>
  </bookViews>
  <sheets>
    <sheet name="Dashboard_Control" sheetId="12" r:id="rId1"/>
    <sheet name="Notes" sheetId="11" r:id="rId2"/>
    <sheet name="Source_Budget" sheetId="10" r:id="rId3"/>
    <sheet name="Source_BS" sheetId="9" r:id="rId4"/>
    <sheet name="Source_PL" sheetId="8" r:id="rId5"/>
    <sheet name="_TPL_Forecast_Summary" sheetId="7" r:id="rId6"/>
    <sheet name="_TPL_Forecast" sheetId="6" r:id="rId7"/>
    <sheet name="_TPL_CF" sheetId="5" r:id="rId8"/>
    <sheet name="_TPL_BS" sheetId="4" r:id="rId9"/>
    <sheet name="_TPL_PL" sheetId="3" r:id="rId10"/>
    <sheet name="Menu" sheetId="2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7" l="1"/>
  <c r="E5" i="7" s="1"/>
  <c r="H5" i="7"/>
  <c r="D6" i="7"/>
  <c r="E6" i="7" s="1"/>
  <c r="H6" i="7"/>
  <c r="D7" i="7"/>
  <c r="E7" i="7"/>
  <c r="H7" i="7"/>
  <c r="D8" i="7"/>
  <c r="E8" i="7" s="1"/>
  <c r="H8" i="7"/>
  <c r="D9" i="7"/>
  <c r="E9" i="7" s="1"/>
  <c r="H9" i="7"/>
  <c r="D10" i="7"/>
  <c r="E10" i="7" s="1"/>
  <c r="H10" i="7"/>
  <c r="D11" i="7"/>
  <c r="E11" i="7" s="1"/>
  <c r="H11" i="7"/>
  <c r="D12" i="7"/>
  <c r="E12" i="7" s="1"/>
  <c r="H12" i="7"/>
  <c r="D13" i="7"/>
  <c r="E13" i="7" s="1"/>
  <c r="H13" i="7"/>
  <c r="D14" i="7"/>
  <c r="E14" i="7" s="1"/>
  <c r="H14" i="7"/>
  <c r="D15" i="7"/>
  <c r="E15" i="7" s="1"/>
  <c r="H15" i="7"/>
  <c r="D16" i="7"/>
  <c r="E16" i="7" s="1"/>
  <c r="H16" i="7"/>
  <c r="D17" i="7"/>
  <c r="E17" i="7" s="1"/>
  <c r="H17" i="7"/>
  <c r="D18" i="7"/>
  <c r="E18" i="7"/>
  <c r="H18" i="7"/>
  <c r="D19" i="7"/>
  <c r="E19" i="7"/>
  <c r="H19" i="7"/>
  <c r="D20" i="7"/>
  <c r="E20" i="7"/>
  <c r="H20" i="7"/>
  <c r="D21" i="7"/>
  <c r="E21" i="7" s="1"/>
  <c r="H21" i="7"/>
  <c r="D22" i="7"/>
  <c r="E22" i="7" s="1"/>
  <c r="H22" i="7"/>
  <c r="D23" i="7"/>
  <c r="E23" i="7" s="1"/>
  <c r="H23" i="7"/>
  <c r="D24" i="7"/>
  <c r="E24" i="7"/>
  <c r="H24" i="7"/>
  <c r="D25" i="7"/>
  <c r="E25" i="7" s="1"/>
  <c r="H25" i="7"/>
  <c r="D26" i="7"/>
  <c r="E26" i="7"/>
  <c r="H26" i="7"/>
  <c r="D27" i="7"/>
  <c r="E27" i="7"/>
  <c r="H27" i="7"/>
  <c r="D28" i="7"/>
  <c r="E28" i="7"/>
  <c r="H28" i="7"/>
  <c r="D29" i="7"/>
  <c r="E29" i="7" s="1"/>
  <c r="H29" i="7"/>
  <c r="D30" i="7"/>
  <c r="E30" i="7"/>
  <c r="H30" i="7"/>
  <c r="D31" i="7"/>
  <c r="E31" i="7" s="1"/>
  <c r="H31" i="7"/>
  <c r="D32" i="7"/>
  <c r="E32" i="7"/>
  <c r="H32" i="7"/>
  <c r="D33" i="7"/>
  <c r="E33" i="7" s="1"/>
  <c r="H33" i="7"/>
  <c r="D34" i="7"/>
  <c r="E34" i="7"/>
  <c r="H34" i="7"/>
  <c r="D35" i="7"/>
  <c r="E35" i="7"/>
  <c r="H35" i="7"/>
  <c r="D36" i="7"/>
  <c r="E36" i="7"/>
  <c r="H36" i="7"/>
  <c r="D37" i="7"/>
  <c r="E37" i="7" s="1"/>
  <c r="H37" i="7"/>
  <c r="D38" i="7"/>
  <c r="E38" i="7"/>
  <c r="H38" i="7"/>
  <c r="D39" i="7"/>
  <c r="E39" i="7" s="1"/>
  <c r="H39" i="7"/>
  <c r="D40" i="7"/>
  <c r="E40" i="7"/>
  <c r="H40" i="7"/>
  <c r="D41" i="7"/>
  <c r="E41" i="7" s="1"/>
  <c r="H41" i="7"/>
  <c r="D42" i="7"/>
  <c r="E42" i="7"/>
  <c r="H42" i="7"/>
  <c r="D43" i="7"/>
  <c r="E43" i="7"/>
  <c r="H43" i="7"/>
  <c r="D44" i="7"/>
  <c r="E44" i="7"/>
  <c r="H44" i="7"/>
  <c r="D45" i="7"/>
  <c r="E45" i="7" s="1"/>
  <c r="H45" i="7"/>
  <c r="D46" i="7"/>
  <c r="E46" i="7" s="1"/>
  <c r="H46" i="7"/>
  <c r="D47" i="7"/>
  <c r="E47" i="7" s="1"/>
  <c r="H47" i="7"/>
  <c r="D48" i="7"/>
  <c r="E48" i="7" s="1"/>
  <c r="H48" i="7"/>
  <c r="D49" i="7"/>
  <c r="E49" i="7" s="1"/>
  <c r="H49" i="7"/>
  <c r="D50" i="7"/>
  <c r="E50" i="7"/>
  <c r="H50" i="7"/>
  <c r="D51" i="7"/>
  <c r="E51" i="7"/>
  <c r="H51" i="7"/>
  <c r="D52" i="7"/>
  <c r="E52" i="7"/>
  <c r="H52" i="7"/>
  <c r="D53" i="7"/>
  <c r="E53" i="7" s="1"/>
  <c r="H53" i="7"/>
  <c r="D54" i="7"/>
  <c r="E54" i="7" s="1"/>
  <c r="H54" i="7"/>
  <c r="D6" i="6"/>
  <c r="E6" i="6" s="1"/>
  <c r="I6" i="6"/>
  <c r="J6" i="6" s="1"/>
  <c r="N6" i="6"/>
  <c r="O6" i="6"/>
  <c r="S6" i="6"/>
  <c r="T6" i="6" s="1"/>
  <c r="X6" i="6"/>
  <c r="Y6" i="6" s="1"/>
  <c r="AC6" i="6"/>
  <c r="AD6" i="6" s="1"/>
  <c r="AH6" i="6"/>
  <c r="AI6" i="6"/>
  <c r="AM6" i="6"/>
  <c r="AN6" i="6" s="1"/>
  <c r="AR6" i="6"/>
  <c r="AS6" i="6" s="1"/>
  <c r="AW6" i="6"/>
  <c r="AX6" i="6" s="1"/>
  <c r="BB6" i="6"/>
  <c r="BC6" i="6"/>
  <c r="BG6" i="6"/>
  <c r="BH6" i="6" s="1"/>
  <c r="D7" i="6"/>
  <c r="E7" i="6" s="1"/>
  <c r="I7" i="6"/>
  <c r="J7" i="6" s="1"/>
  <c r="N7" i="6"/>
  <c r="O7" i="6"/>
  <c r="S7" i="6"/>
  <c r="T7" i="6" s="1"/>
  <c r="X7" i="6"/>
  <c r="Y7" i="6" s="1"/>
  <c r="AC7" i="6"/>
  <c r="AD7" i="6" s="1"/>
  <c r="AH7" i="6"/>
  <c r="AI7" i="6"/>
  <c r="AM7" i="6"/>
  <c r="AN7" i="6" s="1"/>
  <c r="AR7" i="6"/>
  <c r="AS7" i="6" s="1"/>
  <c r="AW7" i="6"/>
  <c r="AX7" i="6" s="1"/>
  <c r="BB7" i="6"/>
  <c r="BC7" i="6"/>
  <c r="BG7" i="6"/>
  <c r="BH7" i="6" s="1"/>
  <c r="D8" i="6"/>
  <c r="E8" i="6" s="1"/>
  <c r="I8" i="6"/>
  <c r="J8" i="6" s="1"/>
  <c r="N8" i="6"/>
  <c r="O8" i="6"/>
  <c r="S8" i="6"/>
  <c r="T8" i="6"/>
  <c r="X8" i="6"/>
  <c r="Y8" i="6" s="1"/>
  <c r="AC8" i="6"/>
  <c r="AD8" i="6" s="1"/>
  <c r="AH8" i="6"/>
  <c r="AI8" i="6"/>
  <c r="AM8" i="6"/>
  <c r="AN8" i="6"/>
  <c r="AR8" i="6"/>
  <c r="AS8" i="6" s="1"/>
  <c r="AW8" i="6"/>
  <c r="AX8" i="6" s="1"/>
  <c r="BB8" i="6"/>
  <c r="BC8" i="6"/>
  <c r="BG8" i="6"/>
  <c r="BH8" i="6" s="1"/>
  <c r="D9" i="6"/>
  <c r="E9" i="6" s="1"/>
  <c r="I9" i="6"/>
  <c r="J9" i="6" s="1"/>
  <c r="N9" i="6"/>
  <c r="O9" i="6"/>
  <c r="S9" i="6"/>
  <c r="T9" i="6"/>
  <c r="X9" i="6"/>
  <c r="Y9" i="6" s="1"/>
  <c r="AC9" i="6"/>
  <c r="AD9" i="6" s="1"/>
  <c r="AH9" i="6"/>
  <c r="AI9" i="6"/>
  <c r="AM9" i="6"/>
  <c r="AN9" i="6"/>
  <c r="AR9" i="6"/>
  <c r="AS9" i="6" s="1"/>
  <c r="AW9" i="6"/>
  <c r="AX9" i="6" s="1"/>
  <c r="BB9" i="6"/>
  <c r="BC9" i="6"/>
  <c r="BG9" i="6"/>
  <c r="BH9" i="6"/>
  <c r="D10" i="6"/>
  <c r="E10" i="6" s="1"/>
  <c r="I10" i="6"/>
  <c r="J10" i="6" s="1"/>
  <c r="N10" i="6"/>
  <c r="O10" i="6"/>
  <c r="S10" i="6"/>
  <c r="T10" i="6" s="1"/>
  <c r="X10" i="6"/>
  <c r="Y10" i="6" s="1"/>
  <c r="AC10" i="6"/>
  <c r="AD10" i="6" s="1"/>
  <c r="AH10" i="6"/>
  <c r="AI10" i="6"/>
  <c r="AM10" i="6"/>
  <c r="AN10" i="6"/>
  <c r="AR10" i="6"/>
  <c r="AS10" i="6" s="1"/>
  <c r="AW10" i="6"/>
  <c r="AX10" i="6" s="1"/>
  <c r="BB10" i="6"/>
  <c r="BC10" i="6"/>
  <c r="BG10" i="6"/>
  <c r="BH10" i="6"/>
  <c r="D11" i="6"/>
  <c r="E11" i="6" s="1"/>
  <c r="I11" i="6"/>
  <c r="J11" i="6" s="1"/>
  <c r="N11" i="6"/>
  <c r="O11" i="6"/>
  <c r="S11" i="6"/>
  <c r="T11" i="6"/>
  <c r="X11" i="6"/>
  <c r="Y11" i="6" s="1"/>
  <c r="AC11" i="6"/>
  <c r="AD11" i="6" s="1"/>
  <c r="AH11" i="6"/>
  <c r="AI11" i="6"/>
  <c r="AM11" i="6"/>
  <c r="AN11" i="6" s="1"/>
  <c r="AR11" i="6"/>
  <c r="AS11" i="6" s="1"/>
  <c r="AW11" i="6"/>
  <c r="AX11" i="6" s="1"/>
  <c r="BB11" i="6"/>
  <c r="BC11" i="6"/>
  <c r="BG11" i="6"/>
  <c r="BH11" i="6" s="1"/>
  <c r="D12" i="6"/>
  <c r="E12" i="6" s="1"/>
  <c r="I12" i="6"/>
  <c r="J12" i="6" s="1"/>
  <c r="N12" i="6"/>
  <c r="O12" i="6"/>
  <c r="S12" i="6"/>
  <c r="T12" i="6"/>
  <c r="X12" i="6"/>
  <c r="Y12" i="6" s="1"/>
  <c r="AC12" i="6"/>
  <c r="AD12" i="6" s="1"/>
  <c r="AH12" i="6"/>
  <c r="AI12" i="6"/>
  <c r="AM12" i="6"/>
  <c r="AN12" i="6"/>
  <c r="AR12" i="6"/>
  <c r="AS12" i="6" s="1"/>
  <c r="AW12" i="6"/>
  <c r="AX12" i="6" s="1"/>
  <c r="BB12" i="6"/>
  <c r="BC12" i="6"/>
  <c r="BG12" i="6"/>
  <c r="BH12" i="6" s="1"/>
  <c r="D13" i="6"/>
  <c r="E13" i="6" s="1"/>
  <c r="I13" i="6"/>
  <c r="J13" i="6" s="1"/>
  <c r="N13" i="6"/>
  <c r="O13" i="6"/>
  <c r="S13" i="6"/>
  <c r="T13" i="6"/>
  <c r="X13" i="6"/>
  <c r="Y13" i="6" s="1"/>
  <c r="AC13" i="6"/>
  <c r="AD13" i="6" s="1"/>
  <c r="AH13" i="6"/>
  <c r="AI13" i="6"/>
  <c r="AM13" i="6"/>
  <c r="AN13" i="6"/>
  <c r="AR13" i="6"/>
  <c r="AS13" i="6" s="1"/>
  <c r="AW13" i="6"/>
  <c r="AX13" i="6" s="1"/>
  <c r="BB13" i="6"/>
  <c r="BC13" i="6"/>
  <c r="BG13" i="6"/>
  <c r="BH13" i="6"/>
  <c r="D14" i="6"/>
  <c r="E14" i="6" s="1"/>
  <c r="I14" i="6"/>
  <c r="J14" i="6" s="1"/>
  <c r="N14" i="6"/>
  <c r="O14" i="6"/>
  <c r="S14" i="6"/>
  <c r="T14" i="6" s="1"/>
  <c r="X14" i="6"/>
  <c r="Y14" i="6" s="1"/>
  <c r="AC14" i="6"/>
  <c r="AD14" i="6" s="1"/>
  <c r="AH14" i="6"/>
  <c r="AI14" i="6"/>
  <c r="AM14" i="6"/>
  <c r="AN14" i="6" s="1"/>
  <c r="AR14" i="6"/>
  <c r="AS14" i="6" s="1"/>
  <c r="AW14" i="6"/>
  <c r="AX14" i="6" s="1"/>
  <c r="BB14" i="6"/>
  <c r="BC14" i="6"/>
  <c r="BG14" i="6"/>
  <c r="BH14" i="6"/>
  <c r="D15" i="6"/>
  <c r="E15" i="6" s="1"/>
  <c r="I15" i="6"/>
  <c r="J15" i="6" s="1"/>
  <c r="N15" i="6"/>
  <c r="O15" i="6"/>
  <c r="S15" i="6"/>
  <c r="T15" i="6"/>
  <c r="X15" i="6"/>
  <c r="Y15" i="6" s="1"/>
  <c r="AC15" i="6"/>
  <c r="AD15" i="6" s="1"/>
  <c r="AH15" i="6"/>
  <c r="AI15" i="6"/>
  <c r="AM15" i="6"/>
  <c r="AN15" i="6" s="1"/>
  <c r="AR15" i="6"/>
  <c r="AS15" i="6" s="1"/>
  <c r="AW15" i="6"/>
  <c r="AX15" i="6" s="1"/>
  <c r="BB15" i="6"/>
  <c r="BC15" i="6"/>
  <c r="BG15" i="6"/>
  <c r="BH15" i="6"/>
  <c r="D16" i="6"/>
  <c r="E16" i="6" s="1"/>
  <c r="I16" i="6"/>
  <c r="J16" i="6" s="1"/>
  <c r="N16" i="6"/>
  <c r="O16" i="6"/>
  <c r="S16" i="6"/>
  <c r="T16" i="6"/>
  <c r="X16" i="6"/>
  <c r="Y16" i="6" s="1"/>
  <c r="AC16" i="6"/>
  <c r="AD16" i="6" s="1"/>
  <c r="AH16" i="6"/>
  <c r="AI16" i="6"/>
  <c r="AM16" i="6"/>
  <c r="AN16" i="6"/>
  <c r="AR16" i="6"/>
  <c r="AS16" i="6" s="1"/>
  <c r="AW16" i="6"/>
  <c r="AX16" i="6" s="1"/>
  <c r="BB16" i="6"/>
  <c r="BC16" i="6"/>
  <c r="BG16" i="6"/>
  <c r="BH16" i="6" s="1"/>
  <c r="D17" i="6"/>
  <c r="E17" i="6" s="1"/>
  <c r="I17" i="6"/>
  <c r="J17" i="6" s="1"/>
  <c r="N17" i="6"/>
  <c r="O17" i="6"/>
  <c r="S17" i="6"/>
  <c r="T17" i="6"/>
  <c r="X17" i="6"/>
  <c r="Y17" i="6" s="1"/>
  <c r="AC17" i="6"/>
  <c r="AD17" i="6" s="1"/>
  <c r="AH17" i="6"/>
  <c r="AI17" i="6"/>
  <c r="AM17" i="6"/>
  <c r="AN17" i="6"/>
  <c r="AR17" i="6"/>
  <c r="AS17" i="6" s="1"/>
  <c r="AW17" i="6"/>
  <c r="AX17" i="6" s="1"/>
  <c r="BB17" i="6"/>
  <c r="BC17" i="6"/>
  <c r="BG17" i="6"/>
  <c r="BH17" i="6"/>
  <c r="D18" i="6"/>
  <c r="E18" i="6" s="1"/>
  <c r="I18" i="6"/>
  <c r="J18" i="6" s="1"/>
  <c r="N18" i="6"/>
  <c r="O18" i="6"/>
  <c r="S18" i="6"/>
  <c r="T18" i="6" s="1"/>
  <c r="X18" i="6"/>
  <c r="Y18" i="6" s="1"/>
  <c r="AC18" i="6"/>
  <c r="AD18" i="6" s="1"/>
  <c r="AH18" i="6"/>
  <c r="AI18" i="6"/>
  <c r="AM18" i="6"/>
  <c r="AN18" i="6" s="1"/>
  <c r="AR18" i="6"/>
  <c r="AS18" i="6" s="1"/>
  <c r="AW18" i="6"/>
  <c r="AX18" i="6" s="1"/>
  <c r="BB18" i="6"/>
  <c r="BC18" i="6"/>
  <c r="BG18" i="6"/>
  <c r="BH18" i="6"/>
  <c r="D19" i="6"/>
  <c r="E19" i="6" s="1"/>
  <c r="I19" i="6"/>
  <c r="J19" i="6" s="1"/>
  <c r="N19" i="6"/>
  <c r="O19" i="6"/>
  <c r="S19" i="6"/>
  <c r="T19" i="6"/>
  <c r="X19" i="6"/>
  <c r="Y19" i="6" s="1"/>
  <c r="AC19" i="6"/>
  <c r="AD19" i="6" s="1"/>
  <c r="AH19" i="6"/>
  <c r="AI19" i="6"/>
  <c r="AM19" i="6"/>
  <c r="AN19" i="6" s="1"/>
  <c r="AR19" i="6"/>
  <c r="AS19" i="6" s="1"/>
  <c r="AW19" i="6"/>
  <c r="AX19" i="6" s="1"/>
  <c r="BB19" i="6"/>
  <c r="BC19" i="6"/>
  <c r="BG19" i="6"/>
  <c r="BH19" i="6"/>
  <c r="D20" i="6"/>
  <c r="E20" i="6" s="1"/>
  <c r="I20" i="6"/>
  <c r="J20" i="6" s="1"/>
  <c r="N20" i="6"/>
  <c r="O20" i="6"/>
  <c r="S20" i="6"/>
  <c r="T20" i="6"/>
  <c r="X20" i="6"/>
  <c r="Y20" i="6" s="1"/>
  <c r="AC20" i="6"/>
  <c r="AD20" i="6" s="1"/>
  <c r="AH20" i="6"/>
  <c r="AI20" i="6"/>
  <c r="AM20" i="6"/>
  <c r="AN20" i="6"/>
  <c r="AR20" i="6"/>
  <c r="AS20" i="6" s="1"/>
  <c r="AW20" i="6"/>
  <c r="AX20" i="6" s="1"/>
  <c r="BB20" i="6"/>
  <c r="BC20" i="6"/>
  <c r="BG20" i="6"/>
  <c r="BH20" i="6" s="1"/>
  <c r="D21" i="6"/>
  <c r="E21" i="6" s="1"/>
  <c r="I21" i="6"/>
  <c r="J21" i="6" s="1"/>
  <c r="N21" i="6"/>
  <c r="O21" i="6"/>
  <c r="S21" i="6"/>
  <c r="T21" i="6"/>
  <c r="X21" i="6"/>
  <c r="Y21" i="6" s="1"/>
  <c r="AC21" i="6"/>
  <c r="AD21" i="6" s="1"/>
  <c r="AH21" i="6"/>
  <c r="AI21" i="6"/>
  <c r="AM21" i="6"/>
  <c r="AN21" i="6"/>
  <c r="AR21" i="6"/>
  <c r="AS21" i="6" s="1"/>
  <c r="AW21" i="6"/>
  <c r="AX21" i="6" s="1"/>
  <c r="BB21" i="6"/>
  <c r="BC21" i="6"/>
  <c r="BG21" i="6"/>
  <c r="BH21" i="6"/>
  <c r="D22" i="6"/>
  <c r="E22" i="6" s="1"/>
  <c r="I22" i="6"/>
  <c r="J22" i="6" s="1"/>
  <c r="N22" i="6"/>
  <c r="O22" i="6"/>
  <c r="S22" i="6"/>
  <c r="T22" i="6" s="1"/>
  <c r="X22" i="6"/>
  <c r="Y22" i="6" s="1"/>
  <c r="AC22" i="6"/>
  <c r="AD22" i="6" s="1"/>
  <c r="AH22" i="6"/>
  <c r="AI22" i="6"/>
  <c r="AM22" i="6"/>
  <c r="AN22" i="6" s="1"/>
  <c r="AR22" i="6"/>
  <c r="AS22" i="6" s="1"/>
  <c r="AW22" i="6"/>
  <c r="AX22" i="6" s="1"/>
  <c r="BB22" i="6"/>
  <c r="BC22" i="6"/>
  <c r="BG22" i="6"/>
  <c r="BH22" i="6"/>
  <c r="D23" i="6"/>
  <c r="E23" i="6" s="1"/>
  <c r="I23" i="6"/>
  <c r="J23" i="6" s="1"/>
  <c r="N23" i="6"/>
  <c r="O23" i="6"/>
  <c r="S23" i="6"/>
  <c r="T23" i="6"/>
  <c r="X23" i="6"/>
  <c r="Y23" i="6" s="1"/>
  <c r="AC23" i="6"/>
  <c r="AD23" i="6" s="1"/>
  <c r="AH23" i="6"/>
  <c r="AI23" i="6"/>
  <c r="AM23" i="6"/>
  <c r="AN23" i="6" s="1"/>
  <c r="AR23" i="6"/>
  <c r="AS23" i="6" s="1"/>
  <c r="AW23" i="6"/>
  <c r="AX23" i="6" s="1"/>
  <c r="BB23" i="6"/>
  <c r="BC23" i="6"/>
  <c r="BG23" i="6"/>
  <c r="BH23" i="6"/>
  <c r="D24" i="6"/>
  <c r="E24" i="6" s="1"/>
  <c r="I24" i="6"/>
  <c r="J24" i="6" s="1"/>
  <c r="N24" i="6"/>
  <c r="O24" i="6"/>
  <c r="S24" i="6"/>
  <c r="T24" i="6"/>
  <c r="X24" i="6"/>
  <c r="Y24" i="6" s="1"/>
  <c r="AC24" i="6"/>
  <c r="AD24" i="6" s="1"/>
  <c r="AH24" i="6"/>
  <c r="AI24" i="6"/>
  <c r="AM24" i="6"/>
  <c r="AN24" i="6"/>
  <c r="AR24" i="6"/>
  <c r="AS24" i="6" s="1"/>
  <c r="AW24" i="6"/>
  <c r="AX24" i="6" s="1"/>
  <c r="BB24" i="6"/>
  <c r="BC24" i="6"/>
  <c r="BG24" i="6"/>
  <c r="BH24" i="6" s="1"/>
  <c r="D25" i="6"/>
  <c r="E25" i="6" s="1"/>
  <c r="I25" i="6"/>
  <c r="J25" i="6" s="1"/>
  <c r="N25" i="6"/>
  <c r="O25" i="6"/>
  <c r="S25" i="6"/>
  <c r="T25" i="6" s="1"/>
  <c r="X25" i="6"/>
  <c r="Y25" i="6" s="1"/>
  <c r="AC25" i="6"/>
  <c r="AD25" i="6" s="1"/>
  <c r="AH25" i="6"/>
  <c r="AI25" i="6"/>
  <c r="AM25" i="6"/>
  <c r="AN25" i="6"/>
  <c r="AR25" i="6"/>
  <c r="AS25" i="6" s="1"/>
  <c r="AW25" i="6"/>
  <c r="AX25" i="6" s="1"/>
  <c r="BB25" i="6"/>
  <c r="BC25" i="6"/>
  <c r="BG25" i="6"/>
  <c r="BH25" i="6"/>
  <c r="D26" i="6"/>
  <c r="E26" i="6" s="1"/>
  <c r="I26" i="6"/>
  <c r="J26" i="6" s="1"/>
  <c r="N26" i="6"/>
  <c r="O26" i="6"/>
  <c r="S26" i="6"/>
  <c r="T26" i="6" s="1"/>
  <c r="X26" i="6"/>
  <c r="Y26" i="6" s="1"/>
  <c r="AC26" i="6"/>
  <c r="AD26" i="6" s="1"/>
  <c r="AH26" i="6"/>
  <c r="AI26" i="6"/>
  <c r="AM26" i="6"/>
  <c r="AN26" i="6"/>
  <c r="AR26" i="6"/>
  <c r="AS26" i="6" s="1"/>
  <c r="AW26" i="6"/>
  <c r="AX26" i="6" s="1"/>
  <c r="BB26" i="6"/>
  <c r="BC26" i="6"/>
  <c r="BG26" i="6"/>
  <c r="BH26" i="6"/>
  <c r="D27" i="6"/>
  <c r="E27" i="6" s="1"/>
  <c r="I27" i="6"/>
  <c r="J27" i="6" s="1"/>
  <c r="N27" i="6"/>
  <c r="O27" i="6"/>
  <c r="S27" i="6"/>
  <c r="T27" i="6"/>
  <c r="X27" i="6"/>
  <c r="Y27" i="6" s="1"/>
  <c r="AC27" i="6"/>
  <c r="AD27" i="6" s="1"/>
  <c r="AH27" i="6"/>
  <c r="AI27" i="6"/>
  <c r="AM27" i="6"/>
  <c r="AN27" i="6" s="1"/>
  <c r="AR27" i="6"/>
  <c r="AS27" i="6" s="1"/>
  <c r="AW27" i="6"/>
  <c r="AX27" i="6" s="1"/>
  <c r="BB27" i="6"/>
  <c r="BC27" i="6"/>
  <c r="BG27" i="6"/>
  <c r="BH27" i="6"/>
  <c r="D28" i="6"/>
  <c r="E28" i="6" s="1"/>
  <c r="I28" i="6"/>
  <c r="J28" i="6" s="1"/>
  <c r="N28" i="6"/>
  <c r="O28" i="6"/>
  <c r="S28" i="6"/>
  <c r="T28" i="6"/>
  <c r="X28" i="6"/>
  <c r="Y28" i="6" s="1"/>
  <c r="AC28" i="6"/>
  <c r="AD28" i="6" s="1"/>
  <c r="AH28" i="6"/>
  <c r="AI28" i="6"/>
  <c r="AM28" i="6"/>
  <c r="AN28" i="6"/>
  <c r="AR28" i="6"/>
  <c r="AS28" i="6" s="1"/>
  <c r="AW28" i="6"/>
  <c r="AX28" i="6" s="1"/>
  <c r="BB28" i="6"/>
  <c r="BC28" i="6"/>
  <c r="BG28" i="6"/>
  <c r="BH28" i="6" s="1"/>
  <c r="D29" i="6"/>
  <c r="E29" i="6" s="1"/>
  <c r="I29" i="6"/>
  <c r="J29" i="6" s="1"/>
  <c r="N29" i="6"/>
  <c r="O29" i="6"/>
  <c r="S29" i="6"/>
  <c r="T29" i="6" s="1"/>
  <c r="X29" i="6"/>
  <c r="Y29" i="6" s="1"/>
  <c r="AC29" i="6"/>
  <c r="AD29" i="6" s="1"/>
  <c r="AH29" i="6"/>
  <c r="AI29" i="6"/>
  <c r="AM29" i="6"/>
  <c r="AN29" i="6"/>
  <c r="AR29" i="6"/>
  <c r="AS29" i="6" s="1"/>
  <c r="AW29" i="6"/>
  <c r="AX29" i="6" s="1"/>
  <c r="BB29" i="6"/>
  <c r="BC29" i="6"/>
  <c r="BG29" i="6"/>
  <c r="BH29" i="6"/>
  <c r="D30" i="6"/>
  <c r="E30" i="6" s="1"/>
  <c r="I30" i="6"/>
  <c r="J30" i="6" s="1"/>
  <c r="N30" i="6"/>
  <c r="O30" i="6"/>
  <c r="S30" i="6"/>
  <c r="T30" i="6" s="1"/>
  <c r="X30" i="6"/>
  <c r="Y30" i="6" s="1"/>
  <c r="AC30" i="6"/>
  <c r="AD30" i="6" s="1"/>
  <c r="AH30" i="6"/>
  <c r="AI30" i="6"/>
  <c r="AM30" i="6"/>
  <c r="AN30" i="6"/>
  <c r="AR30" i="6"/>
  <c r="AS30" i="6" s="1"/>
  <c r="AW30" i="6"/>
  <c r="AX30" i="6" s="1"/>
  <c r="BB30" i="6"/>
  <c r="BC30" i="6"/>
  <c r="BG30" i="6"/>
  <c r="BH30" i="6"/>
  <c r="D31" i="6"/>
  <c r="E31" i="6" s="1"/>
  <c r="I31" i="6"/>
  <c r="J31" i="6" s="1"/>
  <c r="N31" i="6"/>
  <c r="O31" i="6"/>
  <c r="S31" i="6"/>
  <c r="T31" i="6"/>
  <c r="X31" i="6"/>
  <c r="Y31" i="6" s="1"/>
  <c r="AC31" i="6"/>
  <c r="AD31" i="6" s="1"/>
  <c r="AH31" i="6"/>
  <c r="AI31" i="6"/>
  <c r="AM31" i="6"/>
  <c r="AN31" i="6" s="1"/>
  <c r="AR31" i="6"/>
  <c r="AS31" i="6" s="1"/>
  <c r="AW31" i="6"/>
  <c r="AX31" i="6" s="1"/>
  <c r="BB31" i="6"/>
  <c r="BC31" i="6"/>
  <c r="BG31" i="6"/>
  <c r="BH31" i="6"/>
  <c r="D32" i="6"/>
  <c r="E32" i="6" s="1"/>
  <c r="I32" i="6"/>
  <c r="J32" i="6"/>
  <c r="N32" i="6"/>
  <c r="O32" i="6"/>
  <c r="S32" i="6"/>
  <c r="T32" i="6" s="1"/>
  <c r="X32" i="6"/>
  <c r="Y32" i="6" s="1"/>
  <c r="AC32" i="6"/>
  <c r="AD32" i="6"/>
  <c r="AH32" i="6"/>
  <c r="AI32" i="6"/>
  <c r="AM32" i="6"/>
  <c r="AN32" i="6"/>
  <c r="AR32" i="6"/>
  <c r="AS32" i="6" s="1"/>
  <c r="AW32" i="6"/>
  <c r="AX32" i="6"/>
  <c r="BB32" i="6"/>
  <c r="BC32" i="6"/>
  <c r="BG32" i="6"/>
  <c r="BH32" i="6" s="1"/>
  <c r="D33" i="6"/>
  <c r="E33" i="6" s="1"/>
  <c r="I33" i="6"/>
  <c r="J33" i="6"/>
  <c r="N33" i="6"/>
  <c r="O33" i="6"/>
  <c r="S33" i="6"/>
  <c r="T33" i="6"/>
  <c r="X33" i="6"/>
  <c r="Y33" i="6" s="1"/>
  <c r="AC33" i="6"/>
  <c r="AD33" i="6"/>
  <c r="AH33" i="6"/>
  <c r="AI33" i="6"/>
  <c r="AM33" i="6"/>
  <c r="AN33" i="6"/>
  <c r="AR33" i="6"/>
  <c r="AS33" i="6" s="1"/>
  <c r="AW33" i="6"/>
  <c r="AX33" i="6"/>
  <c r="BB33" i="6"/>
  <c r="BC33" i="6"/>
  <c r="BG33" i="6"/>
  <c r="BH33" i="6" s="1"/>
  <c r="D34" i="6"/>
  <c r="E34" i="6" s="1"/>
  <c r="I34" i="6"/>
  <c r="J34" i="6"/>
  <c r="N34" i="6"/>
  <c r="O34" i="6"/>
  <c r="S34" i="6"/>
  <c r="T34" i="6"/>
  <c r="X34" i="6"/>
  <c r="Y34" i="6" s="1"/>
  <c r="AC34" i="6"/>
  <c r="AD34" i="6"/>
  <c r="AH34" i="6"/>
  <c r="AI34" i="6"/>
  <c r="AM34" i="6"/>
  <c r="AN34" i="6"/>
  <c r="AR34" i="6"/>
  <c r="AS34" i="6" s="1"/>
  <c r="AW34" i="6"/>
  <c r="AX34" i="6"/>
  <c r="BB34" i="6"/>
  <c r="BC34" i="6"/>
  <c r="BG34" i="6"/>
  <c r="BH34" i="6" s="1"/>
  <c r="D35" i="6"/>
  <c r="E35" i="6" s="1"/>
  <c r="I35" i="6"/>
  <c r="J35" i="6"/>
  <c r="N35" i="6"/>
  <c r="O35" i="6"/>
  <c r="S35" i="6"/>
  <c r="T35" i="6"/>
  <c r="X35" i="6"/>
  <c r="Y35" i="6" s="1"/>
  <c r="AC35" i="6"/>
  <c r="AD35" i="6"/>
  <c r="AH35" i="6"/>
  <c r="AI35" i="6"/>
  <c r="AM35" i="6"/>
  <c r="AN35" i="6" s="1"/>
  <c r="AR35" i="6"/>
  <c r="AS35" i="6" s="1"/>
  <c r="AW35" i="6"/>
  <c r="AX35" i="6"/>
  <c r="BB35" i="6"/>
  <c r="BC35" i="6"/>
  <c r="BG35" i="6"/>
  <c r="BH35" i="6"/>
  <c r="D36" i="6"/>
  <c r="E36" i="6" s="1"/>
  <c r="I36" i="6"/>
  <c r="J36" i="6"/>
  <c r="N36" i="6"/>
  <c r="O36" i="6"/>
  <c r="S36" i="6"/>
  <c r="T36" i="6"/>
  <c r="X36" i="6"/>
  <c r="Y36" i="6" s="1"/>
  <c r="AC36" i="6"/>
  <c r="AD36" i="6"/>
  <c r="AH36" i="6"/>
  <c r="AI36" i="6"/>
  <c r="AM36" i="6"/>
  <c r="AN36" i="6" s="1"/>
  <c r="AR36" i="6"/>
  <c r="AS36" i="6" s="1"/>
  <c r="AW36" i="6"/>
  <c r="AX36" i="6"/>
  <c r="BB36" i="6"/>
  <c r="BC36" i="6"/>
  <c r="BG36" i="6"/>
  <c r="BH36" i="6"/>
  <c r="D37" i="6"/>
  <c r="E37" i="6" s="1"/>
  <c r="I37" i="6"/>
  <c r="J37" i="6"/>
  <c r="N37" i="6"/>
  <c r="O37" i="6" s="1"/>
  <c r="S37" i="6"/>
  <c r="T37" i="6" s="1"/>
  <c r="X37" i="6"/>
  <c r="Y37" i="6" s="1"/>
  <c r="AC37" i="6"/>
  <c r="AD37" i="6"/>
  <c r="AH37" i="6"/>
  <c r="AI37" i="6" s="1"/>
  <c r="AM37" i="6"/>
  <c r="AN37" i="6" s="1"/>
  <c r="AR37" i="6"/>
  <c r="AS37" i="6" s="1"/>
  <c r="AW37" i="6"/>
  <c r="AX37" i="6"/>
  <c r="BB37" i="6"/>
  <c r="BC37" i="6" s="1"/>
  <c r="BG37" i="6"/>
  <c r="BH37" i="6"/>
  <c r="D38" i="6"/>
  <c r="E38" i="6" s="1"/>
  <c r="I38" i="6"/>
  <c r="J38" i="6"/>
  <c r="N38" i="6"/>
  <c r="O38" i="6" s="1"/>
  <c r="S38" i="6"/>
  <c r="T38" i="6"/>
  <c r="X38" i="6"/>
  <c r="Y38" i="6" s="1"/>
  <c r="AC38" i="6"/>
  <c r="AD38" i="6"/>
  <c r="AH38" i="6"/>
  <c r="AI38" i="6" s="1"/>
  <c r="AM38" i="6"/>
  <c r="AN38" i="6" s="1"/>
  <c r="AR38" i="6"/>
  <c r="AS38" i="6" s="1"/>
  <c r="AW38" i="6"/>
  <c r="AX38" i="6"/>
  <c r="BB38" i="6"/>
  <c r="BC38" i="6" s="1"/>
  <c r="BG38" i="6"/>
  <c r="BH38" i="6" s="1"/>
  <c r="D39" i="6"/>
  <c r="E39" i="6" s="1"/>
  <c r="I39" i="6"/>
  <c r="J39" i="6"/>
  <c r="N39" i="6"/>
  <c r="O39" i="6" s="1"/>
  <c r="S39" i="6"/>
  <c r="T39" i="6"/>
  <c r="X39" i="6"/>
  <c r="Y39" i="6" s="1"/>
  <c r="AC39" i="6"/>
  <c r="AD39" i="6"/>
  <c r="AH39" i="6"/>
  <c r="AI39" i="6" s="1"/>
  <c r="AM39" i="6"/>
  <c r="AN39" i="6"/>
  <c r="AR39" i="6"/>
  <c r="AS39" i="6" s="1"/>
  <c r="AW39" i="6"/>
  <c r="AX39" i="6"/>
  <c r="BB39" i="6"/>
  <c r="BC39" i="6" s="1"/>
  <c r="BG39" i="6"/>
  <c r="BH39" i="6" s="1"/>
  <c r="D40" i="6"/>
  <c r="E40" i="6" s="1"/>
  <c r="I40" i="6"/>
  <c r="J40" i="6"/>
  <c r="N40" i="6"/>
  <c r="O40" i="6" s="1"/>
  <c r="S40" i="6"/>
  <c r="T40" i="6" s="1"/>
  <c r="X40" i="6"/>
  <c r="Y40" i="6" s="1"/>
  <c r="AC40" i="6"/>
  <c r="AD40" i="6"/>
  <c r="AH40" i="6"/>
  <c r="AI40" i="6" s="1"/>
  <c r="AM40" i="6"/>
  <c r="AN40" i="6"/>
  <c r="AR40" i="6"/>
  <c r="AS40" i="6" s="1"/>
  <c r="AW40" i="6"/>
  <c r="AX40" i="6"/>
  <c r="BB40" i="6"/>
  <c r="BC40" i="6" s="1"/>
  <c r="BG40" i="6"/>
  <c r="BH40" i="6"/>
  <c r="D41" i="6"/>
  <c r="E41" i="6" s="1"/>
  <c r="I41" i="6"/>
  <c r="J41" i="6"/>
  <c r="N41" i="6"/>
  <c r="O41" i="6" s="1"/>
  <c r="S41" i="6"/>
  <c r="T41" i="6" s="1"/>
  <c r="X41" i="6"/>
  <c r="Y41" i="6" s="1"/>
  <c r="AC41" i="6"/>
  <c r="AD41" i="6"/>
  <c r="AH41" i="6"/>
  <c r="AI41" i="6" s="1"/>
  <c r="AM41" i="6"/>
  <c r="AN41" i="6" s="1"/>
  <c r="AR41" i="6"/>
  <c r="AS41" i="6" s="1"/>
  <c r="AW41" i="6"/>
  <c r="AX41" i="6"/>
  <c r="BB41" i="6"/>
  <c r="BC41" i="6" s="1"/>
  <c r="BG41" i="6"/>
  <c r="BH41" i="6"/>
  <c r="D42" i="6"/>
  <c r="E42" i="6" s="1"/>
  <c r="I42" i="6"/>
  <c r="J42" i="6"/>
  <c r="N42" i="6"/>
  <c r="O42" i="6" s="1"/>
  <c r="S42" i="6"/>
  <c r="T42" i="6"/>
  <c r="X42" i="6"/>
  <c r="Y42" i="6" s="1"/>
  <c r="AC42" i="6"/>
  <c r="AD42" i="6"/>
  <c r="AH42" i="6"/>
  <c r="AI42" i="6" s="1"/>
  <c r="AM42" i="6"/>
  <c r="AN42" i="6" s="1"/>
  <c r="AR42" i="6"/>
  <c r="AS42" i="6" s="1"/>
  <c r="AW42" i="6"/>
  <c r="AX42" i="6"/>
  <c r="BB42" i="6"/>
  <c r="BC42" i="6" s="1"/>
  <c r="BG42" i="6"/>
  <c r="BH42" i="6" s="1"/>
  <c r="D43" i="6"/>
  <c r="E43" i="6" s="1"/>
  <c r="I43" i="6"/>
  <c r="J43" i="6"/>
  <c r="N43" i="6"/>
  <c r="O43" i="6" s="1"/>
  <c r="S43" i="6"/>
  <c r="T43" i="6"/>
  <c r="X43" i="6"/>
  <c r="Y43" i="6" s="1"/>
  <c r="AC43" i="6"/>
  <c r="AD43" i="6"/>
  <c r="AH43" i="6"/>
  <c r="AI43" i="6" s="1"/>
  <c r="AM43" i="6"/>
  <c r="AN43" i="6"/>
  <c r="AR43" i="6"/>
  <c r="AS43" i="6" s="1"/>
  <c r="AW43" i="6"/>
  <c r="AX43" i="6"/>
  <c r="BB43" i="6"/>
  <c r="BC43" i="6" s="1"/>
  <c r="BG43" i="6"/>
  <c r="BH43" i="6" s="1"/>
  <c r="D44" i="6"/>
  <c r="E44" i="6" s="1"/>
  <c r="I44" i="6"/>
  <c r="J44" i="6"/>
  <c r="N44" i="6"/>
  <c r="O44" i="6" s="1"/>
  <c r="S44" i="6"/>
  <c r="T44" i="6" s="1"/>
  <c r="X44" i="6"/>
  <c r="Y44" i="6" s="1"/>
  <c r="AC44" i="6"/>
  <c r="AD44" i="6"/>
  <c r="AH44" i="6"/>
  <c r="AI44" i="6" s="1"/>
  <c r="AM44" i="6"/>
  <c r="AN44" i="6"/>
  <c r="AR44" i="6"/>
  <c r="AS44" i="6" s="1"/>
  <c r="AW44" i="6"/>
  <c r="AX44" i="6"/>
  <c r="BB44" i="6"/>
  <c r="BC44" i="6" s="1"/>
  <c r="BG44" i="6"/>
  <c r="BH44" i="6"/>
  <c r="D45" i="6"/>
  <c r="E45" i="6" s="1"/>
  <c r="I45" i="6"/>
  <c r="J45" i="6"/>
  <c r="N45" i="6"/>
  <c r="O45" i="6" s="1"/>
  <c r="S45" i="6"/>
  <c r="T45" i="6" s="1"/>
  <c r="X45" i="6"/>
  <c r="Y45" i="6" s="1"/>
  <c r="AC45" i="6"/>
  <c r="AD45" i="6"/>
  <c r="AH45" i="6"/>
  <c r="AI45" i="6" s="1"/>
  <c r="AM45" i="6"/>
  <c r="AN45" i="6" s="1"/>
  <c r="AR45" i="6"/>
  <c r="AS45" i="6" s="1"/>
  <c r="AW45" i="6"/>
  <c r="AX45" i="6"/>
  <c r="BB45" i="6"/>
  <c r="BC45" i="6" s="1"/>
  <c r="BG45" i="6"/>
  <c r="BH45" i="6"/>
  <c r="D46" i="6"/>
  <c r="E46" i="6" s="1"/>
  <c r="I46" i="6"/>
  <c r="J46" i="6"/>
  <c r="N46" i="6"/>
  <c r="O46" i="6" s="1"/>
  <c r="S46" i="6"/>
  <c r="T46" i="6"/>
  <c r="X46" i="6"/>
  <c r="Y46" i="6" s="1"/>
  <c r="AC46" i="6"/>
  <c r="AD46" i="6"/>
  <c r="AH46" i="6"/>
  <c r="AI46" i="6" s="1"/>
  <c r="AM46" i="6"/>
  <c r="AN46" i="6" s="1"/>
  <c r="AR46" i="6"/>
  <c r="AS46" i="6" s="1"/>
  <c r="AW46" i="6"/>
  <c r="AX46" i="6"/>
  <c r="BB46" i="6"/>
  <c r="BC46" i="6" s="1"/>
  <c r="BG46" i="6"/>
  <c r="BH46" i="6" s="1"/>
  <c r="D47" i="6"/>
  <c r="E47" i="6" s="1"/>
  <c r="I47" i="6"/>
  <c r="J47" i="6"/>
  <c r="N47" i="6"/>
  <c r="O47" i="6" s="1"/>
  <c r="S47" i="6"/>
  <c r="T47" i="6"/>
  <c r="X47" i="6"/>
  <c r="Y47" i="6" s="1"/>
  <c r="AC47" i="6"/>
  <c r="AD47" i="6"/>
  <c r="AH47" i="6"/>
  <c r="AI47" i="6" s="1"/>
  <c r="AM47" i="6"/>
  <c r="AN47" i="6"/>
  <c r="AR47" i="6"/>
  <c r="AS47" i="6" s="1"/>
  <c r="AW47" i="6"/>
  <c r="AX47" i="6"/>
  <c r="BB47" i="6"/>
  <c r="BC47" i="6" s="1"/>
  <c r="BG47" i="6"/>
  <c r="BH47" i="6" s="1"/>
  <c r="D48" i="6"/>
  <c r="E48" i="6" s="1"/>
  <c r="I48" i="6"/>
  <c r="J48" i="6"/>
  <c r="N48" i="6"/>
  <c r="O48" i="6" s="1"/>
  <c r="S48" i="6"/>
  <c r="T48" i="6" s="1"/>
  <c r="X48" i="6"/>
  <c r="Y48" i="6" s="1"/>
  <c r="AC48" i="6"/>
  <c r="AD48" i="6"/>
  <c r="AH48" i="6"/>
  <c r="AI48" i="6" s="1"/>
  <c r="AM48" i="6"/>
  <c r="AN48" i="6"/>
  <c r="AR48" i="6"/>
  <c r="AS48" i="6" s="1"/>
  <c r="AW48" i="6"/>
  <c r="AX48" i="6"/>
  <c r="BB48" i="6"/>
  <c r="BC48" i="6" s="1"/>
  <c r="BG48" i="6"/>
  <c r="BH48" i="6"/>
  <c r="D49" i="6"/>
  <c r="E49" i="6" s="1"/>
  <c r="I49" i="6"/>
  <c r="J49" i="6"/>
  <c r="N49" i="6"/>
  <c r="O49" i="6" s="1"/>
  <c r="S49" i="6"/>
  <c r="T49" i="6" s="1"/>
  <c r="X49" i="6"/>
  <c r="Y49" i="6" s="1"/>
  <c r="AC49" i="6"/>
  <c r="AD49" i="6"/>
  <c r="AH49" i="6"/>
  <c r="AI49" i="6" s="1"/>
  <c r="AM49" i="6"/>
  <c r="AN49" i="6" s="1"/>
  <c r="AR49" i="6"/>
  <c r="AS49" i="6" s="1"/>
  <c r="AW49" i="6"/>
  <c r="AX49" i="6"/>
  <c r="BB49" i="6"/>
  <c r="BC49" i="6" s="1"/>
  <c r="BG49" i="6"/>
  <c r="BH49" i="6"/>
  <c r="D50" i="6"/>
  <c r="E50" i="6" s="1"/>
  <c r="I50" i="6"/>
  <c r="J50" i="6"/>
  <c r="N50" i="6"/>
  <c r="O50" i="6" s="1"/>
  <c r="S50" i="6"/>
  <c r="T50" i="6"/>
  <c r="X50" i="6"/>
  <c r="Y50" i="6" s="1"/>
  <c r="AC50" i="6"/>
  <c r="AD50" i="6"/>
  <c r="AH50" i="6"/>
  <c r="AI50" i="6" s="1"/>
  <c r="AM50" i="6"/>
  <c r="AN50" i="6" s="1"/>
  <c r="AR50" i="6"/>
  <c r="AS50" i="6" s="1"/>
  <c r="AW50" i="6"/>
  <c r="AX50" i="6"/>
  <c r="BB50" i="6"/>
  <c r="BC50" i="6" s="1"/>
  <c r="BG50" i="6"/>
  <c r="BH50" i="6" s="1"/>
  <c r="D51" i="6"/>
  <c r="E51" i="6" s="1"/>
  <c r="I51" i="6"/>
  <c r="J51" i="6"/>
  <c r="N51" i="6"/>
  <c r="O51" i="6" s="1"/>
  <c r="S51" i="6"/>
  <c r="T51" i="6"/>
  <c r="X51" i="6"/>
  <c r="Y51" i="6" s="1"/>
  <c r="AC51" i="6"/>
  <c r="AD51" i="6"/>
  <c r="AH51" i="6"/>
  <c r="AI51" i="6" s="1"/>
  <c r="AM51" i="6"/>
  <c r="AN51" i="6"/>
  <c r="AR51" i="6"/>
  <c r="AS51" i="6" s="1"/>
  <c r="AW51" i="6"/>
  <c r="AX51" i="6"/>
  <c r="BB51" i="6"/>
  <c r="BC51" i="6" s="1"/>
  <c r="BG51" i="6"/>
  <c r="BH51" i="6" s="1"/>
  <c r="D52" i="6"/>
  <c r="E52" i="6" s="1"/>
  <c r="I52" i="6"/>
  <c r="J52" i="6"/>
  <c r="N52" i="6"/>
  <c r="O52" i="6" s="1"/>
  <c r="S52" i="6"/>
  <c r="T52" i="6" s="1"/>
  <c r="X52" i="6"/>
  <c r="Y52" i="6" s="1"/>
  <c r="AC52" i="6"/>
  <c r="AD52" i="6"/>
  <c r="AH52" i="6"/>
  <c r="AI52" i="6" s="1"/>
  <c r="AM52" i="6"/>
  <c r="AN52" i="6"/>
  <c r="AR52" i="6"/>
  <c r="AS52" i="6" s="1"/>
  <c r="AW52" i="6"/>
  <c r="AX52" i="6"/>
  <c r="BB52" i="6"/>
  <c r="BC52" i="6" s="1"/>
  <c r="BG52" i="6"/>
  <c r="BH52" i="6"/>
  <c r="D53" i="6"/>
  <c r="E53" i="6" s="1"/>
  <c r="I53" i="6"/>
  <c r="J53" i="6"/>
  <c r="N53" i="6"/>
  <c r="O53" i="6" s="1"/>
  <c r="S53" i="6"/>
  <c r="T53" i="6" s="1"/>
  <c r="X53" i="6"/>
  <c r="Y53" i="6" s="1"/>
  <c r="AC53" i="6"/>
  <c r="AD53" i="6"/>
  <c r="AH53" i="6"/>
  <c r="AI53" i="6" s="1"/>
  <c r="AM53" i="6"/>
  <c r="AN53" i="6" s="1"/>
  <c r="AR53" i="6"/>
  <c r="AS53" i="6" s="1"/>
  <c r="AW53" i="6"/>
  <c r="AX53" i="6"/>
  <c r="BB53" i="6"/>
  <c r="BC53" i="6" s="1"/>
  <c r="BG53" i="6"/>
  <c r="BH53" i="6"/>
  <c r="D54" i="6"/>
  <c r="E54" i="6" s="1"/>
  <c r="I54" i="6"/>
  <c r="J54" i="6"/>
  <c r="N54" i="6"/>
  <c r="O54" i="6" s="1"/>
  <c r="S54" i="6"/>
  <c r="T54" i="6"/>
  <c r="X54" i="6"/>
  <c r="Y54" i="6"/>
  <c r="AC54" i="6"/>
  <c r="AD54" i="6"/>
  <c r="AH54" i="6"/>
  <c r="AI54" i="6" s="1"/>
  <c r="AM54" i="6"/>
  <c r="AN54" i="6"/>
  <c r="AR54" i="6"/>
  <c r="AS54" i="6" s="1"/>
  <c r="AW54" i="6"/>
  <c r="AX54" i="6"/>
  <c r="BB54" i="6"/>
  <c r="BC54" i="6" s="1"/>
  <c r="BG54" i="6"/>
  <c r="BH54" i="6" s="1"/>
  <c r="D55" i="6"/>
  <c r="E55" i="6"/>
  <c r="I55" i="6"/>
  <c r="J55" i="6"/>
  <c r="N55" i="6"/>
  <c r="O55" i="6" s="1"/>
  <c r="S55" i="6"/>
  <c r="T55" i="6"/>
  <c r="X55" i="6"/>
  <c r="Y55" i="6"/>
  <c r="AC55" i="6"/>
  <c r="AD55" i="6"/>
  <c r="AH55" i="6"/>
  <c r="AI55" i="6" s="1"/>
  <c r="AM55" i="6"/>
  <c r="AN55" i="6" s="1"/>
  <c r="AR55" i="6"/>
  <c r="AS55" i="6" s="1"/>
  <c r="AW55" i="6"/>
  <c r="AX55" i="6"/>
  <c r="BB55" i="6"/>
  <c r="BC55" i="6" s="1"/>
  <c r="BG55" i="6"/>
  <c r="BH55" i="6"/>
  <c r="B15" i="5"/>
  <c r="C15" i="5"/>
  <c r="C28" i="5" s="1"/>
  <c r="D15" i="5"/>
  <c r="E15" i="5"/>
  <c r="F15" i="5"/>
  <c r="F28" i="5" s="1"/>
  <c r="G15" i="5"/>
  <c r="H15" i="5"/>
  <c r="I15" i="5"/>
  <c r="I28" i="5" s="1"/>
  <c r="J15" i="5"/>
  <c r="K15" i="5"/>
  <c r="K28" i="5" s="1"/>
  <c r="L15" i="5"/>
  <c r="L28" i="5" s="1"/>
  <c r="M15" i="5"/>
  <c r="B20" i="5"/>
  <c r="C20" i="5"/>
  <c r="D20" i="5"/>
  <c r="E20" i="5"/>
  <c r="F20" i="5"/>
  <c r="G20" i="5"/>
  <c r="G28" i="5" s="1"/>
  <c r="H20" i="5"/>
  <c r="I20" i="5"/>
  <c r="J20" i="5"/>
  <c r="K20" i="5"/>
  <c r="L20" i="5"/>
  <c r="M20" i="5"/>
  <c r="B26" i="5"/>
  <c r="C26" i="5"/>
  <c r="D26" i="5"/>
  <c r="D28" i="5" s="1"/>
  <c r="E26" i="5"/>
  <c r="F26" i="5"/>
  <c r="G26" i="5"/>
  <c r="H26" i="5"/>
  <c r="I26" i="5"/>
  <c r="J26" i="5"/>
  <c r="K26" i="5"/>
  <c r="L26" i="5"/>
  <c r="M26" i="5"/>
  <c r="B28" i="5"/>
  <c r="B30" i="5" s="1"/>
  <c r="C29" i="5" s="1"/>
  <c r="C30" i="5" s="1"/>
  <c r="D29" i="5" s="1"/>
  <c r="D30" i="5" s="1"/>
  <c r="E29" i="5" s="1"/>
  <c r="E30" i="5" s="1"/>
  <c r="F29" i="5" s="1"/>
  <c r="F30" i="5" s="1"/>
  <c r="G29" i="5" s="1"/>
  <c r="G30" i="5" s="1"/>
  <c r="H29" i="5" s="1"/>
  <c r="H30" i="5" s="1"/>
  <c r="I29" i="5" s="1"/>
  <c r="E28" i="5"/>
  <c r="H28" i="5"/>
  <c r="J28" i="5"/>
  <c r="M28" i="5"/>
  <c r="B22" i="4"/>
  <c r="C22" i="4"/>
  <c r="D22" i="4"/>
  <c r="E22" i="4"/>
  <c r="F22" i="4"/>
  <c r="G22" i="4"/>
  <c r="H22" i="4"/>
  <c r="I22" i="4"/>
  <c r="J22" i="4"/>
  <c r="K22" i="4"/>
  <c r="L22" i="4"/>
  <c r="M22" i="4"/>
  <c r="B34" i="4"/>
  <c r="C34" i="4"/>
  <c r="C35" i="4" s="1"/>
  <c r="D34" i="4"/>
  <c r="E34" i="4"/>
  <c r="F34" i="4"/>
  <c r="F35" i="4" s="1"/>
  <c r="G34" i="4"/>
  <c r="H34" i="4"/>
  <c r="H35" i="4" s="1"/>
  <c r="I34" i="4"/>
  <c r="I35" i="4" s="1"/>
  <c r="J34" i="4"/>
  <c r="K34" i="4"/>
  <c r="K35" i="4" s="1"/>
  <c r="L34" i="4"/>
  <c r="M34" i="4"/>
  <c r="B35" i="4"/>
  <c r="D35" i="4"/>
  <c r="E35" i="4"/>
  <c r="G35" i="4"/>
  <c r="J35" i="4"/>
  <c r="L35" i="4"/>
  <c r="M35" i="4"/>
  <c r="B54" i="4"/>
  <c r="C54" i="4"/>
  <c r="D54" i="4"/>
  <c r="E54" i="4"/>
  <c r="F54" i="4"/>
  <c r="G54" i="4"/>
  <c r="H54" i="4"/>
  <c r="I54" i="4"/>
  <c r="J54" i="4"/>
  <c r="K54" i="4"/>
  <c r="L54" i="4"/>
  <c r="M54" i="4"/>
  <c r="B66" i="4"/>
  <c r="B67" i="4" s="1"/>
  <c r="B82" i="4" s="1"/>
  <c r="C66" i="4"/>
  <c r="D66" i="4"/>
  <c r="D67" i="4" s="1"/>
  <c r="D82" i="4" s="1"/>
  <c r="E66" i="4"/>
  <c r="E67" i="4" s="1"/>
  <c r="E82" i="4" s="1"/>
  <c r="F66" i="4"/>
  <c r="G66" i="4"/>
  <c r="G67" i="4" s="1"/>
  <c r="G82" i="4" s="1"/>
  <c r="H66" i="4"/>
  <c r="I66" i="4"/>
  <c r="J66" i="4"/>
  <c r="J67" i="4" s="1"/>
  <c r="J82" i="4" s="1"/>
  <c r="K66" i="4"/>
  <c r="L66" i="4"/>
  <c r="L67" i="4" s="1"/>
  <c r="L82" i="4" s="1"/>
  <c r="M66" i="4"/>
  <c r="C67" i="4"/>
  <c r="F67" i="4"/>
  <c r="F82" i="4" s="1"/>
  <c r="H67" i="4"/>
  <c r="I67" i="4"/>
  <c r="K67" i="4"/>
  <c r="M67" i="4"/>
  <c r="B80" i="4"/>
  <c r="C80" i="4"/>
  <c r="D80" i="4"/>
  <c r="E80" i="4"/>
  <c r="F80" i="4"/>
  <c r="G80" i="4"/>
  <c r="H80" i="4"/>
  <c r="I80" i="4"/>
  <c r="J80" i="4"/>
  <c r="K80" i="4"/>
  <c r="L80" i="4"/>
  <c r="M80" i="4"/>
  <c r="C82" i="4"/>
  <c r="H82" i="4"/>
  <c r="I82" i="4"/>
  <c r="K82" i="4"/>
  <c r="M82" i="4"/>
  <c r="B26" i="3"/>
  <c r="V26" i="3" s="1"/>
  <c r="C26" i="3"/>
  <c r="D26" i="3"/>
  <c r="D44" i="3" s="1"/>
  <c r="D97" i="3" s="1"/>
  <c r="D112" i="3" s="1"/>
  <c r="E26" i="3"/>
  <c r="F26" i="3"/>
  <c r="G26" i="3"/>
  <c r="G44" i="3" s="1"/>
  <c r="G97" i="3" s="1"/>
  <c r="G112" i="3" s="1"/>
  <c r="H26" i="3"/>
  <c r="I26" i="3"/>
  <c r="J26" i="3"/>
  <c r="K26" i="3"/>
  <c r="L26" i="3"/>
  <c r="L44" i="3" s="1"/>
  <c r="L97" i="3" s="1"/>
  <c r="L112" i="3" s="1"/>
  <c r="M26" i="3"/>
  <c r="Q26" i="3"/>
  <c r="B43" i="3"/>
  <c r="P43" i="3" s="1"/>
  <c r="C43" i="3"/>
  <c r="D43" i="3"/>
  <c r="E43" i="3"/>
  <c r="E44" i="3" s="1"/>
  <c r="E97" i="3" s="1"/>
  <c r="E112" i="3" s="1"/>
  <c r="F43" i="3"/>
  <c r="G43" i="3"/>
  <c r="H43" i="3"/>
  <c r="I43" i="3"/>
  <c r="I44" i="3" s="1"/>
  <c r="I97" i="3" s="1"/>
  <c r="I112" i="3" s="1"/>
  <c r="J43" i="3"/>
  <c r="J44" i="3" s="1"/>
  <c r="J97" i="3" s="1"/>
  <c r="J112" i="3" s="1"/>
  <c r="K43" i="3"/>
  <c r="L43" i="3"/>
  <c r="M43" i="3"/>
  <c r="M44" i="3" s="1"/>
  <c r="M97" i="3" s="1"/>
  <c r="M112" i="3" s="1"/>
  <c r="C44" i="3"/>
  <c r="C97" i="3" s="1"/>
  <c r="C112" i="3" s="1"/>
  <c r="F44" i="3"/>
  <c r="H44" i="3"/>
  <c r="H97" i="3" s="1"/>
  <c r="H112" i="3" s="1"/>
  <c r="K44" i="3"/>
  <c r="K97" i="3" s="1"/>
  <c r="K112" i="3" s="1"/>
  <c r="B96" i="3"/>
  <c r="C96" i="3"/>
  <c r="U96" i="3" s="1"/>
  <c r="D96" i="3"/>
  <c r="V96" i="3" s="1"/>
  <c r="E96" i="3"/>
  <c r="F96" i="3"/>
  <c r="F97" i="3" s="1"/>
  <c r="F112" i="3" s="1"/>
  <c r="G96" i="3"/>
  <c r="H96" i="3"/>
  <c r="I96" i="3"/>
  <c r="P96" i="3" s="1"/>
  <c r="J96" i="3"/>
  <c r="K96" i="3"/>
  <c r="L96" i="3"/>
  <c r="M96" i="3"/>
  <c r="B104" i="3"/>
  <c r="P104" i="3" s="1"/>
  <c r="C104" i="3"/>
  <c r="D104" i="3"/>
  <c r="E104" i="3"/>
  <c r="U104" i="3" s="1"/>
  <c r="F104" i="3"/>
  <c r="G104" i="3"/>
  <c r="H104" i="3"/>
  <c r="I104" i="3"/>
  <c r="J104" i="3"/>
  <c r="K104" i="3"/>
  <c r="L104" i="3"/>
  <c r="M104" i="3"/>
  <c r="B111" i="3"/>
  <c r="P111" i="3" s="1"/>
  <c r="C111" i="3"/>
  <c r="U111" i="3" s="1"/>
  <c r="D111" i="3"/>
  <c r="E111" i="3"/>
  <c r="F111" i="3"/>
  <c r="G111" i="3"/>
  <c r="H111" i="3"/>
  <c r="I111" i="3"/>
  <c r="J111" i="3"/>
  <c r="K111" i="3"/>
  <c r="L111" i="3"/>
  <c r="M111" i="3"/>
  <c r="V111" i="3"/>
  <c r="I30" i="5" l="1"/>
  <c r="J29" i="5" s="1"/>
  <c r="J30" i="5" s="1"/>
  <c r="K29" i="5" s="1"/>
  <c r="K30" i="5" s="1"/>
  <c r="L29" i="5" s="1"/>
  <c r="L30" i="5" s="1"/>
  <c r="M29" i="5" s="1"/>
  <c r="M30" i="5" s="1"/>
  <c r="B44" i="3"/>
  <c r="P26" i="3"/>
  <c r="R26" i="3" s="1"/>
  <c r="S26" i="3" s="1"/>
  <c r="V104" i="3"/>
  <c r="Q96" i="3"/>
  <c r="R96" i="3" s="1"/>
  <c r="S96" i="3" s="1"/>
  <c r="V43" i="3"/>
  <c r="Q111" i="3"/>
  <c r="R111" i="3" s="1"/>
  <c r="S111" i="3" s="1"/>
  <c r="U26" i="3"/>
  <c r="Q43" i="3"/>
  <c r="R43" i="3" s="1"/>
  <c r="S43" i="3" s="1"/>
  <c r="U43" i="3"/>
  <c r="Q104" i="3"/>
  <c r="R104" i="3" s="1"/>
  <c r="S104" i="3" s="1"/>
  <c r="P44" i="3" l="1"/>
  <c r="B97" i="3"/>
  <c r="Q44" i="3"/>
  <c r="R44" i="3" s="1"/>
  <c r="S44" i="3" s="1"/>
  <c r="U44" i="3"/>
  <c r="V44" i="3"/>
  <c r="B112" i="3" l="1"/>
  <c r="Q97" i="3"/>
  <c r="U97" i="3"/>
  <c r="V97" i="3"/>
  <c r="P97" i="3"/>
  <c r="R97" i="3" l="1"/>
  <c r="S97" i="3" s="1"/>
  <c r="U112" i="3"/>
  <c r="V112" i="3"/>
  <c r="P112" i="3"/>
  <c r="Q112" i="3"/>
  <c r="R112" i="3" s="1"/>
  <c r="S112" i="3" s="1"/>
</calcChain>
</file>

<file path=xl/sharedStrings.xml><?xml version="1.0" encoding="utf-8"?>
<sst xmlns="http://schemas.openxmlformats.org/spreadsheetml/2006/main" count="227" uniqueCount="114">
  <si>
    <t>{{COMPANY_NAME}}</t>
  </si>
  <si>
    <t>Financial Model</t>
  </si>
  <si>
    <t>Profit &amp; Loss Statement</t>
  </si>
  <si>
    <t>YYYYMM</t>
  </si>
  <si>
    <t>Account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</si>
  <si>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</si>
  <si>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</si>
  <si>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</si>
  <si>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</si>
  <si>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</si>
  <si>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</si>
  <si>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</si>
  <si>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</si>
  <si>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</si>
  <si>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</si>
  <si>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</si>
  <si>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</si>
  <si>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Notes</t>
  </si>
  <si>
    <t>PY YTD</t>
  </si>
  <si>
    <t>CY YTD</t>
  </si>
  <si>
    <t>Var $</t>
  </si>
  <si>
    <t>Var %</t>
  </si>
  <si>
    <t>Year 1</t>
  </si>
  <si>
    <t>Year 2</t>
  </si>
  <si>
    <t>Income</t>
  </si>
  <si>
    <t>{{INCOME_ACCOUNTS}}</t>
  </si>
  <si>
    <t>Total Income</t>
  </si>
  <si>
    <t>Cost of Goods Sold</t>
  </si>
  <si>
    <t>{{COGS_ACCOUNTS}}</t>
  </si>
  <si>
    <t>Total Cost of Goods Sold</t>
  </si>
  <si>
    <t>Gross Profit</t>
  </si>
  <si>
    <t>Operating Expenses</t>
  </si>
  <si>
    <t>{{EXPENSE_ACCOUNTS}}</t>
  </si>
  <si>
    <t>Total Operating Expenses</t>
  </si>
  <si>
    <t>Net Operating Income</t>
  </si>
  <si>
    <t>Other Income</t>
  </si>
  <si>
    <t>{{OTHER_INCOME_ACCOUNTS}}</t>
  </si>
  <si>
    <t>Total Other Income</t>
  </si>
  <si>
    <t>Other Expenses</t>
  </si>
  <si>
    <t>{{OTHER_EXPENSE_ACCOUNTS}}</t>
  </si>
  <si>
    <t>Total Other Expenses</t>
  </si>
  <si>
    <t>Net Income</t>
  </si>
  <si>
    <t>Balance Sheet</t>
  </si>
  <si>
    <t>ASSETS</t>
  </si>
  <si>
    <t>Current Assets</t>
  </si>
  <si>
    <t>{{CURRENT_ASSETS}}</t>
  </si>
  <si>
    <t>Total Current Assets</t>
  </si>
  <si>
    <t>Fixed Assets</t>
  </si>
  <si>
    <t>{{FIXED_ASSETS}}</t>
  </si>
  <si>
    <t>Total Fixed Assets</t>
  </si>
  <si>
    <t>TOTAL ASSETS</t>
  </si>
  <si>
    <t>LIABILITIES</t>
  </si>
  <si>
    <t>Current Liabilities</t>
  </si>
  <si>
    <t>{{CURRENT_LIABILITIES}}</t>
  </si>
  <si>
    <t>Total Current Liabilities</t>
  </si>
  <si>
    <t>Long-term Liabilities</t>
  </si>
  <si>
    <t>{{LONGTERM_LIABILITIES}}</t>
  </si>
  <si>
    <t>Total Long-term Liabilities</t>
  </si>
  <si>
    <t>TOTAL LIABILITIES</t>
  </si>
  <si>
    <t>EQUITY</t>
  </si>
  <si>
    <t>{{EQUITY_ACCOUNTS}}</t>
  </si>
  <si>
    <t>TOTAL EQUITY</t>
  </si>
  <si>
    <t>TOTAL LIABILITIES &amp; EQUITY</t>
  </si>
  <si>
    <t>Statement of Cash Flows</t>
  </si>
  <si>
    <t>CASH FLOWS FROM OPERATING ACTIVITIES</t>
  </si>
  <si>
    <t>Adjustments:</t>
  </si>
  <si>
    <t xml:space="preserve">    Depreciation &amp; Amortization</t>
  </si>
  <si>
    <t xml:space="preserve">    Other Non-Cash Items</t>
  </si>
  <si>
    <t>Changes in Working Capital:</t>
  </si>
  <si>
    <t xml:space="preserve">    (Inc)/Dec in Accounts Receivable</t>
  </si>
  <si>
    <t xml:space="preserve">    (Inc)/Dec in Inventory</t>
  </si>
  <si>
    <t xml:space="preserve">    Inc/(Dec) in Accounts Payable</t>
  </si>
  <si>
    <t xml:space="preserve">    Inc/(Dec) in Accrued Expenses</t>
  </si>
  <si>
    <t>Net Cash from Operating Activities</t>
  </si>
  <si>
    <t>CASH FLOWS FROM INVESTING ACTIVITIES</t>
  </si>
  <si>
    <t>Purchase of Equipment</t>
  </si>
  <si>
    <t>Proceeds from Asset Sales</t>
  </si>
  <si>
    <t>Net Cash from Investing Activities</t>
  </si>
  <si>
    <t>CASH FLOWS FROM FINANCING ACTIVITIES</t>
  </si>
  <si>
    <t>Proceeds from Borrowings</t>
  </si>
  <si>
    <t>Repayment of Debt</t>
  </si>
  <si>
    <t>Dividends Paid</t>
  </si>
  <si>
    <t>Net Cash from Financing Activities</t>
  </si>
  <si>
    <t>NET CHANGE IN CASH</t>
  </si>
  <si>
    <t>Beginning Cash Balance</t>
  </si>
  <si>
    <t>Ending Cash Balance</t>
  </si>
  <si>
    <t>Budget vs Actual Forecast</t>
  </si>
  <si>
    <t>Budget</t>
  </si>
  <si>
    <t>Actual</t>
  </si>
  <si>
    <t>{{FORECAST_ACCOUNTS}}</t>
  </si>
  <si>
    <t>Forecast Summary - YTD</t>
  </si>
  <si>
    <t>YTD Budget</t>
  </si>
  <si>
    <t>YTD Actual</t>
  </si>
  <si>
    <t>YTD Var $</t>
  </si>
  <si>
    <t>YTD Var %</t>
  </si>
  <si>
    <t>Full Year Budget</t>
  </si>
  <si>
    <t>Full Year Forecast</t>
  </si>
  <si>
    <t>Remaining</t>
  </si>
  <si>
    <t>{{SUMMARY_ACCOUNTS}}</t>
  </si>
  <si>
    <t>Division</t>
  </si>
  <si>
    <t>DIVISION</t>
  </si>
  <si>
    <t>ACCOUNT</t>
  </si>
  <si>
    <t>Statement</t>
  </si>
  <si>
    <t>Period</t>
  </si>
  <si>
    <t>Note</t>
  </si>
  <si>
    <t>Created By</t>
  </si>
  <si>
    <t>Created Date</t>
  </si>
  <si>
    <t>Dashboard KPI Configuration</t>
  </si>
  <si>
    <t>KPI Name</t>
  </si>
  <si>
    <t>Target</t>
  </si>
  <si>
    <t>Yellow %</t>
  </si>
  <si>
    <t>Red %</t>
  </si>
  <si>
    <t>Direction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</si>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</sst>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6213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DCF0"/>
        <bgColor indexed="64"/>
      </patternFill>
    </fill>
    <fill>
      <patternFill patternType="solid">
        <fgColor rgb="FFF2F2F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Font="1"/>
    <xf numFmtId="0" fontId="6" fillId="2" borderId="0" xfId="0" applyFont="1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" fillId="5" borderId="0" xfId="0" applyFont="1" applyFill="1"/>
    <xf numFmtId="0" fontId="5" fillId="2" borderId="0" xfId="0" applyFont="1" applyFill="1"/>
    <xf numFmtId="3" fontId="0" fillId="0" borderId="0" xfId="0" applyNumberFormat="1"/>
    <xf numFmtId="3" fontId="0" fillId="4" borderId="0" xfId="0" applyNumberFormat="1" applyFill="1"/>
    <xf numFmtId="3" fontId="0" fillId="3" borderId="0" xfId="0" applyNumberFormat="1" applyFill="1"/>
    <xf numFmtId="3" fontId="0" fillId="5" borderId="0" xfId="0" applyNumberFormat="1" applyFill="1"/>
    <xf numFmtId="3" fontId="5" fillId="2" borderId="0" xfId="0" applyNumberFormat="1" applyFont="1" applyFill="1"/>
    <xf numFmtId="164" fontId="0" fillId="0" borderId="0" xfId="0" applyNumberFormat="1"/>
    <xf numFmtId="164" fontId="0" fillId="4" borderId="0" xfId="0" applyNumberFormat="1" applyFill="1"/>
    <xf numFmtId="164" fontId="0" fillId="3" borderId="0" xfId="0" applyNumberFormat="1" applyFill="1"/>
    <xf numFmtId="164" fontId="0" fillId="5" borderId="0" xfId="0" applyNumberFormat="1" applyFill="1"/>
    <xf numFmtId="164" fontId="5" fillId="2" borderId="0" xfId="0" applyNumberFormat="1" applyFont="1" applyFill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FBB99-E010-431B-AD0F-F22CDFCAC4D2}">
  <dimension ref="A1:F3"/>
  <sheetViews>
    <sheetView workbookViewId="0">
      <selection activeCell="F8" sqref="F8"/>
    </sheetView>
  </sheetViews>
  <sheetFormatPr defaultRowHeight="15" x14ac:dyDescent="0.25"/>
  <cols>
    <col min="1" max="1" width="16.140625" customWidth="1"/>
  </cols>
  <sheetData>
    <row r="1" spans="1:6" x14ac:dyDescent="0.25">
      <c r="A1" s="5" t="s">
        <v>107</v>
      </c>
    </row>
    <row r="3" spans="1:6" x14ac:dyDescent="0.25">
      <c r="A3" s="6" t="s">
        <v>108</v>
      </c>
      <c r="B3" s="6" t="s">
        <v>109</v>
      </c>
      <c r="C3" s="6" t="s">
        <v>110</v>
      </c>
      <c r="D3" s="6" t="s">
        <v>111</v>
      </c>
      <c r="E3" s="6" t="s">
        <v>112</v>
      </c>
      <c r="F3" s="6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9CA79-2D28-49EE-B605-032A096FA5FF}">
  <dimension ref="A1:F1"/>
  <sheetViews>
    <sheetView workbookViewId="0"/>
  </sheetViews>
  <sheetFormatPr defaultRowHeight="15" x14ac:dyDescent="0.25"/>
  <sheetData>
    <row r="1" spans="1:6" x14ac:dyDescent="0.25">
      <c r="A1" s="6" t="s">
        <v>102</v>
      </c>
      <c r="B1" s="6" t="s">
        <v>103</v>
      </c>
      <c r="C1" s="6" t="s">
        <v>4</v>
      </c>
      <c r="D1" s="6" t="s">
        <v>104</v>
      </c>
      <c r="E1" s="6" t="s">
        <v>105</v>
      </c>
      <c r="F1" s="6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4F653-DEE9-4341-B25E-AEE5D132BF6B}">
  <dimension ref="A1"/>
  <sheetViews>
    <sheetView tabSelected="1" workbookViewId="0"/>
  </sheetViews>
  <sheetFormatPr defaultRowHeight="15" x14ac:dyDescent="0.25"/>
  <sheetData>
    <row r="1" spans="1:1" x14ac:dyDescent="0.25">
      <c r="A1" s="6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2B2F-E3AC-43F5-81F2-130D4D0C0660}">
  <dimension ref="A1:B2"/>
  <sheetViews>
    <sheetView workbookViewId="0">
      <selection activeCell="I37" sqref="I37"/>
    </sheetView>
  </sheetViews>
  <sheetFormatPr defaultRowHeight="15" x14ac:dyDescent="0.25"/>
  <sheetData>
    <row r="1" spans="1:2" x14ac:dyDescent="0.25">
      <c r="A1" s="6" t="s">
        <v>99</v>
      </c>
      <c r="B1" s="6" t="s">
        <v>4</v>
      </c>
    </row>
    <row r="2" spans="1:2" x14ac:dyDescent="0.25">
      <c r="A2" t="s">
        <v>100</v>
      </c>
      <c r="B2" t="s">
        <v>101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3792F-C939-4727-AA40-1A846747898B}">
  <dimension ref="A1:B2"/>
  <sheetViews>
    <sheetView workbookViewId="0"/>
  </sheetViews>
  <sheetFormatPr defaultRowHeight="15" x14ac:dyDescent="0.25"/>
  <sheetData>
    <row r="1" spans="1:2" x14ac:dyDescent="0.25">
      <c r="A1" s="6" t="s">
        <v>99</v>
      </c>
      <c r="B1" s="6" t="s">
        <v>4</v>
      </c>
    </row>
    <row r="2" spans="1:2" x14ac:dyDescent="0.25">
      <c r="A2" t="s">
        <v>100</v>
      </c>
      <c r="B2" t="s">
        <v>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19CBA-BF06-4FB8-B45E-ECC8971AD85A}">
  <dimension ref="A1:I54"/>
  <sheetViews>
    <sheetView workbookViewId="0">
      <selection activeCell="H17" sqref="H17"/>
    </sheetView>
  </sheetViews>
  <sheetFormatPr defaultRowHeight="15" x14ac:dyDescent="0.25"/>
  <cols>
    <col min="1" max="1" width="35.7109375" customWidth="1"/>
  </cols>
  <sheetData>
    <row r="1" spans="1:9" ht="18.75" x14ac:dyDescent="0.3">
      <c r="A1" s="2" t="s">
        <v>0</v>
      </c>
    </row>
    <row r="2" spans="1:9" ht="15.75" x14ac:dyDescent="0.25">
      <c r="A2" s="3" t="s">
        <v>90</v>
      </c>
    </row>
    <row r="4" spans="1:9" x14ac:dyDescent="0.25">
      <c r="A4" s="6" t="s">
        <v>4</v>
      </c>
      <c r="B4" s="6" t="s">
        <v>91</v>
      </c>
      <c r="C4" s="6" t="s">
        <v>92</v>
      </c>
      <c r="D4" s="6" t="s">
        <v>93</v>
      </c>
      <c r="E4" s="6" t="s">
        <v>94</v>
      </c>
      <c r="F4" s="6" t="s">
        <v>95</v>
      </c>
      <c r="G4" s="6" t="s">
        <v>96</v>
      </c>
      <c r="H4" s="6" t="s">
        <v>97</v>
      </c>
      <c r="I4" s="6" t="s">
        <v>17</v>
      </c>
    </row>
    <row r="5" spans="1:9" x14ac:dyDescent="0.25">
      <c r="A5" t="s">
        <v>98</v>
      </c>
      <c r="B5" s="14"/>
      <c r="C5" s="14"/>
      <c r="D5" s="14">
        <f t="shared" ref="D5:D36" si="0">C5-B5</f>
        <v>0</v>
      </c>
      <c r="E5" s="19">
        <f t="shared" ref="E5:E36" si="1">IFERROR(D5/B5,0)</f>
        <v>0</v>
      </c>
      <c r="F5" s="14"/>
      <c r="G5" s="14"/>
      <c r="H5" s="14">
        <f t="shared" ref="H5:H36" si="2">F5-C5</f>
        <v>0</v>
      </c>
    </row>
    <row r="6" spans="1:9" x14ac:dyDescent="0.25">
      <c r="B6" s="14"/>
      <c r="C6" s="14"/>
      <c r="D6" s="14">
        <f t="shared" si="0"/>
        <v>0</v>
      </c>
      <c r="E6" s="19">
        <f t="shared" si="1"/>
        <v>0</v>
      </c>
      <c r="F6" s="14"/>
      <c r="G6" s="14"/>
      <c r="H6" s="14">
        <f t="shared" si="2"/>
        <v>0</v>
      </c>
    </row>
    <row r="7" spans="1:9" x14ac:dyDescent="0.25">
      <c r="B7" s="14"/>
      <c r="C7" s="14"/>
      <c r="D7" s="14">
        <f t="shared" si="0"/>
        <v>0</v>
      </c>
      <c r="E7" s="19">
        <f t="shared" si="1"/>
        <v>0</v>
      </c>
      <c r="F7" s="14"/>
      <c r="G7" s="14"/>
      <c r="H7" s="14">
        <f t="shared" si="2"/>
        <v>0</v>
      </c>
    </row>
    <row r="8" spans="1:9" x14ac:dyDescent="0.25">
      <c r="B8" s="14"/>
      <c r="C8" s="14"/>
      <c r="D8" s="14">
        <f t="shared" si="0"/>
        <v>0</v>
      </c>
      <c r="E8" s="19">
        <f t="shared" si="1"/>
        <v>0</v>
      </c>
      <c r="F8" s="14"/>
      <c r="G8" s="14"/>
      <c r="H8" s="14">
        <f t="shared" si="2"/>
        <v>0</v>
      </c>
    </row>
    <row r="9" spans="1:9" x14ac:dyDescent="0.25">
      <c r="B9" s="14"/>
      <c r="C9" s="14"/>
      <c r="D9" s="14">
        <f t="shared" si="0"/>
        <v>0</v>
      </c>
      <c r="E9" s="19">
        <f t="shared" si="1"/>
        <v>0</v>
      </c>
      <c r="F9" s="14"/>
      <c r="G9" s="14"/>
      <c r="H9" s="14">
        <f t="shared" si="2"/>
        <v>0</v>
      </c>
    </row>
    <row r="10" spans="1:9" x14ac:dyDescent="0.25">
      <c r="B10" s="14"/>
      <c r="C10" s="14"/>
      <c r="D10" s="14">
        <f t="shared" si="0"/>
        <v>0</v>
      </c>
      <c r="E10" s="19">
        <f t="shared" si="1"/>
        <v>0</v>
      </c>
      <c r="F10" s="14"/>
      <c r="G10" s="14"/>
      <c r="H10" s="14">
        <f t="shared" si="2"/>
        <v>0</v>
      </c>
    </row>
    <row r="11" spans="1:9" x14ac:dyDescent="0.25">
      <c r="B11" s="14"/>
      <c r="C11" s="14"/>
      <c r="D11" s="14">
        <f t="shared" si="0"/>
        <v>0</v>
      </c>
      <c r="E11" s="19">
        <f t="shared" si="1"/>
        <v>0</v>
      </c>
      <c r="F11" s="14"/>
      <c r="G11" s="14"/>
      <c r="H11" s="14">
        <f t="shared" si="2"/>
        <v>0</v>
      </c>
    </row>
    <row r="12" spans="1:9" x14ac:dyDescent="0.25">
      <c r="B12" s="14"/>
      <c r="C12" s="14"/>
      <c r="D12" s="14">
        <f t="shared" si="0"/>
        <v>0</v>
      </c>
      <c r="E12" s="19">
        <f t="shared" si="1"/>
        <v>0</v>
      </c>
      <c r="F12" s="14"/>
      <c r="G12" s="14"/>
      <c r="H12" s="14">
        <f t="shared" si="2"/>
        <v>0</v>
      </c>
    </row>
    <row r="13" spans="1:9" x14ac:dyDescent="0.25">
      <c r="B13" s="14"/>
      <c r="C13" s="14"/>
      <c r="D13" s="14">
        <f t="shared" si="0"/>
        <v>0</v>
      </c>
      <c r="E13" s="19">
        <f t="shared" si="1"/>
        <v>0</v>
      </c>
      <c r="F13" s="14"/>
      <c r="G13" s="14"/>
      <c r="H13" s="14">
        <f t="shared" si="2"/>
        <v>0</v>
      </c>
    </row>
    <row r="14" spans="1:9" x14ac:dyDescent="0.25">
      <c r="B14" s="14"/>
      <c r="C14" s="14"/>
      <c r="D14" s="14">
        <f t="shared" si="0"/>
        <v>0</v>
      </c>
      <c r="E14" s="19">
        <f t="shared" si="1"/>
        <v>0</v>
      </c>
      <c r="F14" s="14"/>
      <c r="G14" s="14"/>
      <c r="H14" s="14">
        <f t="shared" si="2"/>
        <v>0</v>
      </c>
    </row>
    <row r="15" spans="1:9" x14ac:dyDescent="0.25">
      <c r="B15" s="14"/>
      <c r="C15" s="14"/>
      <c r="D15" s="14">
        <f t="shared" si="0"/>
        <v>0</v>
      </c>
      <c r="E15" s="19">
        <f t="shared" si="1"/>
        <v>0</v>
      </c>
      <c r="F15" s="14"/>
      <c r="G15" s="14"/>
      <c r="H15" s="14">
        <f t="shared" si="2"/>
        <v>0</v>
      </c>
    </row>
    <row r="16" spans="1:9" x14ac:dyDescent="0.25">
      <c r="B16" s="14"/>
      <c r="C16" s="14"/>
      <c r="D16" s="14">
        <f t="shared" si="0"/>
        <v>0</v>
      </c>
      <c r="E16" s="19">
        <f t="shared" si="1"/>
        <v>0</v>
      </c>
      <c r="F16" s="14"/>
      <c r="G16" s="14"/>
      <c r="H16" s="14">
        <f t="shared" si="2"/>
        <v>0</v>
      </c>
    </row>
    <row r="17" spans="2:8" x14ac:dyDescent="0.25">
      <c r="B17" s="14"/>
      <c r="C17" s="14"/>
      <c r="D17" s="14">
        <f t="shared" si="0"/>
        <v>0</v>
      </c>
      <c r="E17" s="19">
        <f t="shared" si="1"/>
        <v>0</v>
      </c>
      <c r="F17" s="14"/>
      <c r="G17" s="14"/>
      <c r="H17" s="14">
        <f t="shared" si="2"/>
        <v>0</v>
      </c>
    </row>
    <row r="18" spans="2:8" x14ac:dyDescent="0.25">
      <c r="B18" s="14"/>
      <c r="C18" s="14"/>
      <c r="D18" s="14">
        <f t="shared" si="0"/>
        <v>0</v>
      </c>
      <c r="E18" s="19">
        <f t="shared" si="1"/>
        <v>0</v>
      </c>
      <c r="F18" s="14"/>
      <c r="G18" s="14"/>
      <c r="H18" s="14">
        <f t="shared" si="2"/>
        <v>0</v>
      </c>
    </row>
    <row r="19" spans="2:8" x14ac:dyDescent="0.25">
      <c r="B19" s="14"/>
      <c r="C19" s="14"/>
      <c r="D19" s="14">
        <f t="shared" si="0"/>
        <v>0</v>
      </c>
      <c r="E19" s="19">
        <f t="shared" si="1"/>
        <v>0</v>
      </c>
      <c r="F19" s="14"/>
      <c r="G19" s="14"/>
      <c r="H19" s="14">
        <f t="shared" si="2"/>
        <v>0</v>
      </c>
    </row>
    <row r="20" spans="2:8" x14ac:dyDescent="0.25">
      <c r="B20" s="14"/>
      <c r="C20" s="14"/>
      <c r="D20" s="14">
        <f t="shared" si="0"/>
        <v>0</v>
      </c>
      <c r="E20" s="19">
        <f t="shared" si="1"/>
        <v>0</v>
      </c>
      <c r="F20" s="14"/>
      <c r="G20" s="14"/>
      <c r="H20" s="14">
        <f t="shared" si="2"/>
        <v>0</v>
      </c>
    </row>
    <row r="21" spans="2:8" x14ac:dyDescent="0.25">
      <c r="B21" s="14"/>
      <c r="C21" s="14"/>
      <c r="D21" s="14">
        <f t="shared" si="0"/>
        <v>0</v>
      </c>
      <c r="E21" s="19">
        <f t="shared" si="1"/>
        <v>0</v>
      </c>
      <c r="F21" s="14"/>
      <c r="G21" s="14"/>
      <c r="H21" s="14">
        <f t="shared" si="2"/>
        <v>0</v>
      </c>
    </row>
    <row r="22" spans="2:8" x14ac:dyDescent="0.25">
      <c r="B22" s="14"/>
      <c r="C22" s="14"/>
      <c r="D22" s="14">
        <f t="shared" si="0"/>
        <v>0</v>
      </c>
      <c r="E22" s="19">
        <f t="shared" si="1"/>
        <v>0</v>
      </c>
      <c r="F22" s="14"/>
      <c r="G22" s="14"/>
      <c r="H22" s="14">
        <f t="shared" si="2"/>
        <v>0</v>
      </c>
    </row>
    <row r="23" spans="2:8" x14ac:dyDescent="0.25">
      <c r="B23" s="14"/>
      <c r="C23" s="14"/>
      <c r="D23" s="14">
        <f t="shared" si="0"/>
        <v>0</v>
      </c>
      <c r="E23" s="19">
        <f t="shared" si="1"/>
        <v>0</v>
      </c>
      <c r="F23" s="14"/>
      <c r="G23" s="14"/>
      <c r="H23" s="14">
        <f t="shared" si="2"/>
        <v>0</v>
      </c>
    </row>
    <row r="24" spans="2:8" x14ac:dyDescent="0.25">
      <c r="B24" s="14"/>
      <c r="C24" s="14"/>
      <c r="D24" s="14">
        <f t="shared" si="0"/>
        <v>0</v>
      </c>
      <c r="E24" s="19">
        <f t="shared" si="1"/>
        <v>0</v>
      </c>
      <c r="F24" s="14"/>
      <c r="G24" s="14"/>
      <c r="H24" s="14">
        <f t="shared" si="2"/>
        <v>0</v>
      </c>
    </row>
    <row r="25" spans="2:8" x14ac:dyDescent="0.25">
      <c r="B25" s="14"/>
      <c r="C25" s="14"/>
      <c r="D25" s="14">
        <f t="shared" si="0"/>
        <v>0</v>
      </c>
      <c r="E25" s="19">
        <f t="shared" si="1"/>
        <v>0</v>
      </c>
      <c r="F25" s="14"/>
      <c r="G25" s="14"/>
      <c r="H25" s="14">
        <f t="shared" si="2"/>
        <v>0</v>
      </c>
    </row>
    <row r="26" spans="2:8" x14ac:dyDescent="0.25">
      <c r="B26" s="14"/>
      <c r="C26" s="14"/>
      <c r="D26" s="14">
        <f t="shared" si="0"/>
        <v>0</v>
      </c>
      <c r="E26" s="19">
        <f t="shared" si="1"/>
        <v>0</v>
      </c>
      <c r="F26" s="14"/>
      <c r="G26" s="14"/>
      <c r="H26" s="14">
        <f t="shared" si="2"/>
        <v>0</v>
      </c>
    </row>
    <row r="27" spans="2:8" x14ac:dyDescent="0.25">
      <c r="B27" s="14"/>
      <c r="C27" s="14"/>
      <c r="D27" s="14">
        <f t="shared" si="0"/>
        <v>0</v>
      </c>
      <c r="E27" s="19">
        <f t="shared" si="1"/>
        <v>0</v>
      </c>
      <c r="F27" s="14"/>
      <c r="G27" s="14"/>
      <c r="H27" s="14">
        <f t="shared" si="2"/>
        <v>0</v>
      </c>
    </row>
    <row r="28" spans="2:8" x14ac:dyDescent="0.25">
      <c r="B28" s="14"/>
      <c r="C28" s="14"/>
      <c r="D28" s="14">
        <f t="shared" si="0"/>
        <v>0</v>
      </c>
      <c r="E28" s="19">
        <f t="shared" si="1"/>
        <v>0</v>
      </c>
      <c r="F28" s="14"/>
      <c r="G28" s="14"/>
      <c r="H28" s="14">
        <f t="shared" si="2"/>
        <v>0</v>
      </c>
    </row>
    <row r="29" spans="2:8" x14ac:dyDescent="0.25">
      <c r="B29" s="14"/>
      <c r="C29" s="14"/>
      <c r="D29" s="14">
        <f t="shared" si="0"/>
        <v>0</v>
      </c>
      <c r="E29" s="19">
        <f t="shared" si="1"/>
        <v>0</v>
      </c>
      <c r="F29" s="14"/>
      <c r="G29" s="14"/>
      <c r="H29" s="14">
        <f t="shared" si="2"/>
        <v>0</v>
      </c>
    </row>
    <row r="30" spans="2:8" x14ac:dyDescent="0.25">
      <c r="B30" s="14"/>
      <c r="C30" s="14"/>
      <c r="D30" s="14">
        <f t="shared" si="0"/>
        <v>0</v>
      </c>
      <c r="E30" s="19">
        <f t="shared" si="1"/>
        <v>0</v>
      </c>
      <c r="F30" s="14"/>
      <c r="G30" s="14"/>
      <c r="H30" s="14">
        <f t="shared" si="2"/>
        <v>0</v>
      </c>
    </row>
    <row r="31" spans="2:8" x14ac:dyDescent="0.25">
      <c r="B31" s="14"/>
      <c r="C31" s="14"/>
      <c r="D31" s="14">
        <f t="shared" si="0"/>
        <v>0</v>
      </c>
      <c r="E31" s="19">
        <f t="shared" si="1"/>
        <v>0</v>
      </c>
      <c r="F31" s="14"/>
      <c r="G31" s="14"/>
      <c r="H31" s="14">
        <f t="shared" si="2"/>
        <v>0</v>
      </c>
    </row>
    <row r="32" spans="2:8" x14ac:dyDescent="0.25">
      <c r="B32" s="14"/>
      <c r="C32" s="14"/>
      <c r="D32" s="14">
        <f t="shared" si="0"/>
        <v>0</v>
      </c>
      <c r="E32" s="19">
        <f t="shared" si="1"/>
        <v>0</v>
      </c>
      <c r="F32" s="14"/>
      <c r="G32" s="14"/>
      <c r="H32" s="14">
        <f t="shared" si="2"/>
        <v>0</v>
      </c>
    </row>
    <row r="33" spans="2:8" x14ac:dyDescent="0.25">
      <c r="B33" s="14"/>
      <c r="C33" s="14"/>
      <c r="D33" s="14">
        <f t="shared" si="0"/>
        <v>0</v>
      </c>
      <c r="E33" s="19">
        <f t="shared" si="1"/>
        <v>0</v>
      </c>
      <c r="F33" s="14"/>
      <c r="G33" s="14"/>
      <c r="H33" s="14">
        <f t="shared" si="2"/>
        <v>0</v>
      </c>
    </row>
    <row r="34" spans="2:8" x14ac:dyDescent="0.25">
      <c r="B34" s="14"/>
      <c r="C34" s="14"/>
      <c r="D34" s="14">
        <f t="shared" si="0"/>
        <v>0</v>
      </c>
      <c r="E34" s="19">
        <f t="shared" si="1"/>
        <v>0</v>
      </c>
      <c r="F34" s="14"/>
      <c r="G34" s="14"/>
      <c r="H34" s="14">
        <f t="shared" si="2"/>
        <v>0</v>
      </c>
    </row>
    <row r="35" spans="2:8" x14ac:dyDescent="0.25">
      <c r="B35" s="14"/>
      <c r="C35" s="14"/>
      <c r="D35" s="14">
        <f t="shared" si="0"/>
        <v>0</v>
      </c>
      <c r="E35" s="19">
        <f t="shared" si="1"/>
        <v>0</v>
      </c>
      <c r="F35" s="14"/>
      <c r="G35" s="14"/>
      <c r="H35" s="14">
        <f t="shared" si="2"/>
        <v>0</v>
      </c>
    </row>
    <row r="36" spans="2:8" x14ac:dyDescent="0.25">
      <c r="B36" s="14"/>
      <c r="C36" s="14"/>
      <c r="D36" s="14">
        <f t="shared" si="0"/>
        <v>0</v>
      </c>
      <c r="E36" s="19">
        <f t="shared" si="1"/>
        <v>0</v>
      </c>
      <c r="F36" s="14"/>
      <c r="G36" s="14"/>
      <c r="H36" s="14">
        <f t="shared" si="2"/>
        <v>0</v>
      </c>
    </row>
    <row r="37" spans="2:8" x14ac:dyDescent="0.25">
      <c r="B37" s="14"/>
      <c r="C37" s="14"/>
      <c r="D37" s="14">
        <f t="shared" ref="D37:D68" si="3">C37-B37</f>
        <v>0</v>
      </c>
      <c r="E37" s="19">
        <f t="shared" ref="E37:E68" si="4">IFERROR(D37/B37,0)</f>
        <v>0</v>
      </c>
      <c r="F37" s="14"/>
      <c r="G37" s="14"/>
      <c r="H37" s="14">
        <f t="shared" ref="H37:H54" si="5">F37-C37</f>
        <v>0</v>
      </c>
    </row>
    <row r="38" spans="2:8" x14ac:dyDescent="0.25">
      <c r="B38" s="14"/>
      <c r="C38" s="14"/>
      <c r="D38" s="14">
        <f t="shared" si="3"/>
        <v>0</v>
      </c>
      <c r="E38" s="19">
        <f t="shared" si="4"/>
        <v>0</v>
      </c>
      <c r="F38" s="14"/>
      <c r="G38" s="14"/>
      <c r="H38" s="14">
        <f t="shared" si="5"/>
        <v>0</v>
      </c>
    </row>
    <row r="39" spans="2:8" x14ac:dyDescent="0.25">
      <c r="B39" s="14"/>
      <c r="C39" s="14"/>
      <c r="D39" s="14">
        <f t="shared" si="3"/>
        <v>0</v>
      </c>
      <c r="E39" s="19">
        <f t="shared" si="4"/>
        <v>0</v>
      </c>
      <c r="F39" s="14"/>
      <c r="G39" s="14"/>
      <c r="H39" s="14">
        <f t="shared" si="5"/>
        <v>0</v>
      </c>
    </row>
    <row r="40" spans="2:8" x14ac:dyDescent="0.25">
      <c r="B40" s="14"/>
      <c r="C40" s="14"/>
      <c r="D40" s="14">
        <f t="shared" si="3"/>
        <v>0</v>
      </c>
      <c r="E40" s="19">
        <f t="shared" si="4"/>
        <v>0</v>
      </c>
      <c r="F40" s="14"/>
      <c r="G40" s="14"/>
      <c r="H40" s="14">
        <f t="shared" si="5"/>
        <v>0</v>
      </c>
    </row>
    <row r="41" spans="2:8" x14ac:dyDescent="0.25">
      <c r="B41" s="14"/>
      <c r="C41" s="14"/>
      <c r="D41" s="14">
        <f t="shared" si="3"/>
        <v>0</v>
      </c>
      <c r="E41" s="19">
        <f t="shared" si="4"/>
        <v>0</v>
      </c>
      <c r="F41" s="14"/>
      <c r="G41" s="14"/>
      <c r="H41" s="14">
        <f t="shared" si="5"/>
        <v>0</v>
      </c>
    </row>
    <row r="42" spans="2:8" x14ac:dyDescent="0.25">
      <c r="B42" s="14"/>
      <c r="C42" s="14"/>
      <c r="D42" s="14">
        <f t="shared" si="3"/>
        <v>0</v>
      </c>
      <c r="E42" s="19">
        <f t="shared" si="4"/>
        <v>0</v>
      </c>
      <c r="F42" s="14"/>
      <c r="G42" s="14"/>
      <c r="H42" s="14">
        <f t="shared" si="5"/>
        <v>0</v>
      </c>
    </row>
    <row r="43" spans="2:8" x14ac:dyDescent="0.25">
      <c r="B43" s="14"/>
      <c r="C43" s="14"/>
      <c r="D43" s="14">
        <f t="shared" si="3"/>
        <v>0</v>
      </c>
      <c r="E43" s="19">
        <f t="shared" si="4"/>
        <v>0</v>
      </c>
      <c r="F43" s="14"/>
      <c r="G43" s="14"/>
      <c r="H43" s="14">
        <f t="shared" si="5"/>
        <v>0</v>
      </c>
    </row>
    <row r="44" spans="2:8" x14ac:dyDescent="0.25">
      <c r="B44" s="14"/>
      <c r="C44" s="14"/>
      <c r="D44" s="14">
        <f t="shared" si="3"/>
        <v>0</v>
      </c>
      <c r="E44" s="19">
        <f t="shared" si="4"/>
        <v>0</v>
      </c>
      <c r="F44" s="14"/>
      <c r="G44" s="14"/>
      <c r="H44" s="14">
        <f t="shared" si="5"/>
        <v>0</v>
      </c>
    </row>
    <row r="45" spans="2:8" x14ac:dyDescent="0.25">
      <c r="B45" s="14"/>
      <c r="C45" s="14"/>
      <c r="D45" s="14">
        <f t="shared" si="3"/>
        <v>0</v>
      </c>
      <c r="E45" s="19">
        <f t="shared" si="4"/>
        <v>0</v>
      </c>
      <c r="F45" s="14"/>
      <c r="G45" s="14"/>
      <c r="H45" s="14">
        <f t="shared" si="5"/>
        <v>0</v>
      </c>
    </row>
    <row r="46" spans="2:8" x14ac:dyDescent="0.25">
      <c r="B46" s="14"/>
      <c r="C46" s="14"/>
      <c r="D46" s="14">
        <f t="shared" si="3"/>
        <v>0</v>
      </c>
      <c r="E46" s="19">
        <f t="shared" si="4"/>
        <v>0</v>
      </c>
      <c r="F46" s="14"/>
      <c r="G46" s="14"/>
      <c r="H46" s="14">
        <f t="shared" si="5"/>
        <v>0</v>
      </c>
    </row>
    <row r="47" spans="2:8" x14ac:dyDescent="0.25">
      <c r="B47" s="14"/>
      <c r="C47" s="14"/>
      <c r="D47" s="14">
        <f t="shared" si="3"/>
        <v>0</v>
      </c>
      <c r="E47" s="19">
        <f t="shared" si="4"/>
        <v>0</v>
      </c>
      <c r="F47" s="14"/>
      <c r="G47" s="14"/>
      <c r="H47" s="14">
        <f t="shared" si="5"/>
        <v>0</v>
      </c>
    </row>
    <row r="48" spans="2:8" x14ac:dyDescent="0.25">
      <c r="B48" s="14"/>
      <c r="C48" s="14"/>
      <c r="D48" s="14">
        <f t="shared" si="3"/>
        <v>0</v>
      </c>
      <c r="E48" s="19">
        <f t="shared" si="4"/>
        <v>0</v>
      </c>
      <c r="F48" s="14"/>
      <c r="G48" s="14"/>
      <c r="H48" s="14">
        <f t="shared" si="5"/>
        <v>0</v>
      </c>
    </row>
    <row r="49" spans="2:8" x14ac:dyDescent="0.25">
      <c r="B49" s="14"/>
      <c r="C49" s="14"/>
      <c r="D49" s="14">
        <f t="shared" si="3"/>
        <v>0</v>
      </c>
      <c r="E49" s="19">
        <f t="shared" si="4"/>
        <v>0</v>
      </c>
      <c r="F49" s="14"/>
      <c r="G49" s="14"/>
      <c r="H49" s="14">
        <f t="shared" si="5"/>
        <v>0</v>
      </c>
    </row>
    <row r="50" spans="2:8" x14ac:dyDescent="0.25">
      <c r="B50" s="14"/>
      <c r="C50" s="14"/>
      <c r="D50" s="14">
        <f t="shared" si="3"/>
        <v>0</v>
      </c>
      <c r="E50" s="19">
        <f t="shared" si="4"/>
        <v>0</v>
      </c>
      <c r="F50" s="14"/>
      <c r="G50" s="14"/>
      <c r="H50" s="14">
        <f t="shared" si="5"/>
        <v>0</v>
      </c>
    </row>
    <row r="51" spans="2:8" x14ac:dyDescent="0.25">
      <c r="B51" s="14"/>
      <c r="C51" s="14"/>
      <c r="D51" s="14">
        <f t="shared" si="3"/>
        <v>0</v>
      </c>
      <c r="E51" s="19">
        <f t="shared" si="4"/>
        <v>0</v>
      </c>
      <c r="F51" s="14"/>
      <c r="G51" s="14"/>
      <c r="H51" s="14">
        <f t="shared" si="5"/>
        <v>0</v>
      </c>
    </row>
    <row r="52" spans="2:8" x14ac:dyDescent="0.25">
      <c r="B52" s="14"/>
      <c r="C52" s="14"/>
      <c r="D52" s="14">
        <f t="shared" si="3"/>
        <v>0</v>
      </c>
      <c r="E52" s="19">
        <f t="shared" si="4"/>
        <v>0</v>
      </c>
      <c r="F52" s="14"/>
      <c r="G52" s="14"/>
      <c r="H52" s="14">
        <f t="shared" si="5"/>
        <v>0</v>
      </c>
    </row>
    <row r="53" spans="2:8" x14ac:dyDescent="0.25">
      <c r="B53" s="14"/>
      <c r="C53" s="14"/>
      <c r="D53" s="14">
        <f t="shared" si="3"/>
        <v>0</v>
      </c>
      <c r="E53" s="19">
        <f t="shared" si="4"/>
        <v>0</v>
      </c>
      <c r="F53" s="14"/>
      <c r="G53" s="14"/>
      <c r="H53" s="14">
        <f t="shared" si="5"/>
        <v>0</v>
      </c>
    </row>
    <row r="54" spans="2:8" x14ac:dyDescent="0.25">
      <c r="B54" s="14"/>
      <c r="C54" s="14"/>
      <c r="D54" s="14">
        <f t="shared" si="3"/>
        <v>0</v>
      </c>
      <c r="E54" s="19">
        <f t="shared" si="4"/>
        <v>0</v>
      </c>
      <c r="F54" s="14"/>
      <c r="G54" s="14"/>
      <c r="H54" s="14">
        <f t="shared" si="5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0FDD-D2CC-4226-AA39-D109FB8C34F3}">
  <dimension ref="A1:BI55"/>
  <sheetViews>
    <sheetView workbookViewId="0">
      <selection activeCell="K19" sqref="K19"/>
    </sheetView>
  </sheetViews>
  <sheetFormatPr defaultRowHeight="15" x14ac:dyDescent="0.25"/>
  <cols>
    <col min="1" max="1" width="35.7109375" customWidth="1"/>
  </cols>
  <sheetData>
    <row r="1" spans="1:61" ht="18.75" x14ac:dyDescent="0.3">
      <c r="A1" s="2" t="s">
        <v>0</v>
      </c>
    </row>
    <row r="2" spans="1:61" ht="15.75" x14ac:dyDescent="0.25">
      <c r="A2" s="3" t="s">
        <v>86</v>
      </c>
    </row>
    <row r="4" spans="1:61" x14ac:dyDescent="0.25">
      <c r="A4" s="5"/>
      <c r="B4" s="6" t="s">
        <v>5</v>
      </c>
      <c r="C4" s="6"/>
      <c r="D4" s="6"/>
      <c r="E4" s="6"/>
      <c r="F4" s="6"/>
      <c r="G4" s="6" t="s">
        <v>6</v>
      </c>
      <c r="H4" s="6"/>
      <c r="I4" s="6"/>
      <c r="J4" s="6"/>
      <c r="K4" s="6"/>
      <c r="L4" s="6" t="s">
        <v>7</v>
      </c>
      <c r="M4" s="6"/>
      <c r="N4" s="6"/>
      <c r="O4" s="6"/>
      <c r="P4" s="6"/>
      <c r="Q4" s="6" t="s">
        <v>8</v>
      </c>
      <c r="R4" s="6"/>
      <c r="S4" s="6"/>
      <c r="T4" s="6"/>
      <c r="U4" s="6"/>
      <c r="V4" s="6" t="s">
        <v>9</v>
      </c>
      <c r="W4" s="6"/>
      <c r="X4" s="6"/>
      <c r="Y4" s="6"/>
      <c r="Z4" s="6"/>
      <c r="AA4" s="6" t="s">
        <v>10</v>
      </c>
      <c r="AB4" s="6"/>
      <c r="AC4" s="6"/>
      <c r="AD4" s="6"/>
      <c r="AE4" s="6"/>
      <c r="AF4" s="6" t="s">
        <v>11</v>
      </c>
      <c r="AG4" s="6"/>
      <c r="AH4" s="6"/>
      <c r="AI4" s="6"/>
      <c r="AJ4" s="6"/>
      <c r="AK4" s="6" t="s">
        <v>12</v>
      </c>
      <c r="AL4" s="6"/>
      <c r="AM4" s="6"/>
      <c r="AN4" s="6"/>
      <c r="AO4" s="6"/>
      <c r="AP4" s="6" t="s">
        <v>13</v>
      </c>
      <c r="AQ4" s="6"/>
      <c r="AR4" s="6"/>
      <c r="AS4" s="6"/>
      <c r="AT4" s="6"/>
      <c r="AU4" s="6" t="s">
        <v>14</v>
      </c>
      <c r="AV4" s="6"/>
      <c r="AW4" s="6"/>
      <c r="AX4" s="6"/>
      <c r="AY4" s="6"/>
      <c r="AZ4" s="6" t="s">
        <v>15</v>
      </c>
      <c r="BA4" s="6"/>
      <c r="BB4" s="6"/>
      <c r="BC4" s="6"/>
      <c r="BD4" s="6"/>
      <c r="BE4" s="6" t="s">
        <v>16</v>
      </c>
      <c r="BF4" s="6"/>
      <c r="BG4" s="6"/>
      <c r="BH4" s="6"/>
      <c r="BI4" s="6"/>
    </row>
    <row r="5" spans="1:61" x14ac:dyDescent="0.25">
      <c r="A5" s="24" t="s">
        <v>4</v>
      </c>
      <c r="B5" s="24" t="s">
        <v>87</v>
      </c>
      <c r="C5" s="24" t="s">
        <v>88</v>
      </c>
      <c r="D5" s="24" t="s">
        <v>20</v>
      </c>
      <c r="E5" s="24" t="s">
        <v>21</v>
      </c>
      <c r="F5" s="24" t="s">
        <v>17</v>
      </c>
      <c r="G5" s="24" t="s">
        <v>87</v>
      </c>
      <c r="H5" s="24" t="s">
        <v>88</v>
      </c>
      <c r="I5" s="24" t="s">
        <v>20</v>
      </c>
      <c r="J5" s="24" t="s">
        <v>21</v>
      </c>
      <c r="K5" s="24" t="s">
        <v>17</v>
      </c>
      <c r="L5" s="24" t="s">
        <v>87</v>
      </c>
      <c r="M5" s="24" t="s">
        <v>88</v>
      </c>
      <c r="N5" s="24" t="s">
        <v>20</v>
      </c>
      <c r="O5" s="24" t="s">
        <v>21</v>
      </c>
      <c r="P5" s="24" t="s">
        <v>17</v>
      </c>
      <c r="Q5" s="24" t="s">
        <v>87</v>
      </c>
      <c r="R5" s="24" t="s">
        <v>88</v>
      </c>
      <c r="S5" s="24" t="s">
        <v>20</v>
      </c>
      <c r="T5" s="24" t="s">
        <v>21</v>
      </c>
      <c r="U5" s="24" t="s">
        <v>17</v>
      </c>
      <c r="V5" s="24" t="s">
        <v>87</v>
      </c>
      <c r="W5" s="24" t="s">
        <v>88</v>
      </c>
      <c r="X5" s="24" t="s">
        <v>20</v>
      </c>
      <c r="Y5" s="24" t="s">
        <v>21</v>
      </c>
      <c r="Z5" s="24" t="s">
        <v>17</v>
      </c>
      <c r="AA5" s="24" t="s">
        <v>87</v>
      </c>
      <c r="AB5" s="24" t="s">
        <v>88</v>
      </c>
      <c r="AC5" s="24" t="s">
        <v>20</v>
      </c>
      <c r="AD5" s="24" t="s">
        <v>21</v>
      </c>
      <c r="AE5" s="24" t="s">
        <v>17</v>
      </c>
      <c r="AF5" s="24" t="s">
        <v>87</v>
      </c>
      <c r="AG5" s="24" t="s">
        <v>88</v>
      </c>
      <c r="AH5" s="24" t="s">
        <v>20</v>
      </c>
      <c r="AI5" s="24" t="s">
        <v>21</v>
      </c>
      <c r="AJ5" s="24" t="s">
        <v>17</v>
      </c>
      <c r="AK5" s="24" t="s">
        <v>87</v>
      </c>
      <c r="AL5" s="24" t="s">
        <v>88</v>
      </c>
      <c r="AM5" s="24" t="s">
        <v>20</v>
      </c>
      <c r="AN5" s="24" t="s">
        <v>21</v>
      </c>
      <c r="AO5" s="24" t="s">
        <v>17</v>
      </c>
      <c r="AP5" s="24" t="s">
        <v>87</v>
      </c>
      <c r="AQ5" s="24" t="s">
        <v>88</v>
      </c>
      <c r="AR5" s="24" t="s">
        <v>20</v>
      </c>
      <c r="AS5" s="24" t="s">
        <v>21</v>
      </c>
      <c r="AT5" s="24" t="s">
        <v>17</v>
      </c>
      <c r="AU5" s="24" t="s">
        <v>87</v>
      </c>
      <c r="AV5" s="24" t="s">
        <v>88</v>
      </c>
      <c r="AW5" s="24" t="s">
        <v>20</v>
      </c>
      <c r="AX5" s="24" t="s">
        <v>21</v>
      </c>
      <c r="AY5" s="24" t="s">
        <v>17</v>
      </c>
      <c r="AZ5" s="24" t="s">
        <v>87</v>
      </c>
      <c r="BA5" s="24" t="s">
        <v>88</v>
      </c>
      <c r="BB5" s="24" t="s">
        <v>20</v>
      </c>
      <c r="BC5" s="24" t="s">
        <v>21</v>
      </c>
      <c r="BD5" s="24" t="s">
        <v>17</v>
      </c>
      <c r="BE5" s="24" t="s">
        <v>87</v>
      </c>
      <c r="BF5" s="24" t="s">
        <v>88</v>
      </c>
      <c r="BG5" s="24" t="s">
        <v>20</v>
      </c>
      <c r="BH5" s="24" t="s">
        <v>21</v>
      </c>
      <c r="BI5" s="24" t="s">
        <v>17</v>
      </c>
    </row>
    <row r="6" spans="1:61" x14ac:dyDescent="0.25">
      <c r="A6" t="s">
        <v>89</v>
      </c>
      <c r="D6">
        <f t="shared" ref="D6:D37" si="0">C6-B6</f>
        <v>0</v>
      </c>
      <c r="E6">
        <f t="shared" ref="E6:E37" si="1">IFERROR(D6/B6,0)</f>
        <v>0</v>
      </c>
      <c r="I6">
        <f t="shared" ref="I6:I37" si="2">H6-G6</f>
        <v>0</v>
      </c>
      <c r="J6">
        <f t="shared" ref="J6:J37" si="3">IFERROR(I6/G6,0)</f>
        <v>0</v>
      </c>
      <c r="N6">
        <f t="shared" ref="N6:N37" si="4">M6-L6</f>
        <v>0</v>
      </c>
      <c r="O6">
        <f t="shared" ref="O6:O37" si="5">IFERROR(N6/L6,0)</f>
        <v>0</v>
      </c>
      <c r="S6">
        <f t="shared" ref="S6:S37" si="6">R6-Q6</f>
        <v>0</v>
      </c>
      <c r="T6">
        <f t="shared" ref="T6:T37" si="7">IFERROR(S6/Q6,0)</f>
        <v>0</v>
      </c>
      <c r="X6">
        <f t="shared" ref="X6:X37" si="8">W6-V6</f>
        <v>0</v>
      </c>
      <c r="Y6">
        <f t="shared" ref="Y6:Y37" si="9">IFERROR(X6/V6,0)</f>
        <v>0</v>
      </c>
      <c r="AC6">
        <f t="shared" ref="AC6:AC37" si="10">AB6-AA6</f>
        <v>0</v>
      </c>
      <c r="AD6">
        <f t="shared" ref="AD6:AD37" si="11">IFERROR(AC6/AA6,0)</f>
        <v>0</v>
      </c>
      <c r="AH6">
        <f t="shared" ref="AH6:AH37" si="12">AG6-AF6</f>
        <v>0</v>
      </c>
      <c r="AI6">
        <f t="shared" ref="AI6:AI37" si="13">IFERROR(AH6/AF6,0)</f>
        <v>0</v>
      </c>
      <c r="AM6">
        <f t="shared" ref="AM6:AM37" si="14">AL6-AK6</f>
        <v>0</v>
      </c>
      <c r="AN6">
        <f t="shared" ref="AN6:AN37" si="15">IFERROR(AM6/AK6,0)</f>
        <v>0</v>
      </c>
      <c r="AR6">
        <f t="shared" ref="AR6:AR37" si="16">AQ6-AP6</f>
        <v>0</v>
      </c>
      <c r="AS6">
        <f t="shared" ref="AS6:AS37" si="17">IFERROR(AR6/AP6,0)</f>
        <v>0</v>
      </c>
      <c r="AW6">
        <f t="shared" ref="AW6:AW37" si="18">AV6-AU6</f>
        <v>0</v>
      </c>
      <c r="AX6">
        <f t="shared" ref="AX6:AX37" si="19">IFERROR(AW6/AU6,0)</f>
        <v>0</v>
      </c>
      <c r="BB6">
        <f t="shared" ref="BB6:BB37" si="20">BA6-AZ6</f>
        <v>0</v>
      </c>
      <c r="BC6">
        <f t="shared" ref="BC6:BC37" si="21">IFERROR(BB6/AZ6,0)</f>
        <v>0</v>
      </c>
      <c r="BG6">
        <f t="shared" ref="BG6:BG37" si="22">BF6-BE6</f>
        <v>0</v>
      </c>
      <c r="BH6">
        <f t="shared" ref="BH6:BH37" si="23">IFERROR(BG6/BE6,0)</f>
        <v>0</v>
      </c>
    </row>
    <row r="7" spans="1:61" x14ac:dyDescent="0.25">
      <c r="D7">
        <f t="shared" si="0"/>
        <v>0</v>
      </c>
      <c r="E7">
        <f t="shared" si="1"/>
        <v>0</v>
      </c>
      <c r="I7">
        <f t="shared" si="2"/>
        <v>0</v>
      </c>
      <c r="J7">
        <f t="shared" si="3"/>
        <v>0</v>
      </c>
      <c r="N7">
        <f t="shared" si="4"/>
        <v>0</v>
      </c>
      <c r="O7">
        <f t="shared" si="5"/>
        <v>0</v>
      </c>
      <c r="S7">
        <f t="shared" si="6"/>
        <v>0</v>
      </c>
      <c r="T7">
        <f t="shared" si="7"/>
        <v>0</v>
      </c>
      <c r="X7">
        <f t="shared" si="8"/>
        <v>0</v>
      </c>
      <c r="Y7">
        <f t="shared" si="9"/>
        <v>0</v>
      </c>
      <c r="AC7">
        <f t="shared" si="10"/>
        <v>0</v>
      </c>
      <c r="AD7">
        <f t="shared" si="11"/>
        <v>0</v>
      </c>
      <c r="AH7">
        <f t="shared" si="12"/>
        <v>0</v>
      </c>
      <c r="AI7">
        <f t="shared" si="13"/>
        <v>0</v>
      </c>
      <c r="AM7">
        <f t="shared" si="14"/>
        <v>0</v>
      </c>
      <c r="AN7">
        <f t="shared" si="15"/>
        <v>0</v>
      </c>
      <c r="AR7">
        <f t="shared" si="16"/>
        <v>0</v>
      </c>
      <c r="AS7">
        <f t="shared" si="17"/>
        <v>0</v>
      </c>
      <c r="AW7">
        <f t="shared" si="18"/>
        <v>0</v>
      </c>
      <c r="AX7">
        <f t="shared" si="19"/>
        <v>0</v>
      </c>
      <c r="BB7">
        <f t="shared" si="20"/>
        <v>0</v>
      </c>
      <c r="BC7">
        <f t="shared" si="21"/>
        <v>0</v>
      </c>
      <c r="BG7">
        <f t="shared" si="22"/>
        <v>0</v>
      </c>
      <c r="BH7">
        <f t="shared" si="23"/>
        <v>0</v>
      </c>
    </row>
    <row r="8" spans="1:61" x14ac:dyDescent="0.25">
      <c r="D8">
        <f t="shared" si="0"/>
        <v>0</v>
      </c>
      <c r="E8">
        <f t="shared" si="1"/>
        <v>0</v>
      </c>
      <c r="I8">
        <f t="shared" si="2"/>
        <v>0</v>
      </c>
      <c r="J8">
        <f t="shared" si="3"/>
        <v>0</v>
      </c>
      <c r="N8">
        <f t="shared" si="4"/>
        <v>0</v>
      </c>
      <c r="O8">
        <f t="shared" si="5"/>
        <v>0</v>
      </c>
      <c r="S8">
        <f t="shared" si="6"/>
        <v>0</v>
      </c>
      <c r="T8">
        <f t="shared" si="7"/>
        <v>0</v>
      </c>
      <c r="X8">
        <f t="shared" si="8"/>
        <v>0</v>
      </c>
      <c r="Y8">
        <f t="shared" si="9"/>
        <v>0</v>
      </c>
      <c r="AC8">
        <f t="shared" si="10"/>
        <v>0</v>
      </c>
      <c r="AD8">
        <f t="shared" si="11"/>
        <v>0</v>
      </c>
      <c r="AH8">
        <f t="shared" si="12"/>
        <v>0</v>
      </c>
      <c r="AI8">
        <f t="shared" si="13"/>
        <v>0</v>
      </c>
      <c r="AM8">
        <f t="shared" si="14"/>
        <v>0</v>
      </c>
      <c r="AN8">
        <f t="shared" si="15"/>
        <v>0</v>
      </c>
      <c r="AR8">
        <f t="shared" si="16"/>
        <v>0</v>
      </c>
      <c r="AS8">
        <f t="shared" si="17"/>
        <v>0</v>
      </c>
      <c r="AW8">
        <f t="shared" si="18"/>
        <v>0</v>
      </c>
      <c r="AX8">
        <f t="shared" si="19"/>
        <v>0</v>
      </c>
      <c r="BB8">
        <f t="shared" si="20"/>
        <v>0</v>
      </c>
      <c r="BC8">
        <f t="shared" si="21"/>
        <v>0</v>
      </c>
      <c r="BG8">
        <f t="shared" si="22"/>
        <v>0</v>
      </c>
      <c r="BH8">
        <f t="shared" si="23"/>
        <v>0</v>
      </c>
    </row>
    <row r="9" spans="1:61" x14ac:dyDescent="0.25">
      <c r="D9">
        <f t="shared" si="0"/>
        <v>0</v>
      </c>
      <c r="E9">
        <f t="shared" si="1"/>
        <v>0</v>
      </c>
      <c r="I9">
        <f t="shared" si="2"/>
        <v>0</v>
      </c>
      <c r="J9">
        <f t="shared" si="3"/>
        <v>0</v>
      </c>
      <c r="N9">
        <f t="shared" si="4"/>
        <v>0</v>
      </c>
      <c r="O9">
        <f t="shared" si="5"/>
        <v>0</v>
      </c>
      <c r="S9">
        <f t="shared" si="6"/>
        <v>0</v>
      </c>
      <c r="T9">
        <f t="shared" si="7"/>
        <v>0</v>
      </c>
      <c r="X9">
        <f t="shared" si="8"/>
        <v>0</v>
      </c>
      <c r="Y9">
        <f t="shared" si="9"/>
        <v>0</v>
      </c>
      <c r="AC9">
        <f t="shared" si="10"/>
        <v>0</v>
      </c>
      <c r="AD9">
        <f t="shared" si="11"/>
        <v>0</v>
      </c>
      <c r="AH9">
        <f t="shared" si="12"/>
        <v>0</v>
      </c>
      <c r="AI9">
        <f t="shared" si="13"/>
        <v>0</v>
      </c>
      <c r="AM9">
        <f t="shared" si="14"/>
        <v>0</v>
      </c>
      <c r="AN9">
        <f t="shared" si="15"/>
        <v>0</v>
      </c>
      <c r="AR9">
        <f t="shared" si="16"/>
        <v>0</v>
      </c>
      <c r="AS9">
        <f t="shared" si="17"/>
        <v>0</v>
      </c>
      <c r="AW9">
        <f t="shared" si="18"/>
        <v>0</v>
      </c>
      <c r="AX9">
        <f t="shared" si="19"/>
        <v>0</v>
      </c>
      <c r="BB9">
        <f t="shared" si="20"/>
        <v>0</v>
      </c>
      <c r="BC9">
        <f t="shared" si="21"/>
        <v>0</v>
      </c>
      <c r="BG9">
        <f t="shared" si="22"/>
        <v>0</v>
      </c>
      <c r="BH9">
        <f t="shared" si="23"/>
        <v>0</v>
      </c>
    </row>
    <row r="10" spans="1:61" x14ac:dyDescent="0.25">
      <c r="D10">
        <f t="shared" si="0"/>
        <v>0</v>
      </c>
      <c r="E10">
        <f t="shared" si="1"/>
        <v>0</v>
      </c>
      <c r="I10">
        <f t="shared" si="2"/>
        <v>0</v>
      </c>
      <c r="J10">
        <f t="shared" si="3"/>
        <v>0</v>
      </c>
      <c r="N10">
        <f t="shared" si="4"/>
        <v>0</v>
      </c>
      <c r="O10">
        <f t="shared" si="5"/>
        <v>0</v>
      </c>
      <c r="S10">
        <f t="shared" si="6"/>
        <v>0</v>
      </c>
      <c r="T10">
        <f t="shared" si="7"/>
        <v>0</v>
      </c>
      <c r="X10">
        <f t="shared" si="8"/>
        <v>0</v>
      </c>
      <c r="Y10">
        <f t="shared" si="9"/>
        <v>0</v>
      </c>
      <c r="AC10">
        <f t="shared" si="10"/>
        <v>0</v>
      </c>
      <c r="AD10">
        <f t="shared" si="11"/>
        <v>0</v>
      </c>
      <c r="AH10">
        <f t="shared" si="12"/>
        <v>0</v>
      </c>
      <c r="AI10">
        <f t="shared" si="13"/>
        <v>0</v>
      </c>
      <c r="AM10">
        <f t="shared" si="14"/>
        <v>0</v>
      </c>
      <c r="AN10">
        <f t="shared" si="15"/>
        <v>0</v>
      </c>
      <c r="AR10">
        <f t="shared" si="16"/>
        <v>0</v>
      </c>
      <c r="AS10">
        <f t="shared" si="17"/>
        <v>0</v>
      </c>
      <c r="AW10">
        <f t="shared" si="18"/>
        <v>0</v>
      </c>
      <c r="AX10">
        <f t="shared" si="19"/>
        <v>0</v>
      </c>
      <c r="BB10">
        <f t="shared" si="20"/>
        <v>0</v>
      </c>
      <c r="BC10">
        <f t="shared" si="21"/>
        <v>0</v>
      </c>
      <c r="BG10">
        <f t="shared" si="22"/>
        <v>0</v>
      </c>
      <c r="BH10">
        <f t="shared" si="23"/>
        <v>0</v>
      </c>
    </row>
    <row r="11" spans="1:61" x14ac:dyDescent="0.25">
      <c r="D11">
        <f t="shared" si="0"/>
        <v>0</v>
      </c>
      <c r="E11">
        <f t="shared" si="1"/>
        <v>0</v>
      </c>
      <c r="I11">
        <f t="shared" si="2"/>
        <v>0</v>
      </c>
      <c r="J11">
        <f t="shared" si="3"/>
        <v>0</v>
      </c>
      <c r="N11">
        <f t="shared" si="4"/>
        <v>0</v>
      </c>
      <c r="O11">
        <f t="shared" si="5"/>
        <v>0</v>
      </c>
      <c r="S11">
        <f t="shared" si="6"/>
        <v>0</v>
      </c>
      <c r="T11">
        <f t="shared" si="7"/>
        <v>0</v>
      </c>
      <c r="X11">
        <f t="shared" si="8"/>
        <v>0</v>
      </c>
      <c r="Y11">
        <f t="shared" si="9"/>
        <v>0</v>
      </c>
      <c r="AC11">
        <f t="shared" si="10"/>
        <v>0</v>
      </c>
      <c r="AD11">
        <f t="shared" si="11"/>
        <v>0</v>
      </c>
      <c r="AH11">
        <f t="shared" si="12"/>
        <v>0</v>
      </c>
      <c r="AI11">
        <f t="shared" si="13"/>
        <v>0</v>
      </c>
      <c r="AM11">
        <f t="shared" si="14"/>
        <v>0</v>
      </c>
      <c r="AN11">
        <f t="shared" si="15"/>
        <v>0</v>
      </c>
      <c r="AR11">
        <f t="shared" si="16"/>
        <v>0</v>
      </c>
      <c r="AS11">
        <f t="shared" si="17"/>
        <v>0</v>
      </c>
      <c r="AW11">
        <f t="shared" si="18"/>
        <v>0</v>
      </c>
      <c r="AX11">
        <f t="shared" si="19"/>
        <v>0</v>
      </c>
      <c r="BB11">
        <f t="shared" si="20"/>
        <v>0</v>
      </c>
      <c r="BC11">
        <f t="shared" si="21"/>
        <v>0</v>
      </c>
      <c r="BG11">
        <f t="shared" si="22"/>
        <v>0</v>
      </c>
      <c r="BH11">
        <f t="shared" si="23"/>
        <v>0</v>
      </c>
    </row>
    <row r="12" spans="1:61" x14ac:dyDescent="0.25">
      <c r="D12">
        <f t="shared" si="0"/>
        <v>0</v>
      </c>
      <c r="E12">
        <f t="shared" si="1"/>
        <v>0</v>
      </c>
      <c r="I12">
        <f t="shared" si="2"/>
        <v>0</v>
      </c>
      <c r="J12">
        <f t="shared" si="3"/>
        <v>0</v>
      </c>
      <c r="N12">
        <f t="shared" si="4"/>
        <v>0</v>
      </c>
      <c r="O12">
        <f t="shared" si="5"/>
        <v>0</v>
      </c>
      <c r="S12">
        <f t="shared" si="6"/>
        <v>0</v>
      </c>
      <c r="T12">
        <f t="shared" si="7"/>
        <v>0</v>
      </c>
      <c r="X12">
        <f t="shared" si="8"/>
        <v>0</v>
      </c>
      <c r="Y12">
        <f t="shared" si="9"/>
        <v>0</v>
      </c>
      <c r="AC12">
        <f t="shared" si="10"/>
        <v>0</v>
      </c>
      <c r="AD12">
        <f t="shared" si="11"/>
        <v>0</v>
      </c>
      <c r="AH12">
        <f t="shared" si="12"/>
        <v>0</v>
      </c>
      <c r="AI12">
        <f t="shared" si="13"/>
        <v>0</v>
      </c>
      <c r="AM12">
        <f t="shared" si="14"/>
        <v>0</v>
      </c>
      <c r="AN12">
        <f t="shared" si="15"/>
        <v>0</v>
      </c>
      <c r="AR12">
        <f t="shared" si="16"/>
        <v>0</v>
      </c>
      <c r="AS12">
        <f t="shared" si="17"/>
        <v>0</v>
      </c>
      <c r="AW12">
        <f t="shared" si="18"/>
        <v>0</v>
      </c>
      <c r="AX12">
        <f t="shared" si="19"/>
        <v>0</v>
      </c>
      <c r="BB12">
        <f t="shared" si="20"/>
        <v>0</v>
      </c>
      <c r="BC12">
        <f t="shared" si="21"/>
        <v>0</v>
      </c>
      <c r="BG12">
        <f t="shared" si="22"/>
        <v>0</v>
      </c>
      <c r="BH12">
        <f t="shared" si="23"/>
        <v>0</v>
      </c>
    </row>
    <row r="13" spans="1:61" x14ac:dyDescent="0.25">
      <c r="D13">
        <f t="shared" si="0"/>
        <v>0</v>
      </c>
      <c r="E13">
        <f t="shared" si="1"/>
        <v>0</v>
      </c>
      <c r="I13">
        <f t="shared" si="2"/>
        <v>0</v>
      </c>
      <c r="J13">
        <f t="shared" si="3"/>
        <v>0</v>
      </c>
      <c r="N13">
        <f t="shared" si="4"/>
        <v>0</v>
      </c>
      <c r="O13">
        <f t="shared" si="5"/>
        <v>0</v>
      </c>
      <c r="S13">
        <f t="shared" si="6"/>
        <v>0</v>
      </c>
      <c r="T13">
        <f t="shared" si="7"/>
        <v>0</v>
      </c>
      <c r="X13">
        <f t="shared" si="8"/>
        <v>0</v>
      </c>
      <c r="Y13">
        <f t="shared" si="9"/>
        <v>0</v>
      </c>
      <c r="AC13">
        <f t="shared" si="10"/>
        <v>0</v>
      </c>
      <c r="AD13">
        <f t="shared" si="11"/>
        <v>0</v>
      </c>
      <c r="AH13">
        <f t="shared" si="12"/>
        <v>0</v>
      </c>
      <c r="AI13">
        <f t="shared" si="13"/>
        <v>0</v>
      </c>
      <c r="AM13">
        <f t="shared" si="14"/>
        <v>0</v>
      </c>
      <c r="AN13">
        <f t="shared" si="15"/>
        <v>0</v>
      </c>
      <c r="AR13">
        <f t="shared" si="16"/>
        <v>0</v>
      </c>
      <c r="AS13">
        <f t="shared" si="17"/>
        <v>0</v>
      </c>
      <c r="AW13">
        <f t="shared" si="18"/>
        <v>0</v>
      </c>
      <c r="AX13">
        <f t="shared" si="19"/>
        <v>0</v>
      </c>
      <c r="BB13">
        <f t="shared" si="20"/>
        <v>0</v>
      </c>
      <c r="BC13">
        <f t="shared" si="21"/>
        <v>0</v>
      </c>
      <c r="BG13">
        <f t="shared" si="22"/>
        <v>0</v>
      </c>
      <c r="BH13">
        <f t="shared" si="23"/>
        <v>0</v>
      </c>
    </row>
    <row r="14" spans="1:61" x14ac:dyDescent="0.25">
      <c r="D14">
        <f t="shared" si="0"/>
        <v>0</v>
      </c>
      <c r="E14">
        <f t="shared" si="1"/>
        <v>0</v>
      </c>
      <c r="I14">
        <f t="shared" si="2"/>
        <v>0</v>
      </c>
      <c r="J14">
        <f t="shared" si="3"/>
        <v>0</v>
      </c>
      <c r="N14">
        <f t="shared" si="4"/>
        <v>0</v>
      </c>
      <c r="O14">
        <f t="shared" si="5"/>
        <v>0</v>
      </c>
      <c r="S14">
        <f t="shared" si="6"/>
        <v>0</v>
      </c>
      <c r="T14">
        <f t="shared" si="7"/>
        <v>0</v>
      </c>
      <c r="X14">
        <f t="shared" si="8"/>
        <v>0</v>
      </c>
      <c r="Y14">
        <f t="shared" si="9"/>
        <v>0</v>
      </c>
      <c r="AC14">
        <f t="shared" si="10"/>
        <v>0</v>
      </c>
      <c r="AD14">
        <f t="shared" si="11"/>
        <v>0</v>
      </c>
      <c r="AH14">
        <f t="shared" si="12"/>
        <v>0</v>
      </c>
      <c r="AI14">
        <f t="shared" si="13"/>
        <v>0</v>
      </c>
      <c r="AM14">
        <f t="shared" si="14"/>
        <v>0</v>
      </c>
      <c r="AN14">
        <f t="shared" si="15"/>
        <v>0</v>
      </c>
      <c r="AR14">
        <f t="shared" si="16"/>
        <v>0</v>
      </c>
      <c r="AS14">
        <f t="shared" si="17"/>
        <v>0</v>
      </c>
      <c r="AW14">
        <f t="shared" si="18"/>
        <v>0</v>
      </c>
      <c r="AX14">
        <f t="shared" si="19"/>
        <v>0</v>
      </c>
      <c r="BB14">
        <f t="shared" si="20"/>
        <v>0</v>
      </c>
      <c r="BC14">
        <f t="shared" si="21"/>
        <v>0</v>
      </c>
      <c r="BG14">
        <f t="shared" si="22"/>
        <v>0</v>
      </c>
      <c r="BH14">
        <f t="shared" si="23"/>
        <v>0</v>
      </c>
    </row>
    <row r="15" spans="1:61" x14ac:dyDescent="0.25">
      <c r="D15">
        <f t="shared" si="0"/>
        <v>0</v>
      </c>
      <c r="E15">
        <f t="shared" si="1"/>
        <v>0</v>
      </c>
      <c r="I15">
        <f t="shared" si="2"/>
        <v>0</v>
      </c>
      <c r="J15">
        <f t="shared" si="3"/>
        <v>0</v>
      </c>
      <c r="N15">
        <f t="shared" si="4"/>
        <v>0</v>
      </c>
      <c r="O15">
        <f t="shared" si="5"/>
        <v>0</v>
      </c>
      <c r="S15">
        <f t="shared" si="6"/>
        <v>0</v>
      </c>
      <c r="T15">
        <f t="shared" si="7"/>
        <v>0</v>
      </c>
      <c r="X15">
        <f t="shared" si="8"/>
        <v>0</v>
      </c>
      <c r="Y15">
        <f t="shared" si="9"/>
        <v>0</v>
      </c>
      <c r="AC15">
        <f t="shared" si="10"/>
        <v>0</v>
      </c>
      <c r="AD15">
        <f t="shared" si="11"/>
        <v>0</v>
      </c>
      <c r="AH15">
        <f t="shared" si="12"/>
        <v>0</v>
      </c>
      <c r="AI15">
        <f t="shared" si="13"/>
        <v>0</v>
      </c>
      <c r="AM15">
        <f t="shared" si="14"/>
        <v>0</v>
      </c>
      <c r="AN15">
        <f t="shared" si="15"/>
        <v>0</v>
      </c>
      <c r="AR15">
        <f t="shared" si="16"/>
        <v>0</v>
      </c>
      <c r="AS15">
        <f t="shared" si="17"/>
        <v>0</v>
      </c>
      <c r="AW15">
        <f t="shared" si="18"/>
        <v>0</v>
      </c>
      <c r="AX15">
        <f t="shared" si="19"/>
        <v>0</v>
      </c>
      <c r="BB15">
        <f t="shared" si="20"/>
        <v>0</v>
      </c>
      <c r="BC15">
        <f t="shared" si="21"/>
        <v>0</v>
      </c>
      <c r="BG15">
        <f t="shared" si="22"/>
        <v>0</v>
      </c>
      <c r="BH15">
        <f t="shared" si="23"/>
        <v>0</v>
      </c>
    </row>
    <row r="16" spans="1:61" x14ac:dyDescent="0.25">
      <c r="D16">
        <f t="shared" si="0"/>
        <v>0</v>
      </c>
      <c r="E16">
        <f t="shared" si="1"/>
        <v>0</v>
      </c>
      <c r="I16">
        <f t="shared" si="2"/>
        <v>0</v>
      </c>
      <c r="J16">
        <f t="shared" si="3"/>
        <v>0</v>
      </c>
      <c r="N16">
        <f t="shared" si="4"/>
        <v>0</v>
      </c>
      <c r="O16">
        <f t="shared" si="5"/>
        <v>0</v>
      </c>
      <c r="S16">
        <f t="shared" si="6"/>
        <v>0</v>
      </c>
      <c r="T16">
        <f t="shared" si="7"/>
        <v>0</v>
      </c>
      <c r="X16">
        <f t="shared" si="8"/>
        <v>0</v>
      </c>
      <c r="Y16">
        <f t="shared" si="9"/>
        <v>0</v>
      </c>
      <c r="AC16">
        <f t="shared" si="10"/>
        <v>0</v>
      </c>
      <c r="AD16">
        <f t="shared" si="11"/>
        <v>0</v>
      </c>
      <c r="AH16">
        <f t="shared" si="12"/>
        <v>0</v>
      </c>
      <c r="AI16">
        <f t="shared" si="13"/>
        <v>0</v>
      </c>
      <c r="AM16">
        <f t="shared" si="14"/>
        <v>0</v>
      </c>
      <c r="AN16">
        <f t="shared" si="15"/>
        <v>0</v>
      </c>
      <c r="AR16">
        <f t="shared" si="16"/>
        <v>0</v>
      </c>
      <c r="AS16">
        <f t="shared" si="17"/>
        <v>0</v>
      </c>
      <c r="AW16">
        <f t="shared" si="18"/>
        <v>0</v>
      </c>
      <c r="AX16">
        <f t="shared" si="19"/>
        <v>0</v>
      </c>
      <c r="BB16">
        <f t="shared" si="20"/>
        <v>0</v>
      </c>
      <c r="BC16">
        <f t="shared" si="21"/>
        <v>0</v>
      </c>
      <c r="BG16">
        <f t="shared" si="22"/>
        <v>0</v>
      </c>
      <c r="BH16">
        <f t="shared" si="23"/>
        <v>0</v>
      </c>
    </row>
    <row r="17" spans="4:60" x14ac:dyDescent="0.25">
      <c r="D17">
        <f t="shared" si="0"/>
        <v>0</v>
      </c>
      <c r="E17">
        <f t="shared" si="1"/>
        <v>0</v>
      </c>
      <c r="I17">
        <f t="shared" si="2"/>
        <v>0</v>
      </c>
      <c r="J17">
        <f t="shared" si="3"/>
        <v>0</v>
      </c>
      <c r="N17">
        <f t="shared" si="4"/>
        <v>0</v>
      </c>
      <c r="O17">
        <f t="shared" si="5"/>
        <v>0</v>
      </c>
      <c r="S17">
        <f t="shared" si="6"/>
        <v>0</v>
      </c>
      <c r="T17">
        <f t="shared" si="7"/>
        <v>0</v>
      </c>
      <c r="X17">
        <f t="shared" si="8"/>
        <v>0</v>
      </c>
      <c r="Y17">
        <f t="shared" si="9"/>
        <v>0</v>
      </c>
      <c r="AC17">
        <f t="shared" si="10"/>
        <v>0</v>
      </c>
      <c r="AD17">
        <f t="shared" si="11"/>
        <v>0</v>
      </c>
      <c r="AH17">
        <f t="shared" si="12"/>
        <v>0</v>
      </c>
      <c r="AI17">
        <f t="shared" si="13"/>
        <v>0</v>
      </c>
      <c r="AM17">
        <f t="shared" si="14"/>
        <v>0</v>
      </c>
      <c r="AN17">
        <f t="shared" si="15"/>
        <v>0</v>
      </c>
      <c r="AR17">
        <f t="shared" si="16"/>
        <v>0</v>
      </c>
      <c r="AS17">
        <f t="shared" si="17"/>
        <v>0</v>
      </c>
      <c r="AW17">
        <f t="shared" si="18"/>
        <v>0</v>
      </c>
      <c r="AX17">
        <f t="shared" si="19"/>
        <v>0</v>
      </c>
      <c r="BB17">
        <f t="shared" si="20"/>
        <v>0</v>
      </c>
      <c r="BC17">
        <f t="shared" si="21"/>
        <v>0</v>
      </c>
      <c r="BG17">
        <f t="shared" si="22"/>
        <v>0</v>
      </c>
      <c r="BH17">
        <f t="shared" si="23"/>
        <v>0</v>
      </c>
    </row>
    <row r="18" spans="4:60" x14ac:dyDescent="0.25">
      <c r="D18">
        <f t="shared" si="0"/>
        <v>0</v>
      </c>
      <c r="E18">
        <f t="shared" si="1"/>
        <v>0</v>
      </c>
      <c r="I18">
        <f t="shared" si="2"/>
        <v>0</v>
      </c>
      <c r="J18">
        <f t="shared" si="3"/>
        <v>0</v>
      </c>
      <c r="N18">
        <f t="shared" si="4"/>
        <v>0</v>
      </c>
      <c r="O18">
        <f t="shared" si="5"/>
        <v>0</v>
      </c>
      <c r="S18">
        <f t="shared" si="6"/>
        <v>0</v>
      </c>
      <c r="T18">
        <f t="shared" si="7"/>
        <v>0</v>
      </c>
      <c r="X18">
        <f t="shared" si="8"/>
        <v>0</v>
      </c>
      <c r="Y18">
        <f t="shared" si="9"/>
        <v>0</v>
      </c>
      <c r="AC18">
        <f t="shared" si="10"/>
        <v>0</v>
      </c>
      <c r="AD18">
        <f t="shared" si="11"/>
        <v>0</v>
      </c>
      <c r="AH18">
        <f t="shared" si="12"/>
        <v>0</v>
      </c>
      <c r="AI18">
        <f t="shared" si="13"/>
        <v>0</v>
      </c>
      <c r="AM18">
        <f t="shared" si="14"/>
        <v>0</v>
      </c>
      <c r="AN18">
        <f t="shared" si="15"/>
        <v>0</v>
      </c>
      <c r="AR18">
        <f t="shared" si="16"/>
        <v>0</v>
      </c>
      <c r="AS18">
        <f t="shared" si="17"/>
        <v>0</v>
      </c>
      <c r="AW18">
        <f t="shared" si="18"/>
        <v>0</v>
      </c>
      <c r="AX18">
        <f t="shared" si="19"/>
        <v>0</v>
      </c>
      <c r="BB18">
        <f t="shared" si="20"/>
        <v>0</v>
      </c>
      <c r="BC18">
        <f t="shared" si="21"/>
        <v>0</v>
      </c>
      <c r="BG18">
        <f t="shared" si="22"/>
        <v>0</v>
      </c>
      <c r="BH18">
        <f t="shared" si="23"/>
        <v>0</v>
      </c>
    </row>
    <row r="19" spans="4:60" x14ac:dyDescent="0.25">
      <c r="D19">
        <f t="shared" si="0"/>
        <v>0</v>
      </c>
      <c r="E19">
        <f t="shared" si="1"/>
        <v>0</v>
      </c>
      <c r="I19">
        <f t="shared" si="2"/>
        <v>0</v>
      </c>
      <c r="J19">
        <f t="shared" si="3"/>
        <v>0</v>
      </c>
      <c r="N19">
        <f t="shared" si="4"/>
        <v>0</v>
      </c>
      <c r="O19">
        <f t="shared" si="5"/>
        <v>0</v>
      </c>
      <c r="S19">
        <f t="shared" si="6"/>
        <v>0</v>
      </c>
      <c r="T19">
        <f t="shared" si="7"/>
        <v>0</v>
      </c>
      <c r="X19">
        <f t="shared" si="8"/>
        <v>0</v>
      </c>
      <c r="Y19">
        <f t="shared" si="9"/>
        <v>0</v>
      </c>
      <c r="AC19">
        <f t="shared" si="10"/>
        <v>0</v>
      </c>
      <c r="AD19">
        <f t="shared" si="11"/>
        <v>0</v>
      </c>
      <c r="AH19">
        <f t="shared" si="12"/>
        <v>0</v>
      </c>
      <c r="AI19">
        <f t="shared" si="13"/>
        <v>0</v>
      </c>
      <c r="AM19">
        <f t="shared" si="14"/>
        <v>0</v>
      </c>
      <c r="AN19">
        <f t="shared" si="15"/>
        <v>0</v>
      </c>
      <c r="AR19">
        <f t="shared" si="16"/>
        <v>0</v>
      </c>
      <c r="AS19">
        <f t="shared" si="17"/>
        <v>0</v>
      </c>
      <c r="AW19">
        <f t="shared" si="18"/>
        <v>0</v>
      </c>
      <c r="AX19">
        <f t="shared" si="19"/>
        <v>0</v>
      </c>
      <c r="BB19">
        <f t="shared" si="20"/>
        <v>0</v>
      </c>
      <c r="BC19">
        <f t="shared" si="21"/>
        <v>0</v>
      </c>
      <c r="BG19">
        <f t="shared" si="22"/>
        <v>0</v>
      </c>
      <c r="BH19">
        <f t="shared" si="23"/>
        <v>0</v>
      </c>
    </row>
    <row r="20" spans="4:60" x14ac:dyDescent="0.25">
      <c r="D20">
        <f t="shared" si="0"/>
        <v>0</v>
      </c>
      <c r="E20">
        <f t="shared" si="1"/>
        <v>0</v>
      </c>
      <c r="I20">
        <f t="shared" si="2"/>
        <v>0</v>
      </c>
      <c r="J20">
        <f t="shared" si="3"/>
        <v>0</v>
      </c>
      <c r="N20">
        <f t="shared" si="4"/>
        <v>0</v>
      </c>
      <c r="O20">
        <f t="shared" si="5"/>
        <v>0</v>
      </c>
      <c r="S20">
        <f t="shared" si="6"/>
        <v>0</v>
      </c>
      <c r="T20">
        <f t="shared" si="7"/>
        <v>0</v>
      </c>
      <c r="X20">
        <f t="shared" si="8"/>
        <v>0</v>
      </c>
      <c r="Y20">
        <f t="shared" si="9"/>
        <v>0</v>
      </c>
      <c r="AC20">
        <f t="shared" si="10"/>
        <v>0</v>
      </c>
      <c r="AD20">
        <f t="shared" si="11"/>
        <v>0</v>
      </c>
      <c r="AH20">
        <f t="shared" si="12"/>
        <v>0</v>
      </c>
      <c r="AI20">
        <f t="shared" si="13"/>
        <v>0</v>
      </c>
      <c r="AM20">
        <f t="shared" si="14"/>
        <v>0</v>
      </c>
      <c r="AN20">
        <f t="shared" si="15"/>
        <v>0</v>
      </c>
      <c r="AR20">
        <f t="shared" si="16"/>
        <v>0</v>
      </c>
      <c r="AS20">
        <f t="shared" si="17"/>
        <v>0</v>
      </c>
      <c r="AW20">
        <f t="shared" si="18"/>
        <v>0</v>
      </c>
      <c r="AX20">
        <f t="shared" si="19"/>
        <v>0</v>
      </c>
      <c r="BB20">
        <f t="shared" si="20"/>
        <v>0</v>
      </c>
      <c r="BC20">
        <f t="shared" si="21"/>
        <v>0</v>
      </c>
      <c r="BG20">
        <f t="shared" si="22"/>
        <v>0</v>
      </c>
      <c r="BH20">
        <f t="shared" si="23"/>
        <v>0</v>
      </c>
    </row>
    <row r="21" spans="4:60" x14ac:dyDescent="0.25">
      <c r="D21">
        <f t="shared" si="0"/>
        <v>0</v>
      </c>
      <c r="E21">
        <f t="shared" si="1"/>
        <v>0</v>
      </c>
      <c r="I21">
        <f t="shared" si="2"/>
        <v>0</v>
      </c>
      <c r="J21">
        <f t="shared" si="3"/>
        <v>0</v>
      </c>
      <c r="N21">
        <f t="shared" si="4"/>
        <v>0</v>
      </c>
      <c r="O21">
        <f t="shared" si="5"/>
        <v>0</v>
      </c>
      <c r="S21">
        <f t="shared" si="6"/>
        <v>0</v>
      </c>
      <c r="T21">
        <f t="shared" si="7"/>
        <v>0</v>
      </c>
      <c r="X21">
        <f t="shared" si="8"/>
        <v>0</v>
      </c>
      <c r="Y21">
        <f t="shared" si="9"/>
        <v>0</v>
      </c>
      <c r="AC21">
        <f t="shared" si="10"/>
        <v>0</v>
      </c>
      <c r="AD21">
        <f t="shared" si="11"/>
        <v>0</v>
      </c>
      <c r="AH21">
        <f t="shared" si="12"/>
        <v>0</v>
      </c>
      <c r="AI21">
        <f t="shared" si="13"/>
        <v>0</v>
      </c>
      <c r="AM21">
        <f t="shared" si="14"/>
        <v>0</v>
      </c>
      <c r="AN21">
        <f t="shared" si="15"/>
        <v>0</v>
      </c>
      <c r="AR21">
        <f t="shared" si="16"/>
        <v>0</v>
      </c>
      <c r="AS21">
        <f t="shared" si="17"/>
        <v>0</v>
      </c>
      <c r="AW21">
        <f t="shared" si="18"/>
        <v>0</v>
      </c>
      <c r="AX21">
        <f t="shared" si="19"/>
        <v>0</v>
      </c>
      <c r="BB21">
        <f t="shared" si="20"/>
        <v>0</v>
      </c>
      <c r="BC21">
        <f t="shared" si="21"/>
        <v>0</v>
      </c>
      <c r="BG21">
        <f t="shared" si="22"/>
        <v>0</v>
      </c>
      <c r="BH21">
        <f t="shared" si="23"/>
        <v>0</v>
      </c>
    </row>
    <row r="22" spans="4:60" x14ac:dyDescent="0.25">
      <c r="D22">
        <f t="shared" si="0"/>
        <v>0</v>
      </c>
      <c r="E22">
        <f t="shared" si="1"/>
        <v>0</v>
      </c>
      <c r="I22">
        <f t="shared" si="2"/>
        <v>0</v>
      </c>
      <c r="J22">
        <f t="shared" si="3"/>
        <v>0</v>
      </c>
      <c r="N22">
        <f t="shared" si="4"/>
        <v>0</v>
      </c>
      <c r="O22">
        <f t="shared" si="5"/>
        <v>0</v>
      </c>
      <c r="S22">
        <f t="shared" si="6"/>
        <v>0</v>
      </c>
      <c r="T22">
        <f t="shared" si="7"/>
        <v>0</v>
      </c>
      <c r="X22">
        <f t="shared" si="8"/>
        <v>0</v>
      </c>
      <c r="Y22">
        <f t="shared" si="9"/>
        <v>0</v>
      </c>
      <c r="AC22">
        <f t="shared" si="10"/>
        <v>0</v>
      </c>
      <c r="AD22">
        <f t="shared" si="11"/>
        <v>0</v>
      </c>
      <c r="AH22">
        <f t="shared" si="12"/>
        <v>0</v>
      </c>
      <c r="AI22">
        <f t="shared" si="13"/>
        <v>0</v>
      </c>
      <c r="AM22">
        <f t="shared" si="14"/>
        <v>0</v>
      </c>
      <c r="AN22">
        <f t="shared" si="15"/>
        <v>0</v>
      </c>
      <c r="AR22">
        <f t="shared" si="16"/>
        <v>0</v>
      </c>
      <c r="AS22">
        <f t="shared" si="17"/>
        <v>0</v>
      </c>
      <c r="AW22">
        <f t="shared" si="18"/>
        <v>0</v>
      </c>
      <c r="AX22">
        <f t="shared" si="19"/>
        <v>0</v>
      </c>
      <c r="BB22">
        <f t="shared" si="20"/>
        <v>0</v>
      </c>
      <c r="BC22">
        <f t="shared" si="21"/>
        <v>0</v>
      </c>
      <c r="BG22">
        <f t="shared" si="22"/>
        <v>0</v>
      </c>
      <c r="BH22">
        <f t="shared" si="23"/>
        <v>0</v>
      </c>
    </row>
    <row r="23" spans="4:60" x14ac:dyDescent="0.25">
      <c r="D23">
        <f t="shared" si="0"/>
        <v>0</v>
      </c>
      <c r="E23">
        <f t="shared" si="1"/>
        <v>0</v>
      </c>
      <c r="I23">
        <f t="shared" si="2"/>
        <v>0</v>
      </c>
      <c r="J23">
        <f t="shared" si="3"/>
        <v>0</v>
      </c>
      <c r="N23">
        <f t="shared" si="4"/>
        <v>0</v>
      </c>
      <c r="O23">
        <f t="shared" si="5"/>
        <v>0</v>
      </c>
      <c r="S23">
        <f t="shared" si="6"/>
        <v>0</v>
      </c>
      <c r="T23">
        <f t="shared" si="7"/>
        <v>0</v>
      </c>
      <c r="X23">
        <f t="shared" si="8"/>
        <v>0</v>
      </c>
      <c r="Y23">
        <f t="shared" si="9"/>
        <v>0</v>
      </c>
      <c r="AC23">
        <f t="shared" si="10"/>
        <v>0</v>
      </c>
      <c r="AD23">
        <f t="shared" si="11"/>
        <v>0</v>
      </c>
      <c r="AH23">
        <f t="shared" si="12"/>
        <v>0</v>
      </c>
      <c r="AI23">
        <f t="shared" si="13"/>
        <v>0</v>
      </c>
      <c r="AM23">
        <f t="shared" si="14"/>
        <v>0</v>
      </c>
      <c r="AN23">
        <f t="shared" si="15"/>
        <v>0</v>
      </c>
      <c r="AR23">
        <f t="shared" si="16"/>
        <v>0</v>
      </c>
      <c r="AS23">
        <f t="shared" si="17"/>
        <v>0</v>
      </c>
      <c r="AW23">
        <f t="shared" si="18"/>
        <v>0</v>
      </c>
      <c r="AX23">
        <f t="shared" si="19"/>
        <v>0</v>
      </c>
      <c r="BB23">
        <f t="shared" si="20"/>
        <v>0</v>
      </c>
      <c r="BC23">
        <f t="shared" si="21"/>
        <v>0</v>
      </c>
      <c r="BG23">
        <f t="shared" si="22"/>
        <v>0</v>
      </c>
      <c r="BH23">
        <f t="shared" si="23"/>
        <v>0</v>
      </c>
    </row>
    <row r="24" spans="4:60" x14ac:dyDescent="0.25">
      <c r="D24">
        <f t="shared" si="0"/>
        <v>0</v>
      </c>
      <c r="E24">
        <f t="shared" si="1"/>
        <v>0</v>
      </c>
      <c r="I24">
        <f t="shared" si="2"/>
        <v>0</v>
      </c>
      <c r="J24">
        <f t="shared" si="3"/>
        <v>0</v>
      </c>
      <c r="N24">
        <f t="shared" si="4"/>
        <v>0</v>
      </c>
      <c r="O24">
        <f t="shared" si="5"/>
        <v>0</v>
      </c>
      <c r="S24">
        <f t="shared" si="6"/>
        <v>0</v>
      </c>
      <c r="T24">
        <f t="shared" si="7"/>
        <v>0</v>
      </c>
      <c r="X24">
        <f t="shared" si="8"/>
        <v>0</v>
      </c>
      <c r="Y24">
        <f t="shared" si="9"/>
        <v>0</v>
      </c>
      <c r="AC24">
        <f t="shared" si="10"/>
        <v>0</v>
      </c>
      <c r="AD24">
        <f t="shared" si="11"/>
        <v>0</v>
      </c>
      <c r="AH24">
        <f t="shared" si="12"/>
        <v>0</v>
      </c>
      <c r="AI24">
        <f t="shared" si="13"/>
        <v>0</v>
      </c>
      <c r="AM24">
        <f t="shared" si="14"/>
        <v>0</v>
      </c>
      <c r="AN24">
        <f t="shared" si="15"/>
        <v>0</v>
      </c>
      <c r="AR24">
        <f t="shared" si="16"/>
        <v>0</v>
      </c>
      <c r="AS24">
        <f t="shared" si="17"/>
        <v>0</v>
      </c>
      <c r="AW24">
        <f t="shared" si="18"/>
        <v>0</v>
      </c>
      <c r="AX24">
        <f t="shared" si="19"/>
        <v>0</v>
      </c>
      <c r="BB24">
        <f t="shared" si="20"/>
        <v>0</v>
      </c>
      <c r="BC24">
        <f t="shared" si="21"/>
        <v>0</v>
      </c>
      <c r="BG24">
        <f t="shared" si="22"/>
        <v>0</v>
      </c>
      <c r="BH24">
        <f t="shared" si="23"/>
        <v>0</v>
      </c>
    </row>
    <row r="25" spans="4:60" x14ac:dyDescent="0.25">
      <c r="D25">
        <f t="shared" si="0"/>
        <v>0</v>
      </c>
      <c r="E25">
        <f t="shared" si="1"/>
        <v>0</v>
      </c>
      <c r="I25">
        <f t="shared" si="2"/>
        <v>0</v>
      </c>
      <c r="J25">
        <f t="shared" si="3"/>
        <v>0</v>
      </c>
      <c r="N25">
        <f t="shared" si="4"/>
        <v>0</v>
      </c>
      <c r="O25">
        <f t="shared" si="5"/>
        <v>0</v>
      </c>
      <c r="S25">
        <f t="shared" si="6"/>
        <v>0</v>
      </c>
      <c r="T25">
        <f t="shared" si="7"/>
        <v>0</v>
      </c>
      <c r="X25">
        <f t="shared" si="8"/>
        <v>0</v>
      </c>
      <c r="Y25">
        <f t="shared" si="9"/>
        <v>0</v>
      </c>
      <c r="AC25">
        <f t="shared" si="10"/>
        <v>0</v>
      </c>
      <c r="AD25">
        <f t="shared" si="11"/>
        <v>0</v>
      </c>
      <c r="AH25">
        <f t="shared" si="12"/>
        <v>0</v>
      </c>
      <c r="AI25">
        <f t="shared" si="13"/>
        <v>0</v>
      </c>
      <c r="AM25">
        <f t="shared" si="14"/>
        <v>0</v>
      </c>
      <c r="AN25">
        <f t="shared" si="15"/>
        <v>0</v>
      </c>
      <c r="AR25">
        <f t="shared" si="16"/>
        <v>0</v>
      </c>
      <c r="AS25">
        <f t="shared" si="17"/>
        <v>0</v>
      </c>
      <c r="AW25">
        <f t="shared" si="18"/>
        <v>0</v>
      </c>
      <c r="AX25">
        <f t="shared" si="19"/>
        <v>0</v>
      </c>
      <c r="BB25">
        <f t="shared" si="20"/>
        <v>0</v>
      </c>
      <c r="BC25">
        <f t="shared" si="21"/>
        <v>0</v>
      </c>
      <c r="BG25">
        <f t="shared" si="22"/>
        <v>0</v>
      </c>
      <c r="BH25">
        <f t="shared" si="23"/>
        <v>0</v>
      </c>
    </row>
    <row r="26" spans="4:60" x14ac:dyDescent="0.25">
      <c r="D26">
        <f t="shared" si="0"/>
        <v>0</v>
      </c>
      <c r="E26">
        <f t="shared" si="1"/>
        <v>0</v>
      </c>
      <c r="I26">
        <f t="shared" si="2"/>
        <v>0</v>
      </c>
      <c r="J26">
        <f t="shared" si="3"/>
        <v>0</v>
      </c>
      <c r="N26">
        <f t="shared" si="4"/>
        <v>0</v>
      </c>
      <c r="O26">
        <f t="shared" si="5"/>
        <v>0</v>
      </c>
      <c r="S26">
        <f t="shared" si="6"/>
        <v>0</v>
      </c>
      <c r="T26">
        <f t="shared" si="7"/>
        <v>0</v>
      </c>
      <c r="X26">
        <f t="shared" si="8"/>
        <v>0</v>
      </c>
      <c r="Y26">
        <f t="shared" si="9"/>
        <v>0</v>
      </c>
      <c r="AC26">
        <f t="shared" si="10"/>
        <v>0</v>
      </c>
      <c r="AD26">
        <f t="shared" si="11"/>
        <v>0</v>
      </c>
      <c r="AH26">
        <f t="shared" si="12"/>
        <v>0</v>
      </c>
      <c r="AI26">
        <f t="shared" si="13"/>
        <v>0</v>
      </c>
      <c r="AM26">
        <f t="shared" si="14"/>
        <v>0</v>
      </c>
      <c r="AN26">
        <f t="shared" si="15"/>
        <v>0</v>
      </c>
      <c r="AR26">
        <f t="shared" si="16"/>
        <v>0</v>
      </c>
      <c r="AS26">
        <f t="shared" si="17"/>
        <v>0</v>
      </c>
      <c r="AW26">
        <f t="shared" si="18"/>
        <v>0</v>
      </c>
      <c r="AX26">
        <f t="shared" si="19"/>
        <v>0</v>
      </c>
      <c r="BB26">
        <f t="shared" si="20"/>
        <v>0</v>
      </c>
      <c r="BC26">
        <f t="shared" si="21"/>
        <v>0</v>
      </c>
      <c r="BG26">
        <f t="shared" si="22"/>
        <v>0</v>
      </c>
      <c r="BH26">
        <f t="shared" si="23"/>
        <v>0</v>
      </c>
    </row>
    <row r="27" spans="4:60" x14ac:dyDescent="0.25">
      <c r="D27">
        <f t="shared" si="0"/>
        <v>0</v>
      </c>
      <c r="E27">
        <f t="shared" si="1"/>
        <v>0</v>
      </c>
      <c r="I27">
        <f t="shared" si="2"/>
        <v>0</v>
      </c>
      <c r="J27">
        <f t="shared" si="3"/>
        <v>0</v>
      </c>
      <c r="N27">
        <f t="shared" si="4"/>
        <v>0</v>
      </c>
      <c r="O27">
        <f t="shared" si="5"/>
        <v>0</v>
      </c>
      <c r="S27">
        <f t="shared" si="6"/>
        <v>0</v>
      </c>
      <c r="T27">
        <f t="shared" si="7"/>
        <v>0</v>
      </c>
      <c r="X27">
        <f t="shared" si="8"/>
        <v>0</v>
      </c>
      <c r="Y27">
        <f t="shared" si="9"/>
        <v>0</v>
      </c>
      <c r="AC27">
        <f t="shared" si="10"/>
        <v>0</v>
      </c>
      <c r="AD27">
        <f t="shared" si="11"/>
        <v>0</v>
      </c>
      <c r="AH27">
        <f t="shared" si="12"/>
        <v>0</v>
      </c>
      <c r="AI27">
        <f t="shared" si="13"/>
        <v>0</v>
      </c>
      <c r="AM27">
        <f t="shared" si="14"/>
        <v>0</v>
      </c>
      <c r="AN27">
        <f t="shared" si="15"/>
        <v>0</v>
      </c>
      <c r="AR27">
        <f t="shared" si="16"/>
        <v>0</v>
      </c>
      <c r="AS27">
        <f t="shared" si="17"/>
        <v>0</v>
      </c>
      <c r="AW27">
        <f t="shared" si="18"/>
        <v>0</v>
      </c>
      <c r="AX27">
        <f t="shared" si="19"/>
        <v>0</v>
      </c>
      <c r="BB27">
        <f t="shared" si="20"/>
        <v>0</v>
      </c>
      <c r="BC27">
        <f t="shared" si="21"/>
        <v>0</v>
      </c>
      <c r="BG27">
        <f t="shared" si="22"/>
        <v>0</v>
      </c>
      <c r="BH27">
        <f t="shared" si="23"/>
        <v>0</v>
      </c>
    </row>
    <row r="28" spans="4:60" x14ac:dyDescent="0.25">
      <c r="D28">
        <f t="shared" si="0"/>
        <v>0</v>
      </c>
      <c r="E28">
        <f t="shared" si="1"/>
        <v>0</v>
      </c>
      <c r="I28">
        <f t="shared" si="2"/>
        <v>0</v>
      </c>
      <c r="J28">
        <f t="shared" si="3"/>
        <v>0</v>
      </c>
      <c r="N28">
        <f t="shared" si="4"/>
        <v>0</v>
      </c>
      <c r="O28">
        <f t="shared" si="5"/>
        <v>0</v>
      </c>
      <c r="S28">
        <f t="shared" si="6"/>
        <v>0</v>
      </c>
      <c r="T28">
        <f t="shared" si="7"/>
        <v>0</v>
      </c>
      <c r="X28">
        <f t="shared" si="8"/>
        <v>0</v>
      </c>
      <c r="Y28">
        <f t="shared" si="9"/>
        <v>0</v>
      </c>
      <c r="AC28">
        <f t="shared" si="10"/>
        <v>0</v>
      </c>
      <c r="AD28">
        <f t="shared" si="11"/>
        <v>0</v>
      </c>
      <c r="AH28">
        <f t="shared" si="12"/>
        <v>0</v>
      </c>
      <c r="AI28">
        <f t="shared" si="13"/>
        <v>0</v>
      </c>
      <c r="AM28">
        <f t="shared" si="14"/>
        <v>0</v>
      </c>
      <c r="AN28">
        <f t="shared" si="15"/>
        <v>0</v>
      </c>
      <c r="AR28">
        <f t="shared" si="16"/>
        <v>0</v>
      </c>
      <c r="AS28">
        <f t="shared" si="17"/>
        <v>0</v>
      </c>
      <c r="AW28">
        <f t="shared" si="18"/>
        <v>0</v>
      </c>
      <c r="AX28">
        <f t="shared" si="19"/>
        <v>0</v>
      </c>
      <c r="BB28">
        <f t="shared" si="20"/>
        <v>0</v>
      </c>
      <c r="BC28">
        <f t="shared" si="21"/>
        <v>0</v>
      </c>
      <c r="BG28">
        <f t="shared" si="22"/>
        <v>0</v>
      </c>
      <c r="BH28">
        <f t="shared" si="23"/>
        <v>0</v>
      </c>
    </row>
    <row r="29" spans="4:60" x14ac:dyDescent="0.25">
      <c r="D29">
        <f t="shared" si="0"/>
        <v>0</v>
      </c>
      <c r="E29">
        <f t="shared" si="1"/>
        <v>0</v>
      </c>
      <c r="I29">
        <f t="shared" si="2"/>
        <v>0</v>
      </c>
      <c r="J29">
        <f t="shared" si="3"/>
        <v>0</v>
      </c>
      <c r="N29">
        <f t="shared" si="4"/>
        <v>0</v>
      </c>
      <c r="O29">
        <f t="shared" si="5"/>
        <v>0</v>
      </c>
      <c r="S29">
        <f t="shared" si="6"/>
        <v>0</v>
      </c>
      <c r="T29">
        <f t="shared" si="7"/>
        <v>0</v>
      </c>
      <c r="X29">
        <f t="shared" si="8"/>
        <v>0</v>
      </c>
      <c r="Y29">
        <f t="shared" si="9"/>
        <v>0</v>
      </c>
      <c r="AC29">
        <f t="shared" si="10"/>
        <v>0</v>
      </c>
      <c r="AD29">
        <f t="shared" si="11"/>
        <v>0</v>
      </c>
      <c r="AH29">
        <f t="shared" si="12"/>
        <v>0</v>
      </c>
      <c r="AI29">
        <f t="shared" si="13"/>
        <v>0</v>
      </c>
      <c r="AM29">
        <f t="shared" si="14"/>
        <v>0</v>
      </c>
      <c r="AN29">
        <f t="shared" si="15"/>
        <v>0</v>
      </c>
      <c r="AR29">
        <f t="shared" si="16"/>
        <v>0</v>
      </c>
      <c r="AS29">
        <f t="shared" si="17"/>
        <v>0</v>
      </c>
      <c r="AW29">
        <f t="shared" si="18"/>
        <v>0</v>
      </c>
      <c r="AX29">
        <f t="shared" si="19"/>
        <v>0</v>
      </c>
      <c r="BB29">
        <f t="shared" si="20"/>
        <v>0</v>
      </c>
      <c r="BC29">
        <f t="shared" si="21"/>
        <v>0</v>
      </c>
      <c r="BG29">
        <f t="shared" si="22"/>
        <v>0</v>
      </c>
      <c r="BH29">
        <f t="shared" si="23"/>
        <v>0</v>
      </c>
    </row>
    <row r="30" spans="4:60" x14ac:dyDescent="0.25">
      <c r="D30">
        <f t="shared" si="0"/>
        <v>0</v>
      </c>
      <c r="E30">
        <f t="shared" si="1"/>
        <v>0</v>
      </c>
      <c r="I30">
        <f t="shared" si="2"/>
        <v>0</v>
      </c>
      <c r="J30">
        <f t="shared" si="3"/>
        <v>0</v>
      </c>
      <c r="N30">
        <f t="shared" si="4"/>
        <v>0</v>
      </c>
      <c r="O30">
        <f t="shared" si="5"/>
        <v>0</v>
      </c>
      <c r="S30">
        <f t="shared" si="6"/>
        <v>0</v>
      </c>
      <c r="T30">
        <f t="shared" si="7"/>
        <v>0</v>
      </c>
      <c r="X30">
        <f t="shared" si="8"/>
        <v>0</v>
      </c>
      <c r="Y30">
        <f t="shared" si="9"/>
        <v>0</v>
      </c>
      <c r="AC30">
        <f t="shared" si="10"/>
        <v>0</v>
      </c>
      <c r="AD30">
        <f t="shared" si="11"/>
        <v>0</v>
      </c>
      <c r="AH30">
        <f t="shared" si="12"/>
        <v>0</v>
      </c>
      <c r="AI30">
        <f t="shared" si="13"/>
        <v>0</v>
      </c>
      <c r="AM30">
        <f t="shared" si="14"/>
        <v>0</v>
      </c>
      <c r="AN30">
        <f t="shared" si="15"/>
        <v>0</v>
      </c>
      <c r="AR30">
        <f t="shared" si="16"/>
        <v>0</v>
      </c>
      <c r="AS30">
        <f t="shared" si="17"/>
        <v>0</v>
      </c>
      <c r="AW30">
        <f t="shared" si="18"/>
        <v>0</v>
      </c>
      <c r="AX30">
        <f t="shared" si="19"/>
        <v>0</v>
      </c>
      <c r="BB30">
        <f t="shared" si="20"/>
        <v>0</v>
      </c>
      <c r="BC30">
        <f t="shared" si="21"/>
        <v>0</v>
      </c>
      <c r="BG30">
        <f t="shared" si="22"/>
        <v>0</v>
      </c>
      <c r="BH30">
        <f t="shared" si="23"/>
        <v>0</v>
      </c>
    </row>
    <row r="31" spans="4:60" x14ac:dyDescent="0.25">
      <c r="D31">
        <f t="shared" si="0"/>
        <v>0</v>
      </c>
      <c r="E31">
        <f t="shared" si="1"/>
        <v>0</v>
      </c>
      <c r="I31">
        <f t="shared" si="2"/>
        <v>0</v>
      </c>
      <c r="J31">
        <f t="shared" si="3"/>
        <v>0</v>
      </c>
      <c r="N31">
        <f t="shared" si="4"/>
        <v>0</v>
      </c>
      <c r="O31">
        <f t="shared" si="5"/>
        <v>0</v>
      </c>
      <c r="S31">
        <f t="shared" si="6"/>
        <v>0</v>
      </c>
      <c r="T31">
        <f t="shared" si="7"/>
        <v>0</v>
      </c>
      <c r="X31">
        <f t="shared" si="8"/>
        <v>0</v>
      </c>
      <c r="Y31">
        <f t="shared" si="9"/>
        <v>0</v>
      </c>
      <c r="AC31">
        <f t="shared" si="10"/>
        <v>0</v>
      </c>
      <c r="AD31">
        <f t="shared" si="11"/>
        <v>0</v>
      </c>
      <c r="AH31">
        <f t="shared" si="12"/>
        <v>0</v>
      </c>
      <c r="AI31">
        <f t="shared" si="13"/>
        <v>0</v>
      </c>
      <c r="AM31">
        <f t="shared" si="14"/>
        <v>0</v>
      </c>
      <c r="AN31">
        <f t="shared" si="15"/>
        <v>0</v>
      </c>
      <c r="AR31">
        <f t="shared" si="16"/>
        <v>0</v>
      </c>
      <c r="AS31">
        <f t="shared" si="17"/>
        <v>0</v>
      </c>
      <c r="AW31">
        <f t="shared" si="18"/>
        <v>0</v>
      </c>
      <c r="AX31">
        <f t="shared" si="19"/>
        <v>0</v>
      </c>
      <c r="BB31">
        <f t="shared" si="20"/>
        <v>0</v>
      </c>
      <c r="BC31">
        <f t="shared" si="21"/>
        <v>0</v>
      </c>
      <c r="BG31">
        <f t="shared" si="22"/>
        <v>0</v>
      </c>
      <c r="BH31">
        <f t="shared" si="23"/>
        <v>0</v>
      </c>
    </row>
    <row r="32" spans="4:60" x14ac:dyDescent="0.25">
      <c r="D32">
        <f t="shared" si="0"/>
        <v>0</v>
      </c>
      <c r="E32">
        <f t="shared" si="1"/>
        <v>0</v>
      </c>
      <c r="I32">
        <f t="shared" si="2"/>
        <v>0</v>
      </c>
      <c r="J32">
        <f t="shared" si="3"/>
        <v>0</v>
      </c>
      <c r="N32">
        <f t="shared" si="4"/>
        <v>0</v>
      </c>
      <c r="O32">
        <f t="shared" si="5"/>
        <v>0</v>
      </c>
      <c r="S32">
        <f t="shared" si="6"/>
        <v>0</v>
      </c>
      <c r="T32">
        <f t="shared" si="7"/>
        <v>0</v>
      </c>
      <c r="X32">
        <f t="shared" si="8"/>
        <v>0</v>
      </c>
      <c r="Y32">
        <f t="shared" si="9"/>
        <v>0</v>
      </c>
      <c r="AC32">
        <f t="shared" si="10"/>
        <v>0</v>
      </c>
      <c r="AD32">
        <f t="shared" si="11"/>
        <v>0</v>
      </c>
      <c r="AH32">
        <f t="shared" si="12"/>
        <v>0</v>
      </c>
      <c r="AI32">
        <f t="shared" si="13"/>
        <v>0</v>
      </c>
      <c r="AM32">
        <f t="shared" si="14"/>
        <v>0</v>
      </c>
      <c r="AN32">
        <f t="shared" si="15"/>
        <v>0</v>
      </c>
      <c r="AR32">
        <f t="shared" si="16"/>
        <v>0</v>
      </c>
      <c r="AS32">
        <f t="shared" si="17"/>
        <v>0</v>
      </c>
      <c r="AW32">
        <f t="shared" si="18"/>
        <v>0</v>
      </c>
      <c r="AX32">
        <f t="shared" si="19"/>
        <v>0</v>
      </c>
      <c r="BB32">
        <f t="shared" si="20"/>
        <v>0</v>
      </c>
      <c r="BC32">
        <f t="shared" si="21"/>
        <v>0</v>
      </c>
      <c r="BG32">
        <f t="shared" si="22"/>
        <v>0</v>
      </c>
      <c r="BH32">
        <f t="shared" si="23"/>
        <v>0</v>
      </c>
    </row>
    <row r="33" spans="4:60" x14ac:dyDescent="0.25">
      <c r="D33">
        <f t="shared" si="0"/>
        <v>0</v>
      </c>
      <c r="E33">
        <f t="shared" si="1"/>
        <v>0</v>
      </c>
      <c r="I33">
        <f t="shared" si="2"/>
        <v>0</v>
      </c>
      <c r="J33">
        <f t="shared" si="3"/>
        <v>0</v>
      </c>
      <c r="N33">
        <f t="shared" si="4"/>
        <v>0</v>
      </c>
      <c r="O33">
        <f t="shared" si="5"/>
        <v>0</v>
      </c>
      <c r="S33">
        <f t="shared" si="6"/>
        <v>0</v>
      </c>
      <c r="T33">
        <f t="shared" si="7"/>
        <v>0</v>
      </c>
      <c r="X33">
        <f t="shared" si="8"/>
        <v>0</v>
      </c>
      <c r="Y33">
        <f t="shared" si="9"/>
        <v>0</v>
      </c>
      <c r="AC33">
        <f t="shared" si="10"/>
        <v>0</v>
      </c>
      <c r="AD33">
        <f t="shared" si="11"/>
        <v>0</v>
      </c>
      <c r="AH33">
        <f t="shared" si="12"/>
        <v>0</v>
      </c>
      <c r="AI33">
        <f t="shared" si="13"/>
        <v>0</v>
      </c>
      <c r="AM33">
        <f t="shared" si="14"/>
        <v>0</v>
      </c>
      <c r="AN33">
        <f t="shared" si="15"/>
        <v>0</v>
      </c>
      <c r="AR33">
        <f t="shared" si="16"/>
        <v>0</v>
      </c>
      <c r="AS33">
        <f t="shared" si="17"/>
        <v>0</v>
      </c>
      <c r="AW33">
        <f t="shared" si="18"/>
        <v>0</v>
      </c>
      <c r="AX33">
        <f t="shared" si="19"/>
        <v>0</v>
      </c>
      <c r="BB33">
        <f t="shared" si="20"/>
        <v>0</v>
      </c>
      <c r="BC33">
        <f t="shared" si="21"/>
        <v>0</v>
      </c>
      <c r="BG33">
        <f t="shared" si="22"/>
        <v>0</v>
      </c>
      <c r="BH33">
        <f t="shared" si="23"/>
        <v>0</v>
      </c>
    </row>
    <row r="34" spans="4:60" x14ac:dyDescent="0.25">
      <c r="D34">
        <f t="shared" si="0"/>
        <v>0</v>
      </c>
      <c r="E34">
        <f t="shared" si="1"/>
        <v>0</v>
      </c>
      <c r="I34">
        <f t="shared" si="2"/>
        <v>0</v>
      </c>
      <c r="J34">
        <f t="shared" si="3"/>
        <v>0</v>
      </c>
      <c r="N34">
        <f t="shared" si="4"/>
        <v>0</v>
      </c>
      <c r="O34">
        <f t="shared" si="5"/>
        <v>0</v>
      </c>
      <c r="S34">
        <f t="shared" si="6"/>
        <v>0</v>
      </c>
      <c r="T34">
        <f t="shared" si="7"/>
        <v>0</v>
      </c>
      <c r="X34">
        <f t="shared" si="8"/>
        <v>0</v>
      </c>
      <c r="Y34">
        <f t="shared" si="9"/>
        <v>0</v>
      </c>
      <c r="AC34">
        <f t="shared" si="10"/>
        <v>0</v>
      </c>
      <c r="AD34">
        <f t="shared" si="11"/>
        <v>0</v>
      </c>
      <c r="AH34">
        <f t="shared" si="12"/>
        <v>0</v>
      </c>
      <c r="AI34">
        <f t="shared" si="13"/>
        <v>0</v>
      </c>
      <c r="AM34">
        <f t="shared" si="14"/>
        <v>0</v>
      </c>
      <c r="AN34">
        <f t="shared" si="15"/>
        <v>0</v>
      </c>
      <c r="AR34">
        <f t="shared" si="16"/>
        <v>0</v>
      </c>
      <c r="AS34">
        <f t="shared" si="17"/>
        <v>0</v>
      </c>
      <c r="AW34">
        <f t="shared" si="18"/>
        <v>0</v>
      </c>
      <c r="AX34">
        <f t="shared" si="19"/>
        <v>0</v>
      </c>
      <c r="BB34">
        <f t="shared" si="20"/>
        <v>0</v>
      </c>
      <c r="BC34">
        <f t="shared" si="21"/>
        <v>0</v>
      </c>
      <c r="BG34">
        <f t="shared" si="22"/>
        <v>0</v>
      </c>
      <c r="BH34">
        <f t="shared" si="23"/>
        <v>0</v>
      </c>
    </row>
    <row r="35" spans="4:60" x14ac:dyDescent="0.25">
      <c r="D35">
        <f t="shared" si="0"/>
        <v>0</v>
      </c>
      <c r="E35">
        <f t="shared" si="1"/>
        <v>0</v>
      </c>
      <c r="I35">
        <f t="shared" si="2"/>
        <v>0</v>
      </c>
      <c r="J35">
        <f t="shared" si="3"/>
        <v>0</v>
      </c>
      <c r="N35">
        <f t="shared" si="4"/>
        <v>0</v>
      </c>
      <c r="O35">
        <f t="shared" si="5"/>
        <v>0</v>
      </c>
      <c r="S35">
        <f t="shared" si="6"/>
        <v>0</v>
      </c>
      <c r="T35">
        <f t="shared" si="7"/>
        <v>0</v>
      </c>
      <c r="X35">
        <f t="shared" si="8"/>
        <v>0</v>
      </c>
      <c r="Y35">
        <f t="shared" si="9"/>
        <v>0</v>
      </c>
      <c r="AC35">
        <f t="shared" si="10"/>
        <v>0</v>
      </c>
      <c r="AD35">
        <f t="shared" si="11"/>
        <v>0</v>
      </c>
      <c r="AH35">
        <f t="shared" si="12"/>
        <v>0</v>
      </c>
      <c r="AI35">
        <f t="shared" si="13"/>
        <v>0</v>
      </c>
      <c r="AM35">
        <f t="shared" si="14"/>
        <v>0</v>
      </c>
      <c r="AN35">
        <f t="shared" si="15"/>
        <v>0</v>
      </c>
      <c r="AR35">
        <f t="shared" si="16"/>
        <v>0</v>
      </c>
      <c r="AS35">
        <f t="shared" si="17"/>
        <v>0</v>
      </c>
      <c r="AW35">
        <f t="shared" si="18"/>
        <v>0</v>
      </c>
      <c r="AX35">
        <f t="shared" si="19"/>
        <v>0</v>
      </c>
      <c r="BB35">
        <f t="shared" si="20"/>
        <v>0</v>
      </c>
      <c r="BC35">
        <f t="shared" si="21"/>
        <v>0</v>
      </c>
      <c r="BG35">
        <f t="shared" si="22"/>
        <v>0</v>
      </c>
      <c r="BH35">
        <f t="shared" si="23"/>
        <v>0</v>
      </c>
    </row>
    <row r="36" spans="4:60" x14ac:dyDescent="0.25">
      <c r="D36">
        <f t="shared" si="0"/>
        <v>0</v>
      </c>
      <c r="E36">
        <f t="shared" si="1"/>
        <v>0</v>
      </c>
      <c r="I36">
        <f t="shared" si="2"/>
        <v>0</v>
      </c>
      <c r="J36">
        <f t="shared" si="3"/>
        <v>0</v>
      </c>
      <c r="N36">
        <f t="shared" si="4"/>
        <v>0</v>
      </c>
      <c r="O36">
        <f t="shared" si="5"/>
        <v>0</v>
      </c>
      <c r="S36">
        <f t="shared" si="6"/>
        <v>0</v>
      </c>
      <c r="T36">
        <f t="shared" si="7"/>
        <v>0</v>
      </c>
      <c r="X36">
        <f t="shared" si="8"/>
        <v>0</v>
      </c>
      <c r="Y36">
        <f t="shared" si="9"/>
        <v>0</v>
      </c>
      <c r="AC36">
        <f t="shared" si="10"/>
        <v>0</v>
      </c>
      <c r="AD36">
        <f t="shared" si="11"/>
        <v>0</v>
      </c>
      <c r="AH36">
        <f t="shared" si="12"/>
        <v>0</v>
      </c>
      <c r="AI36">
        <f t="shared" si="13"/>
        <v>0</v>
      </c>
      <c r="AM36">
        <f t="shared" si="14"/>
        <v>0</v>
      </c>
      <c r="AN36">
        <f t="shared" si="15"/>
        <v>0</v>
      </c>
      <c r="AR36">
        <f t="shared" si="16"/>
        <v>0</v>
      </c>
      <c r="AS36">
        <f t="shared" si="17"/>
        <v>0</v>
      </c>
      <c r="AW36">
        <f t="shared" si="18"/>
        <v>0</v>
      </c>
      <c r="AX36">
        <f t="shared" si="19"/>
        <v>0</v>
      </c>
      <c r="BB36">
        <f t="shared" si="20"/>
        <v>0</v>
      </c>
      <c r="BC36">
        <f t="shared" si="21"/>
        <v>0</v>
      </c>
      <c r="BG36">
        <f t="shared" si="22"/>
        <v>0</v>
      </c>
      <c r="BH36">
        <f t="shared" si="23"/>
        <v>0</v>
      </c>
    </row>
    <row r="37" spans="4:60" x14ac:dyDescent="0.25">
      <c r="D37">
        <f t="shared" si="0"/>
        <v>0</v>
      </c>
      <c r="E37">
        <f t="shared" si="1"/>
        <v>0</v>
      </c>
      <c r="I37">
        <f t="shared" si="2"/>
        <v>0</v>
      </c>
      <c r="J37">
        <f t="shared" si="3"/>
        <v>0</v>
      </c>
      <c r="N37">
        <f t="shared" si="4"/>
        <v>0</v>
      </c>
      <c r="O37">
        <f t="shared" si="5"/>
        <v>0</v>
      </c>
      <c r="S37">
        <f t="shared" si="6"/>
        <v>0</v>
      </c>
      <c r="T37">
        <f t="shared" si="7"/>
        <v>0</v>
      </c>
      <c r="X37">
        <f t="shared" si="8"/>
        <v>0</v>
      </c>
      <c r="Y37">
        <f t="shared" si="9"/>
        <v>0</v>
      </c>
      <c r="AC37">
        <f t="shared" si="10"/>
        <v>0</v>
      </c>
      <c r="AD37">
        <f t="shared" si="11"/>
        <v>0</v>
      </c>
      <c r="AH37">
        <f t="shared" si="12"/>
        <v>0</v>
      </c>
      <c r="AI37">
        <f t="shared" si="13"/>
        <v>0</v>
      </c>
      <c r="AM37">
        <f t="shared" si="14"/>
        <v>0</v>
      </c>
      <c r="AN37">
        <f t="shared" si="15"/>
        <v>0</v>
      </c>
      <c r="AR37">
        <f t="shared" si="16"/>
        <v>0</v>
      </c>
      <c r="AS37">
        <f t="shared" si="17"/>
        <v>0</v>
      </c>
      <c r="AW37">
        <f t="shared" si="18"/>
        <v>0</v>
      </c>
      <c r="AX37">
        <f t="shared" si="19"/>
        <v>0</v>
      </c>
      <c r="BB37">
        <f t="shared" si="20"/>
        <v>0</v>
      </c>
      <c r="BC37">
        <f t="shared" si="21"/>
        <v>0</v>
      </c>
      <c r="BG37">
        <f t="shared" si="22"/>
        <v>0</v>
      </c>
      <c r="BH37">
        <f t="shared" si="23"/>
        <v>0</v>
      </c>
    </row>
    <row r="38" spans="4:60" x14ac:dyDescent="0.25">
      <c r="D38">
        <f t="shared" ref="D38:D69" si="24">C38-B38</f>
        <v>0</v>
      </c>
      <c r="E38">
        <f t="shared" ref="E38:E69" si="25">IFERROR(D38/B38,0)</f>
        <v>0</v>
      </c>
      <c r="I38">
        <f t="shared" ref="I38:I69" si="26">H38-G38</f>
        <v>0</v>
      </c>
      <c r="J38">
        <f t="shared" ref="J38:J69" si="27">IFERROR(I38/G38,0)</f>
        <v>0</v>
      </c>
      <c r="N38">
        <f t="shared" ref="N38:N69" si="28">M38-L38</f>
        <v>0</v>
      </c>
      <c r="O38">
        <f t="shared" ref="O38:O69" si="29">IFERROR(N38/L38,0)</f>
        <v>0</v>
      </c>
      <c r="S38">
        <f t="shared" ref="S38:S69" si="30">R38-Q38</f>
        <v>0</v>
      </c>
      <c r="T38">
        <f t="shared" ref="T38:T69" si="31">IFERROR(S38/Q38,0)</f>
        <v>0</v>
      </c>
      <c r="X38">
        <f t="shared" ref="X38:X69" si="32">W38-V38</f>
        <v>0</v>
      </c>
      <c r="Y38">
        <f t="shared" ref="Y38:Y69" si="33">IFERROR(X38/V38,0)</f>
        <v>0</v>
      </c>
      <c r="AC38">
        <f t="shared" ref="AC38:AC69" si="34">AB38-AA38</f>
        <v>0</v>
      </c>
      <c r="AD38">
        <f t="shared" ref="AD38:AD69" si="35">IFERROR(AC38/AA38,0)</f>
        <v>0</v>
      </c>
      <c r="AH38">
        <f t="shared" ref="AH38:AH69" si="36">AG38-AF38</f>
        <v>0</v>
      </c>
      <c r="AI38">
        <f t="shared" ref="AI38:AI69" si="37">IFERROR(AH38/AF38,0)</f>
        <v>0</v>
      </c>
      <c r="AM38">
        <f t="shared" ref="AM38:AM69" si="38">AL38-AK38</f>
        <v>0</v>
      </c>
      <c r="AN38">
        <f t="shared" ref="AN38:AN69" si="39">IFERROR(AM38/AK38,0)</f>
        <v>0</v>
      </c>
      <c r="AR38">
        <f t="shared" ref="AR38:AR69" si="40">AQ38-AP38</f>
        <v>0</v>
      </c>
      <c r="AS38">
        <f t="shared" ref="AS38:AS69" si="41">IFERROR(AR38/AP38,0)</f>
        <v>0</v>
      </c>
      <c r="AW38">
        <f t="shared" ref="AW38:AW69" si="42">AV38-AU38</f>
        <v>0</v>
      </c>
      <c r="AX38">
        <f t="shared" ref="AX38:AX69" si="43">IFERROR(AW38/AU38,0)</f>
        <v>0</v>
      </c>
      <c r="BB38">
        <f t="shared" ref="BB38:BB69" si="44">BA38-AZ38</f>
        <v>0</v>
      </c>
      <c r="BC38">
        <f t="shared" ref="BC38:BC69" si="45">IFERROR(BB38/AZ38,0)</f>
        <v>0</v>
      </c>
      <c r="BG38">
        <f t="shared" ref="BG38:BG69" si="46">BF38-BE38</f>
        <v>0</v>
      </c>
      <c r="BH38">
        <f t="shared" ref="BH38:BH69" si="47">IFERROR(BG38/BE38,0)</f>
        <v>0</v>
      </c>
    </row>
    <row r="39" spans="4:60" x14ac:dyDescent="0.25">
      <c r="D39">
        <f t="shared" si="24"/>
        <v>0</v>
      </c>
      <c r="E39">
        <f t="shared" si="25"/>
        <v>0</v>
      </c>
      <c r="I39">
        <f t="shared" si="26"/>
        <v>0</v>
      </c>
      <c r="J39">
        <f t="shared" si="27"/>
        <v>0</v>
      </c>
      <c r="N39">
        <f t="shared" si="28"/>
        <v>0</v>
      </c>
      <c r="O39">
        <f t="shared" si="29"/>
        <v>0</v>
      </c>
      <c r="S39">
        <f t="shared" si="30"/>
        <v>0</v>
      </c>
      <c r="T39">
        <f t="shared" si="31"/>
        <v>0</v>
      </c>
      <c r="X39">
        <f t="shared" si="32"/>
        <v>0</v>
      </c>
      <c r="Y39">
        <f t="shared" si="33"/>
        <v>0</v>
      </c>
      <c r="AC39">
        <f t="shared" si="34"/>
        <v>0</v>
      </c>
      <c r="AD39">
        <f t="shared" si="35"/>
        <v>0</v>
      </c>
      <c r="AH39">
        <f t="shared" si="36"/>
        <v>0</v>
      </c>
      <c r="AI39">
        <f t="shared" si="37"/>
        <v>0</v>
      </c>
      <c r="AM39">
        <f t="shared" si="38"/>
        <v>0</v>
      </c>
      <c r="AN39">
        <f t="shared" si="39"/>
        <v>0</v>
      </c>
      <c r="AR39">
        <f t="shared" si="40"/>
        <v>0</v>
      </c>
      <c r="AS39">
        <f t="shared" si="41"/>
        <v>0</v>
      </c>
      <c r="AW39">
        <f t="shared" si="42"/>
        <v>0</v>
      </c>
      <c r="AX39">
        <f t="shared" si="43"/>
        <v>0</v>
      </c>
      <c r="BB39">
        <f t="shared" si="44"/>
        <v>0</v>
      </c>
      <c r="BC39">
        <f t="shared" si="45"/>
        <v>0</v>
      </c>
      <c r="BG39">
        <f t="shared" si="46"/>
        <v>0</v>
      </c>
      <c r="BH39">
        <f t="shared" si="47"/>
        <v>0</v>
      </c>
    </row>
    <row r="40" spans="4:60" x14ac:dyDescent="0.25">
      <c r="D40">
        <f t="shared" si="24"/>
        <v>0</v>
      </c>
      <c r="E40">
        <f t="shared" si="25"/>
        <v>0</v>
      </c>
      <c r="I40">
        <f t="shared" si="26"/>
        <v>0</v>
      </c>
      <c r="J40">
        <f t="shared" si="27"/>
        <v>0</v>
      </c>
      <c r="N40">
        <f t="shared" si="28"/>
        <v>0</v>
      </c>
      <c r="O40">
        <f t="shared" si="29"/>
        <v>0</v>
      </c>
      <c r="S40">
        <f t="shared" si="30"/>
        <v>0</v>
      </c>
      <c r="T40">
        <f t="shared" si="31"/>
        <v>0</v>
      </c>
      <c r="X40">
        <f t="shared" si="32"/>
        <v>0</v>
      </c>
      <c r="Y40">
        <f t="shared" si="33"/>
        <v>0</v>
      </c>
      <c r="AC40">
        <f t="shared" si="34"/>
        <v>0</v>
      </c>
      <c r="AD40">
        <f t="shared" si="35"/>
        <v>0</v>
      </c>
      <c r="AH40">
        <f t="shared" si="36"/>
        <v>0</v>
      </c>
      <c r="AI40">
        <f t="shared" si="37"/>
        <v>0</v>
      </c>
      <c r="AM40">
        <f t="shared" si="38"/>
        <v>0</v>
      </c>
      <c r="AN40">
        <f t="shared" si="39"/>
        <v>0</v>
      </c>
      <c r="AR40">
        <f t="shared" si="40"/>
        <v>0</v>
      </c>
      <c r="AS40">
        <f t="shared" si="41"/>
        <v>0</v>
      </c>
      <c r="AW40">
        <f t="shared" si="42"/>
        <v>0</v>
      </c>
      <c r="AX40">
        <f t="shared" si="43"/>
        <v>0</v>
      </c>
      <c r="BB40">
        <f t="shared" si="44"/>
        <v>0</v>
      </c>
      <c r="BC40">
        <f t="shared" si="45"/>
        <v>0</v>
      </c>
      <c r="BG40">
        <f t="shared" si="46"/>
        <v>0</v>
      </c>
      <c r="BH40">
        <f t="shared" si="47"/>
        <v>0</v>
      </c>
    </row>
    <row r="41" spans="4:60" x14ac:dyDescent="0.25">
      <c r="D41">
        <f t="shared" si="24"/>
        <v>0</v>
      </c>
      <c r="E41">
        <f t="shared" si="25"/>
        <v>0</v>
      </c>
      <c r="I41">
        <f t="shared" si="26"/>
        <v>0</v>
      </c>
      <c r="J41">
        <f t="shared" si="27"/>
        <v>0</v>
      </c>
      <c r="N41">
        <f t="shared" si="28"/>
        <v>0</v>
      </c>
      <c r="O41">
        <f t="shared" si="29"/>
        <v>0</v>
      </c>
      <c r="S41">
        <f t="shared" si="30"/>
        <v>0</v>
      </c>
      <c r="T41">
        <f t="shared" si="31"/>
        <v>0</v>
      </c>
      <c r="X41">
        <f t="shared" si="32"/>
        <v>0</v>
      </c>
      <c r="Y41">
        <f t="shared" si="33"/>
        <v>0</v>
      </c>
      <c r="AC41">
        <f t="shared" si="34"/>
        <v>0</v>
      </c>
      <c r="AD41">
        <f t="shared" si="35"/>
        <v>0</v>
      </c>
      <c r="AH41">
        <f t="shared" si="36"/>
        <v>0</v>
      </c>
      <c r="AI41">
        <f t="shared" si="37"/>
        <v>0</v>
      </c>
      <c r="AM41">
        <f t="shared" si="38"/>
        <v>0</v>
      </c>
      <c r="AN41">
        <f t="shared" si="39"/>
        <v>0</v>
      </c>
      <c r="AR41">
        <f t="shared" si="40"/>
        <v>0</v>
      </c>
      <c r="AS41">
        <f t="shared" si="41"/>
        <v>0</v>
      </c>
      <c r="AW41">
        <f t="shared" si="42"/>
        <v>0</v>
      </c>
      <c r="AX41">
        <f t="shared" si="43"/>
        <v>0</v>
      </c>
      <c r="BB41">
        <f t="shared" si="44"/>
        <v>0</v>
      </c>
      <c r="BC41">
        <f t="shared" si="45"/>
        <v>0</v>
      </c>
      <c r="BG41">
        <f t="shared" si="46"/>
        <v>0</v>
      </c>
      <c r="BH41">
        <f t="shared" si="47"/>
        <v>0</v>
      </c>
    </row>
    <row r="42" spans="4:60" x14ac:dyDescent="0.25">
      <c r="D42">
        <f t="shared" si="24"/>
        <v>0</v>
      </c>
      <c r="E42">
        <f t="shared" si="25"/>
        <v>0</v>
      </c>
      <c r="I42">
        <f t="shared" si="26"/>
        <v>0</v>
      </c>
      <c r="J42">
        <f t="shared" si="27"/>
        <v>0</v>
      </c>
      <c r="N42">
        <f t="shared" si="28"/>
        <v>0</v>
      </c>
      <c r="O42">
        <f t="shared" si="29"/>
        <v>0</v>
      </c>
      <c r="S42">
        <f t="shared" si="30"/>
        <v>0</v>
      </c>
      <c r="T42">
        <f t="shared" si="31"/>
        <v>0</v>
      </c>
      <c r="X42">
        <f t="shared" si="32"/>
        <v>0</v>
      </c>
      <c r="Y42">
        <f t="shared" si="33"/>
        <v>0</v>
      </c>
      <c r="AC42">
        <f t="shared" si="34"/>
        <v>0</v>
      </c>
      <c r="AD42">
        <f t="shared" si="35"/>
        <v>0</v>
      </c>
      <c r="AH42">
        <f t="shared" si="36"/>
        <v>0</v>
      </c>
      <c r="AI42">
        <f t="shared" si="37"/>
        <v>0</v>
      </c>
      <c r="AM42">
        <f t="shared" si="38"/>
        <v>0</v>
      </c>
      <c r="AN42">
        <f t="shared" si="39"/>
        <v>0</v>
      </c>
      <c r="AR42">
        <f t="shared" si="40"/>
        <v>0</v>
      </c>
      <c r="AS42">
        <f t="shared" si="41"/>
        <v>0</v>
      </c>
      <c r="AW42">
        <f t="shared" si="42"/>
        <v>0</v>
      </c>
      <c r="AX42">
        <f t="shared" si="43"/>
        <v>0</v>
      </c>
      <c r="BB42">
        <f t="shared" si="44"/>
        <v>0</v>
      </c>
      <c r="BC42">
        <f t="shared" si="45"/>
        <v>0</v>
      </c>
      <c r="BG42">
        <f t="shared" si="46"/>
        <v>0</v>
      </c>
      <c r="BH42">
        <f t="shared" si="47"/>
        <v>0</v>
      </c>
    </row>
    <row r="43" spans="4:60" x14ac:dyDescent="0.25">
      <c r="D43">
        <f t="shared" si="24"/>
        <v>0</v>
      </c>
      <c r="E43">
        <f t="shared" si="25"/>
        <v>0</v>
      </c>
      <c r="I43">
        <f t="shared" si="26"/>
        <v>0</v>
      </c>
      <c r="J43">
        <f t="shared" si="27"/>
        <v>0</v>
      </c>
      <c r="N43">
        <f t="shared" si="28"/>
        <v>0</v>
      </c>
      <c r="O43">
        <f t="shared" si="29"/>
        <v>0</v>
      </c>
      <c r="S43">
        <f t="shared" si="30"/>
        <v>0</v>
      </c>
      <c r="T43">
        <f t="shared" si="31"/>
        <v>0</v>
      </c>
      <c r="X43">
        <f t="shared" si="32"/>
        <v>0</v>
      </c>
      <c r="Y43">
        <f t="shared" si="33"/>
        <v>0</v>
      </c>
      <c r="AC43">
        <f t="shared" si="34"/>
        <v>0</v>
      </c>
      <c r="AD43">
        <f t="shared" si="35"/>
        <v>0</v>
      </c>
      <c r="AH43">
        <f t="shared" si="36"/>
        <v>0</v>
      </c>
      <c r="AI43">
        <f t="shared" si="37"/>
        <v>0</v>
      </c>
      <c r="AM43">
        <f t="shared" si="38"/>
        <v>0</v>
      </c>
      <c r="AN43">
        <f t="shared" si="39"/>
        <v>0</v>
      </c>
      <c r="AR43">
        <f t="shared" si="40"/>
        <v>0</v>
      </c>
      <c r="AS43">
        <f t="shared" si="41"/>
        <v>0</v>
      </c>
      <c r="AW43">
        <f t="shared" si="42"/>
        <v>0</v>
      </c>
      <c r="AX43">
        <f t="shared" si="43"/>
        <v>0</v>
      </c>
      <c r="BB43">
        <f t="shared" si="44"/>
        <v>0</v>
      </c>
      <c r="BC43">
        <f t="shared" si="45"/>
        <v>0</v>
      </c>
      <c r="BG43">
        <f t="shared" si="46"/>
        <v>0</v>
      </c>
      <c r="BH43">
        <f t="shared" si="47"/>
        <v>0</v>
      </c>
    </row>
    <row r="44" spans="4:60" x14ac:dyDescent="0.25">
      <c r="D44">
        <f t="shared" si="24"/>
        <v>0</v>
      </c>
      <c r="E44">
        <f t="shared" si="25"/>
        <v>0</v>
      </c>
      <c r="I44">
        <f t="shared" si="26"/>
        <v>0</v>
      </c>
      <c r="J44">
        <f t="shared" si="27"/>
        <v>0</v>
      </c>
      <c r="N44">
        <f t="shared" si="28"/>
        <v>0</v>
      </c>
      <c r="O44">
        <f t="shared" si="29"/>
        <v>0</v>
      </c>
      <c r="S44">
        <f t="shared" si="30"/>
        <v>0</v>
      </c>
      <c r="T44">
        <f t="shared" si="31"/>
        <v>0</v>
      </c>
      <c r="X44">
        <f t="shared" si="32"/>
        <v>0</v>
      </c>
      <c r="Y44">
        <f t="shared" si="33"/>
        <v>0</v>
      </c>
      <c r="AC44">
        <f t="shared" si="34"/>
        <v>0</v>
      </c>
      <c r="AD44">
        <f t="shared" si="35"/>
        <v>0</v>
      </c>
      <c r="AH44">
        <f t="shared" si="36"/>
        <v>0</v>
      </c>
      <c r="AI44">
        <f t="shared" si="37"/>
        <v>0</v>
      </c>
      <c r="AM44">
        <f t="shared" si="38"/>
        <v>0</v>
      </c>
      <c r="AN44">
        <f t="shared" si="39"/>
        <v>0</v>
      </c>
      <c r="AR44">
        <f t="shared" si="40"/>
        <v>0</v>
      </c>
      <c r="AS44">
        <f t="shared" si="41"/>
        <v>0</v>
      </c>
      <c r="AW44">
        <f t="shared" si="42"/>
        <v>0</v>
      </c>
      <c r="AX44">
        <f t="shared" si="43"/>
        <v>0</v>
      </c>
      <c r="BB44">
        <f t="shared" si="44"/>
        <v>0</v>
      </c>
      <c r="BC44">
        <f t="shared" si="45"/>
        <v>0</v>
      </c>
      <c r="BG44">
        <f t="shared" si="46"/>
        <v>0</v>
      </c>
      <c r="BH44">
        <f t="shared" si="47"/>
        <v>0</v>
      </c>
    </row>
    <row r="45" spans="4:60" x14ac:dyDescent="0.25">
      <c r="D45">
        <f t="shared" si="24"/>
        <v>0</v>
      </c>
      <c r="E45">
        <f t="shared" si="25"/>
        <v>0</v>
      </c>
      <c r="I45">
        <f t="shared" si="26"/>
        <v>0</v>
      </c>
      <c r="J45">
        <f t="shared" si="27"/>
        <v>0</v>
      </c>
      <c r="N45">
        <f t="shared" si="28"/>
        <v>0</v>
      </c>
      <c r="O45">
        <f t="shared" si="29"/>
        <v>0</v>
      </c>
      <c r="S45">
        <f t="shared" si="30"/>
        <v>0</v>
      </c>
      <c r="T45">
        <f t="shared" si="31"/>
        <v>0</v>
      </c>
      <c r="X45">
        <f t="shared" si="32"/>
        <v>0</v>
      </c>
      <c r="Y45">
        <f t="shared" si="33"/>
        <v>0</v>
      </c>
      <c r="AC45">
        <f t="shared" si="34"/>
        <v>0</v>
      </c>
      <c r="AD45">
        <f t="shared" si="35"/>
        <v>0</v>
      </c>
      <c r="AH45">
        <f t="shared" si="36"/>
        <v>0</v>
      </c>
      <c r="AI45">
        <f t="shared" si="37"/>
        <v>0</v>
      </c>
      <c r="AM45">
        <f t="shared" si="38"/>
        <v>0</v>
      </c>
      <c r="AN45">
        <f t="shared" si="39"/>
        <v>0</v>
      </c>
      <c r="AR45">
        <f t="shared" si="40"/>
        <v>0</v>
      </c>
      <c r="AS45">
        <f t="shared" si="41"/>
        <v>0</v>
      </c>
      <c r="AW45">
        <f t="shared" si="42"/>
        <v>0</v>
      </c>
      <c r="AX45">
        <f t="shared" si="43"/>
        <v>0</v>
      </c>
      <c r="BB45">
        <f t="shared" si="44"/>
        <v>0</v>
      </c>
      <c r="BC45">
        <f t="shared" si="45"/>
        <v>0</v>
      </c>
      <c r="BG45">
        <f t="shared" si="46"/>
        <v>0</v>
      </c>
      <c r="BH45">
        <f t="shared" si="47"/>
        <v>0</v>
      </c>
    </row>
    <row r="46" spans="4:60" x14ac:dyDescent="0.25">
      <c r="D46">
        <f t="shared" si="24"/>
        <v>0</v>
      </c>
      <c r="E46">
        <f t="shared" si="25"/>
        <v>0</v>
      </c>
      <c r="I46">
        <f t="shared" si="26"/>
        <v>0</v>
      </c>
      <c r="J46">
        <f t="shared" si="27"/>
        <v>0</v>
      </c>
      <c r="N46">
        <f t="shared" si="28"/>
        <v>0</v>
      </c>
      <c r="O46">
        <f t="shared" si="29"/>
        <v>0</v>
      </c>
      <c r="S46">
        <f t="shared" si="30"/>
        <v>0</v>
      </c>
      <c r="T46">
        <f t="shared" si="31"/>
        <v>0</v>
      </c>
      <c r="X46">
        <f t="shared" si="32"/>
        <v>0</v>
      </c>
      <c r="Y46">
        <f t="shared" si="33"/>
        <v>0</v>
      </c>
      <c r="AC46">
        <f t="shared" si="34"/>
        <v>0</v>
      </c>
      <c r="AD46">
        <f t="shared" si="35"/>
        <v>0</v>
      </c>
      <c r="AH46">
        <f t="shared" si="36"/>
        <v>0</v>
      </c>
      <c r="AI46">
        <f t="shared" si="37"/>
        <v>0</v>
      </c>
      <c r="AM46">
        <f t="shared" si="38"/>
        <v>0</v>
      </c>
      <c r="AN46">
        <f t="shared" si="39"/>
        <v>0</v>
      </c>
      <c r="AR46">
        <f t="shared" si="40"/>
        <v>0</v>
      </c>
      <c r="AS46">
        <f t="shared" si="41"/>
        <v>0</v>
      </c>
      <c r="AW46">
        <f t="shared" si="42"/>
        <v>0</v>
      </c>
      <c r="AX46">
        <f t="shared" si="43"/>
        <v>0</v>
      </c>
      <c r="BB46">
        <f t="shared" si="44"/>
        <v>0</v>
      </c>
      <c r="BC46">
        <f t="shared" si="45"/>
        <v>0</v>
      </c>
      <c r="BG46">
        <f t="shared" si="46"/>
        <v>0</v>
      </c>
      <c r="BH46">
        <f t="shared" si="47"/>
        <v>0</v>
      </c>
    </row>
    <row r="47" spans="4:60" x14ac:dyDescent="0.25">
      <c r="D47">
        <f t="shared" si="24"/>
        <v>0</v>
      </c>
      <c r="E47">
        <f t="shared" si="25"/>
        <v>0</v>
      </c>
      <c r="I47">
        <f t="shared" si="26"/>
        <v>0</v>
      </c>
      <c r="J47">
        <f t="shared" si="27"/>
        <v>0</v>
      </c>
      <c r="N47">
        <f t="shared" si="28"/>
        <v>0</v>
      </c>
      <c r="O47">
        <f t="shared" si="29"/>
        <v>0</v>
      </c>
      <c r="S47">
        <f t="shared" si="30"/>
        <v>0</v>
      </c>
      <c r="T47">
        <f t="shared" si="31"/>
        <v>0</v>
      </c>
      <c r="X47">
        <f t="shared" si="32"/>
        <v>0</v>
      </c>
      <c r="Y47">
        <f t="shared" si="33"/>
        <v>0</v>
      </c>
      <c r="AC47">
        <f t="shared" si="34"/>
        <v>0</v>
      </c>
      <c r="AD47">
        <f t="shared" si="35"/>
        <v>0</v>
      </c>
      <c r="AH47">
        <f t="shared" si="36"/>
        <v>0</v>
      </c>
      <c r="AI47">
        <f t="shared" si="37"/>
        <v>0</v>
      </c>
      <c r="AM47">
        <f t="shared" si="38"/>
        <v>0</v>
      </c>
      <c r="AN47">
        <f t="shared" si="39"/>
        <v>0</v>
      </c>
      <c r="AR47">
        <f t="shared" si="40"/>
        <v>0</v>
      </c>
      <c r="AS47">
        <f t="shared" si="41"/>
        <v>0</v>
      </c>
      <c r="AW47">
        <f t="shared" si="42"/>
        <v>0</v>
      </c>
      <c r="AX47">
        <f t="shared" si="43"/>
        <v>0</v>
      </c>
      <c r="BB47">
        <f t="shared" si="44"/>
        <v>0</v>
      </c>
      <c r="BC47">
        <f t="shared" si="45"/>
        <v>0</v>
      </c>
      <c r="BG47">
        <f t="shared" si="46"/>
        <v>0</v>
      </c>
      <c r="BH47">
        <f t="shared" si="47"/>
        <v>0</v>
      </c>
    </row>
    <row r="48" spans="4:60" x14ac:dyDescent="0.25">
      <c r="D48">
        <f t="shared" si="24"/>
        <v>0</v>
      </c>
      <c r="E48">
        <f t="shared" si="25"/>
        <v>0</v>
      </c>
      <c r="I48">
        <f t="shared" si="26"/>
        <v>0</v>
      </c>
      <c r="J48">
        <f t="shared" si="27"/>
        <v>0</v>
      </c>
      <c r="N48">
        <f t="shared" si="28"/>
        <v>0</v>
      </c>
      <c r="O48">
        <f t="shared" si="29"/>
        <v>0</v>
      </c>
      <c r="S48">
        <f t="shared" si="30"/>
        <v>0</v>
      </c>
      <c r="T48">
        <f t="shared" si="31"/>
        <v>0</v>
      </c>
      <c r="X48">
        <f t="shared" si="32"/>
        <v>0</v>
      </c>
      <c r="Y48">
        <f t="shared" si="33"/>
        <v>0</v>
      </c>
      <c r="AC48">
        <f t="shared" si="34"/>
        <v>0</v>
      </c>
      <c r="AD48">
        <f t="shared" si="35"/>
        <v>0</v>
      </c>
      <c r="AH48">
        <f t="shared" si="36"/>
        <v>0</v>
      </c>
      <c r="AI48">
        <f t="shared" si="37"/>
        <v>0</v>
      </c>
      <c r="AM48">
        <f t="shared" si="38"/>
        <v>0</v>
      </c>
      <c r="AN48">
        <f t="shared" si="39"/>
        <v>0</v>
      </c>
      <c r="AR48">
        <f t="shared" si="40"/>
        <v>0</v>
      </c>
      <c r="AS48">
        <f t="shared" si="41"/>
        <v>0</v>
      </c>
      <c r="AW48">
        <f t="shared" si="42"/>
        <v>0</v>
      </c>
      <c r="AX48">
        <f t="shared" si="43"/>
        <v>0</v>
      </c>
      <c r="BB48">
        <f t="shared" si="44"/>
        <v>0</v>
      </c>
      <c r="BC48">
        <f t="shared" si="45"/>
        <v>0</v>
      </c>
      <c r="BG48">
        <f t="shared" si="46"/>
        <v>0</v>
      </c>
      <c r="BH48">
        <f t="shared" si="47"/>
        <v>0</v>
      </c>
    </row>
    <row r="49" spans="4:60" x14ac:dyDescent="0.25">
      <c r="D49">
        <f t="shared" si="24"/>
        <v>0</v>
      </c>
      <c r="E49">
        <f t="shared" si="25"/>
        <v>0</v>
      </c>
      <c r="I49">
        <f t="shared" si="26"/>
        <v>0</v>
      </c>
      <c r="J49">
        <f t="shared" si="27"/>
        <v>0</v>
      </c>
      <c r="N49">
        <f t="shared" si="28"/>
        <v>0</v>
      </c>
      <c r="O49">
        <f t="shared" si="29"/>
        <v>0</v>
      </c>
      <c r="S49">
        <f t="shared" si="30"/>
        <v>0</v>
      </c>
      <c r="T49">
        <f t="shared" si="31"/>
        <v>0</v>
      </c>
      <c r="X49">
        <f t="shared" si="32"/>
        <v>0</v>
      </c>
      <c r="Y49">
        <f t="shared" si="33"/>
        <v>0</v>
      </c>
      <c r="AC49">
        <f t="shared" si="34"/>
        <v>0</v>
      </c>
      <c r="AD49">
        <f t="shared" si="35"/>
        <v>0</v>
      </c>
      <c r="AH49">
        <f t="shared" si="36"/>
        <v>0</v>
      </c>
      <c r="AI49">
        <f t="shared" si="37"/>
        <v>0</v>
      </c>
      <c r="AM49">
        <f t="shared" si="38"/>
        <v>0</v>
      </c>
      <c r="AN49">
        <f t="shared" si="39"/>
        <v>0</v>
      </c>
      <c r="AR49">
        <f t="shared" si="40"/>
        <v>0</v>
      </c>
      <c r="AS49">
        <f t="shared" si="41"/>
        <v>0</v>
      </c>
      <c r="AW49">
        <f t="shared" si="42"/>
        <v>0</v>
      </c>
      <c r="AX49">
        <f t="shared" si="43"/>
        <v>0</v>
      </c>
      <c r="BB49">
        <f t="shared" si="44"/>
        <v>0</v>
      </c>
      <c r="BC49">
        <f t="shared" si="45"/>
        <v>0</v>
      </c>
      <c r="BG49">
        <f t="shared" si="46"/>
        <v>0</v>
      </c>
      <c r="BH49">
        <f t="shared" si="47"/>
        <v>0</v>
      </c>
    </row>
    <row r="50" spans="4:60" x14ac:dyDescent="0.25">
      <c r="D50">
        <f t="shared" si="24"/>
        <v>0</v>
      </c>
      <c r="E50">
        <f t="shared" si="25"/>
        <v>0</v>
      </c>
      <c r="I50">
        <f t="shared" si="26"/>
        <v>0</v>
      </c>
      <c r="J50">
        <f t="shared" si="27"/>
        <v>0</v>
      </c>
      <c r="N50">
        <f t="shared" si="28"/>
        <v>0</v>
      </c>
      <c r="O50">
        <f t="shared" si="29"/>
        <v>0</v>
      </c>
      <c r="S50">
        <f t="shared" si="30"/>
        <v>0</v>
      </c>
      <c r="T50">
        <f t="shared" si="31"/>
        <v>0</v>
      </c>
      <c r="X50">
        <f t="shared" si="32"/>
        <v>0</v>
      </c>
      <c r="Y50">
        <f t="shared" si="33"/>
        <v>0</v>
      </c>
      <c r="AC50">
        <f t="shared" si="34"/>
        <v>0</v>
      </c>
      <c r="AD50">
        <f t="shared" si="35"/>
        <v>0</v>
      </c>
      <c r="AH50">
        <f t="shared" si="36"/>
        <v>0</v>
      </c>
      <c r="AI50">
        <f t="shared" si="37"/>
        <v>0</v>
      </c>
      <c r="AM50">
        <f t="shared" si="38"/>
        <v>0</v>
      </c>
      <c r="AN50">
        <f t="shared" si="39"/>
        <v>0</v>
      </c>
      <c r="AR50">
        <f t="shared" si="40"/>
        <v>0</v>
      </c>
      <c r="AS50">
        <f t="shared" si="41"/>
        <v>0</v>
      </c>
      <c r="AW50">
        <f t="shared" si="42"/>
        <v>0</v>
      </c>
      <c r="AX50">
        <f t="shared" si="43"/>
        <v>0</v>
      </c>
      <c r="BB50">
        <f t="shared" si="44"/>
        <v>0</v>
      </c>
      <c r="BC50">
        <f t="shared" si="45"/>
        <v>0</v>
      </c>
      <c r="BG50">
        <f t="shared" si="46"/>
        <v>0</v>
      </c>
      <c r="BH50">
        <f t="shared" si="47"/>
        <v>0</v>
      </c>
    </row>
    <row r="51" spans="4:60" x14ac:dyDescent="0.25">
      <c r="D51">
        <f t="shared" si="24"/>
        <v>0</v>
      </c>
      <c r="E51">
        <f t="shared" si="25"/>
        <v>0</v>
      </c>
      <c r="I51">
        <f t="shared" si="26"/>
        <v>0</v>
      </c>
      <c r="J51">
        <f t="shared" si="27"/>
        <v>0</v>
      </c>
      <c r="N51">
        <f t="shared" si="28"/>
        <v>0</v>
      </c>
      <c r="O51">
        <f t="shared" si="29"/>
        <v>0</v>
      </c>
      <c r="S51">
        <f t="shared" si="30"/>
        <v>0</v>
      </c>
      <c r="T51">
        <f t="shared" si="31"/>
        <v>0</v>
      </c>
      <c r="X51">
        <f t="shared" si="32"/>
        <v>0</v>
      </c>
      <c r="Y51">
        <f t="shared" si="33"/>
        <v>0</v>
      </c>
      <c r="AC51">
        <f t="shared" si="34"/>
        <v>0</v>
      </c>
      <c r="AD51">
        <f t="shared" si="35"/>
        <v>0</v>
      </c>
      <c r="AH51">
        <f t="shared" si="36"/>
        <v>0</v>
      </c>
      <c r="AI51">
        <f t="shared" si="37"/>
        <v>0</v>
      </c>
      <c r="AM51">
        <f t="shared" si="38"/>
        <v>0</v>
      </c>
      <c r="AN51">
        <f t="shared" si="39"/>
        <v>0</v>
      </c>
      <c r="AR51">
        <f t="shared" si="40"/>
        <v>0</v>
      </c>
      <c r="AS51">
        <f t="shared" si="41"/>
        <v>0</v>
      </c>
      <c r="AW51">
        <f t="shared" si="42"/>
        <v>0</v>
      </c>
      <c r="AX51">
        <f t="shared" si="43"/>
        <v>0</v>
      </c>
      <c r="BB51">
        <f t="shared" si="44"/>
        <v>0</v>
      </c>
      <c r="BC51">
        <f t="shared" si="45"/>
        <v>0</v>
      </c>
      <c r="BG51">
        <f t="shared" si="46"/>
        <v>0</v>
      </c>
      <c r="BH51">
        <f t="shared" si="47"/>
        <v>0</v>
      </c>
    </row>
    <row r="52" spans="4:60" x14ac:dyDescent="0.25">
      <c r="D52">
        <f t="shared" si="24"/>
        <v>0</v>
      </c>
      <c r="E52">
        <f t="shared" si="25"/>
        <v>0</v>
      </c>
      <c r="I52">
        <f t="shared" si="26"/>
        <v>0</v>
      </c>
      <c r="J52">
        <f t="shared" si="27"/>
        <v>0</v>
      </c>
      <c r="N52">
        <f t="shared" si="28"/>
        <v>0</v>
      </c>
      <c r="O52">
        <f t="shared" si="29"/>
        <v>0</v>
      </c>
      <c r="S52">
        <f t="shared" si="30"/>
        <v>0</v>
      </c>
      <c r="T52">
        <f t="shared" si="31"/>
        <v>0</v>
      </c>
      <c r="X52">
        <f t="shared" si="32"/>
        <v>0</v>
      </c>
      <c r="Y52">
        <f t="shared" si="33"/>
        <v>0</v>
      </c>
      <c r="AC52">
        <f t="shared" si="34"/>
        <v>0</v>
      </c>
      <c r="AD52">
        <f t="shared" si="35"/>
        <v>0</v>
      </c>
      <c r="AH52">
        <f t="shared" si="36"/>
        <v>0</v>
      </c>
      <c r="AI52">
        <f t="shared" si="37"/>
        <v>0</v>
      </c>
      <c r="AM52">
        <f t="shared" si="38"/>
        <v>0</v>
      </c>
      <c r="AN52">
        <f t="shared" si="39"/>
        <v>0</v>
      </c>
      <c r="AR52">
        <f t="shared" si="40"/>
        <v>0</v>
      </c>
      <c r="AS52">
        <f t="shared" si="41"/>
        <v>0</v>
      </c>
      <c r="AW52">
        <f t="shared" si="42"/>
        <v>0</v>
      </c>
      <c r="AX52">
        <f t="shared" si="43"/>
        <v>0</v>
      </c>
      <c r="BB52">
        <f t="shared" si="44"/>
        <v>0</v>
      </c>
      <c r="BC52">
        <f t="shared" si="45"/>
        <v>0</v>
      </c>
      <c r="BG52">
        <f t="shared" si="46"/>
        <v>0</v>
      </c>
      <c r="BH52">
        <f t="shared" si="47"/>
        <v>0</v>
      </c>
    </row>
    <row r="53" spans="4:60" x14ac:dyDescent="0.25">
      <c r="D53">
        <f t="shared" si="24"/>
        <v>0</v>
      </c>
      <c r="E53">
        <f t="shared" si="25"/>
        <v>0</v>
      </c>
      <c r="I53">
        <f t="shared" si="26"/>
        <v>0</v>
      </c>
      <c r="J53">
        <f t="shared" si="27"/>
        <v>0</v>
      </c>
      <c r="N53">
        <f t="shared" si="28"/>
        <v>0</v>
      </c>
      <c r="O53">
        <f t="shared" si="29"/>
        <v>0</v>
      </c>
      <c r="S53">
        <f t="shared" si="30"/>
        <v>0</v>
      </c>
      <c r="T53">
        <f t="shared" si="31"/>
        <v>0</v>
      </c>
      <c r="X53">
        <f t="shared" si="32"/>
        <v>0</v>
      </c>
      <c r="Y53">
        <f t="shared" si="33"/>
        <v>0</v>
      </c>
      <c r="AC53">
        <f t="shared" si="34"/>
        <v>0</v>
      </c>
      <c r="AD53">
        <f t="shared" si="35"/>
        <v>0</v>
      </c>
      <c r="AH53">
        <f t="shared" si="36"/>
        <v>0</v>
      </c>
      <c r="AI53">
        <f t="shared" si="37"/>
        <v>0</v>
      </c>
      <c r="AM53">
        <f t="shared" si="38"/>
        <v>0</v>
      </c>
      <c r="AN53">
        <f t="shared" si="39"/>
        <v>0</v>
      </c>
      <c r="AR53">
        <f t="shared" si="40"/>
        <v>0</v>
      </c>
      <c r="AS53">
        <f t="shared" si="41"/>
        <v>0</v>
      </c>
      <c r="AW53">
        <f t="shared" si="42"/>
        <v>0</v>
      </c>
      <c r="AX53">
        <f t="shared" si="43"/>
        <v>0</v>
      </c>
      <c r="BB53">
        <f t="shared" si="44"/>
        <v>0</v>
      </c>
      <c r="BC53">
        <f t="shared" si="45"/>
        <v>0</v>
      </c>
      <c r="BG53">
        <f t="shared" si="46"/>
        <v>0</v>
      </c>
      <c r="BH53">
        <f t="shared" si="47"/>
        <v>0</v>
      </c>
    </row>
    <row r="54" spans="4:60" x14ac:dyDescent="0.25">
      <c r="D54">
        <f t="shared" si="24"/>
        <v>0</v>
      </c>
      <c r="E54">
        <f t="shared" si="25"/>
        <v>0</v>
      </c>
      <c r="I54">
        <f t="shared" si="26"/>
        <v>0</v>
      </c>
      <c r="J54">
        <f t="shared" si="27"/>
        <v>0</v>
      </c>
      <c r="N54">
        <f t="shared" si="28"/>
        <v>0</v>
      </c>
      <c r="O54">
        <f t="shared" si="29"/>
        <v>0</v>
      </c>
      <c r="S54">
        <f t="shared" si="30"/>
        <v>0</v>
      </c>
      <c r="T54">
        <f t="shared" si="31"/>
        <v>0</v>
      </c>
      <c r="X54">
        <f t="shared" si="32"/>
        <v>0</v>
      </c>
      <c r="Y54">
        <f t="shared" si="33"/>
        <v>0</v>
      </c>
      <c r="AC54">
        <f t="shared" si="34"/>
        <v>0</v>
      </c>
      <c r="AD54">
        <f t="shared" si="35"/>
        <v>0</v>
      </c>
      <c r="AH54">
        <f t="shared" si="36"/>
        <v>0</v>
      </c>
      <c r="AI54">
        <f t="shared" si="37"/>
        <v>0</v>
      </c>
      <c r="AM54">
        <f t="shared" si="38"/>
        <v>0</v>
      </c>
      <c r="AN54">
        <f t="shared" si="39"/>
        <v>0</v>
      </c>
      <c r="AR54">
        <f t="shared" si="40"/>
        <v>0</v>
      </c>
      <c r="AS54">
        <f t="shared" si="41"/>
        <v>0</v>
      </c>
      <c r="AW54">
        <f t="shared" si="42"/>
        <v>0</v>
      </c>
      <c r="AX54">
        <f t="shared" si="43"/>
        <v>0</v>
      </c>
      <c r="BB54">
        <f t="shared" si="44"/>
        <v>0</v>
      </c>
      <c r="BC54">
        <f t="shared" si="45"/>
        <v>0</v>
      </c>
      <c r="BG54">
        <f t="shared" si="46"/>
        <v>0</v>
      </c>
      <c r="BH54">
        <f t="shared" si="47"/>
        <v>0</v>
      </c>
    </row>
    <row r="55" spans="4:60" x14ac:dyDescent="0.25">
      <c r="D55">
        <f t="shared" si="24"/>
        <v>0</v>
      </c>
      <c r="E55">
        <f t="shared" si="25"/>
        <v>0</v>
      </c>
      <c r="I55">
        <f t="shared" si="26"/>
        <v>0</v>
      </c>
      <c r="J55">
        <f t="shared" si="27"/>
        <v>0</v>
      </c>
      <c r="N55">
        <f t="shared" si="28"/>
        <v>0</v>
      </c>
      <c r="O55">
        <f t="shared" si="29"/>
        <v>0</v>
      </c>
      <c r="S55">
        <f t="shared" si="30"/>
        <v>0</v>
      </c>
      <c r="T55">
        <f t="shared" si="31"/>
        <v>0</v>
      </c>
      <c r="X55">
        <f t="shared" si="32"/>
        <v>0</v>
      </c>
      <c r="Y55">
        <f t="shared" si="33"/>
        <v>0</v>
      </c>
      <c r="AC55">
        <f t="shared" si="34"/>
        <v>0</v>
      </c>
      <c r="AD55">
        <f t="shared" si="35"/>
        <v>0</v>
      </c>
      <c r="AH55">
        <f t="shared" si="36"/>
        <v>0</v>
      </c>
      <c r="AI55">
        <f t="shared" si="37"/>
        <v>0</v>
      </c>
      <c r="AM55">
        <f t="shared" si="38"/>
        <v>0</v>
      </c>
      <c r="AN55">
        <f t="shared" si="39"/>
        <v>0</v>
      </c>
      <c r="AR55">
        <f t="shared" si="40"/>
        <v>0</v>
      </c>
      <c r="AS55">
        <f t="shared" si="41"/>
        <v>0</v>
      </c>
      <c r="AW55">
        <f t="shared" si="42"/>
        <v>0</v>
      </c>
      <c r="AX55">
        <f t="shared" si="43"/>
        <v>0</v>
      </c>
      <c r="BB55">
        <f t="shared" si="44"/>
        <v>0</v>
      </c>
      <c r="BC55">
        <f t="shared" si="45"/>
        <v>0</v>
      </c>
      <c r="BG55">
        <f t="shared" si="46"/>
        <v>0</v>
      </c>
      <c r="BH55">
        <f t="shared" si="47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2BB2D-7E2E-4CC1-A089-76F09253A8B1}">
  <dimension ref="A1:M30"/>
  <sheetViews>
    <sheetView workbookViewId="0"/>
  </sheetViews>
  <sheetFormatPr defaultRowHeight="15" x14ac:dyDescent="0.25"/>
  <cols>
    <col min="1" max="1" width="40.7109375" customWidth="1"/>
  </cols>
  <sheetData>
    <row r="1" spans="1:13" ht="18.75" x14ac:dyDescent="0.3">
      <c r="A1" s="2" t="s">
        <v>0</v>
      </c>
    </row>
    <row r="2" spans="1:13" ht="15.75" x14ac:dyDescent="0.25">
      <c r="A2" s="3" t="s">
        <v>63</v>
      </c>
    </row>
    <row r="3" spans="1:13" x14ac:dyDescent="0.25">
      <c r="A3" s="4" t="s">
        <v>3</v>
      </c>
    </row>
    <row r="4" spans="1:13" x14ac:dyDescent="0.25">
      <c r="A4" s="6"/>
      <c r="B4" s="6" t="s">
        <v>5</v>
      </c>
      <c r="C4" s="6" t="s">
        <v>6</v>
      </c>
      <c r="D4" s="6" t="s">
        <v>7</v>
      </c>
      <c r="E4" s="6" t="s">
        <v>8</v>
      </c>
      <c r="F4" s="6" t="s">
        <v>9</v>
      </c>
      <c r="G4" s="6" t="s">
        <v>10</v>
      </c>
      <c r="H4" s="6" t="s">
        <v>11</v>
      </c>
      <c r="I4" s="6" t="s">
        <v>12</v>
      </c>
      <c r="J4" s="6" t="s">
        <v>13</v>
      </c>
      <c r="K4" s="6" t="s">
        <v>14</v>
      </c>
      <c r="L4" s="6" t="s">
        <v>15</v>
      </c>
      <c r="M4" s="6" t="s">
        <v>16</v>
      </c>
    </row>
    <row r="5" spans="1:13" x14ac:dyDescent="0.25">
      <c r="A5" t="s">
        <v>64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</row>
    <row r="6" spans="1:13" x14ac:dyDescent="0.25">
      <c r="A6" t="s">
        <v>41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</row>
    <row r="7" spans="1:13" x14ac:dyDescent="0.25">
      <c r="A7" t="s">
        <v>65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</row>
    <row r="8" spans="1:13" x14ac:dyDescent="0.25">
      <c r="A8" t="s">
        <v>66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</row>
    <row r="9" spans="1:13" x14ac:dyDescent="0.25">
      <c r="A9" t="s">
        <v>67</v>
      </c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</row>
    <row r="10" spans="1:13" x14ac:dyDescent="0.25">
      <c r="A10" t="s">
        <v>68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</row>
    <row r="11" spans="1:13" x14ac:dyDescent="0.25">
      <c r="A11" t="s">
        <v>69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</row>
    <row r="12" spans="1:13" x14ac:dyDescent="0.25">
      <c r="A12" t="s">
        <v>70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5">
      <c r="A13" t="s">
        <v>71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</row>
    <row r="14" spans="1:13" x14ac:dyDescent="0.25">
      <c r="A14" t="s">
        <v>72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</row>
    <row r="15" spans="1:13" x14ac:dyDescent="0.25">
      <c r="A15" t="s">
        <v>73</v>
      </c>
      <c r="B15" s="14">
        <f t="shared" ref="B15:M15" si="0">B6+SUM(B8:B9)+SUM(B11:B14)</f>
        <v>0</v>
      </c>
      <c r="C15" s="14">
        <f t="shared" si="0"/>
        <v>0</v>
      </c>
      <c r="D15" s="14">
        <f t="shared" si="0"/>
        <v>0</v>
      </c>
      <c r="E15" s="14">
        <f t="shared" si="0"/>
        <v>0</v>
      </c>
      <c r="F15" s="14">
        <f t="shared" si="0"/>
        <v>0</v>
      </c>
      <c r="G15" s="14">
        <f t="shared" si="0"/>
        <v>0</v>
      </c>
      <c r="H15" s="14">
        <f t="shared" si="0"/>
        <v>0</v>
      </c>
      <c r="I15" s="14">
        <f t="shared" si="0"/>
        <v>0</v>
      </c>
      <c r="J15" s="14">
        <f t="shared" si="0"/>
        <v>0</v>
      </c>
      <c r="K15" s="14">
        <f t="shared" si="0"/>
        <v>0</v>
      </c>
      <c r="L15" s="14">
        <f t="shared" si="0"/>
        <v>0</v>
      </c>
      <c r="M15" s="14">
        <f t="shared" si="0"/>
        <v>0</v>
      </c>
    </row>
    <row r="16" spans="1:13" x14ac:dyDescent="0.2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</row>
    <row r="17" spans="1:13" x14ac:dyDescent="0.25">
      <c r="A17" t="s">
        <v>74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</row>
    <row r="18" spans="1:13" x14ac:dyDescent="0.25">
      <c r="A18" t="s">
        <v>75</v>
      </c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</row>
    <row r="19" spans="1:13" x14ac:dyDescent="0.25">
      <c r="A19" t="s">
        <v>76</v>
      </c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</row>
    <row r="20" spans="1:13" x14ac:dyDescent="0.25">
      <c r="A20" t="s">
        <v>77</v>
      </c>
      <c r="B20" s="14">
        <f t="shared" ref="B20:M20" si="1">SUM(B18:B19)</f>
        <v>0</v>
      </c>
      <c r="C20" s="14">
        <f t="shared" si="1"/>
        <v>0</v>
      </c>
      <c r="D20" s="14">
        <f t="shared" si="1"/>
        <v>0</v>
      </c>
      <c r="E20" s="14">
        <f t="shared" si="1"/>
        <v>0</v>
      </c>
      <c r="F20" s="14">
        <f t="shared" si="1"/>
        <v>0</v>
      </c>
      <c r="G20" s="14">
        <f t="shared" si="1"/>
        <v>0</v>
      </c>
      <c r="H20" s="14">
        <f t="shared" si="1"/>
        <v>0</v>
      </c>
      <c r="I20" s="14">
        <f t="shared" si="1"/>
        <v>0</v>
      </c>
      <c r="J20" s="14">
        <f t="shared" si="1"/>
        <v>0</v>
      </c>
      <c r="K20" s="14">
        <f t="shared" si="1"/>
        <v>0</v>
      </c>
      <c r="L20" s="14">
        <f t="shared" si="1"/>
        <v>0</v>
      </c>
      <c r="M20" s="14">
        <f t="shared" si="1"/>
        <v>0</v>
      </c>
    </row>
    <row r="21" spans="1:13" x14ac:dyDescent="0.25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</row>
    <row r="22" spans="1:13" x14ac:dyDescent="0.25">
      <c r="A22" t="s">
        <v>78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</row>
    <row r="23" spans="1:13" x14ac:dyDescent="0.25">
      <c r="A23" t="s">
        <v>79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</row>
    <row r="24" spans="1:13" x14ac:dyDescent="0.25">
      <c r="A24" t="s">
        <v>80</v>
      </c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</row>
    <row r="25" spans="1:13" x14ac:dyDescent="0.25">
      <c r="A25" t="s">
        <v>81</v>
      </c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</row>
    <row r="26" spans="1:13" x14ac:dyDescent="0.25">
      <c r="A26" t="s">
        <v>82</v>
      </c>
      <c r="B26" s="14">
        <f t="shared" ref="B26:M26" si="2">SUM(B23:B25)</f>
        <v>0</v>
      </c>
      <c r="C26" s="14">
        <f t="shared" si="2"/>
        <v>0</v>
      </c>
      <c r="D26" s="14">
        <f t="shared" si="2"/>
        <v>0</v>
      </c>
      <c r="E26" s="14">
        <f t="shared" si="2"/>
        <v>0</v>
      </c>
      <c r="F26" s="14">
        <f t="shared" si="2"/>
        <v>0</v>
      </c>
      <c r="G26" s="14">
        <f t="shared" si="2"/>
        <v>0</v>
      </c>
      <c r="H26" s="14">
        <f t="shared" si="2"/>
        <v>0</v>
      </c>
      <c r="I26" s="14">
        <f t="shared" si="2"/>
        <v>0</v>
      </c>
      <c r="J26" s="14">
        <f t="shared" si="2"/>
        <v>0</v>
      </c>
      <c r="K26" s="14">
        <f t="shared" si="2"/>
        <v>0</v>
      </c>
      <c r="L26" s="14">
        <f t="shared" si="2"/>
        <v>0</v>
      </c>
      <c r="M26" s="14">
        <f t="shared" si="2"/>
        <v>0</v>
      </c>
    </row>
    <row r="27" spans="1:13" x14ac:dyDescent="0.2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</row>
    <row r="28" spans="1:13" x14ac:dyDescent="0.25">
      <c r="A28" t="s">
        <v>83</v>
      </c>
      <c r="B28" s="14">
        <f t="shared" ref="B28:M28" si="3">B15+B20+B26</f>
        <v>0</v>
      </c>
      <c r="C28" s="14">
        <f t="shared" si="3"/>
        <v>0</v>
      </c>
      <c r="D28" s="14">
        <f t="shared" si="3"/>
        <v>0</v>
      </c>
      <c r="E28" s="14">
        <f t="shared" si="3"/>
        <v>0</v>
      </c>
      <c r="F28" s="14">
        <f t="shared" si="3"/>
        <v>0</v>
      </c>
      <c r="G28" s="14">
        <f t="shared" si="3"/>
        <v>0</v>
      </c>
      <c r="H28" s="14">
        <f t="shared" si="3"/>
        <v>0</v>
      </c>
      <c r="I28" s="14">
        <f t="shared" si="3"/>
        <v>0</v>
      </c>
      <c r="J28" s="14">
        <f t="shared" si="3"/>
        <v>0</v>
      </c>
      <c r="K28" s="14">
        <f t="shared" si="3"/>
        <v>0</v>
      </c>
      <c r="L28" s="14">
        <f t="shared" si="3"/>
        <v>0</v>
      </c>
      <c r="M28" s="14">
        <f t="shared" si="3"/>
        <v>0</v>
      </c>
    </row>
    <row r="29" spans="1:13" x14ac:dyDescent="0.25">
      <c r="A29" t="s">
        <v>84</v>
      </c>
      <c r="B29" s="14"/>
      <c r="C29" s="14">
        <f t="shared" ref="C29:M29" si="4">B30</f>
        <v>0</v>
      </c>
      <c r="D29" s="14">
        <f t="shared" si="4"/>
        <v>0</v>
      </c>
      <c r="E29" s="14">
        <f t="shared" si="4"/>
        <v>0</v>
      </c>
      <c r="F29" s="14">
        <f t="shared" si="4"/>
        <v>0</v>
      </c>
      <c r="G29" s="14">
        <f t="shared" si="4"/>
        <v>0</v>
      </c>
      <c r="H29" s="14">
        <f t="shared" si="4"/>
        <v>0</v>
      </c>
      <c r="I29" s="14">
        <f t="shared" si="4"/>
        <v>0</v>
      </c>
      <c r="J29" s="14">
        <f t="shared" si="4"/>
        <v>0</v>
      </c>
      <c r="K29" s="14">
        <f t="shared" si="4"/>
        <v>0</v>
      </c>
      <c r="L29" s="14">
        <f t="shared" si="4"/>
        <v>0</v>
      </c>
      <c r="M29" s="14">
        <f t="shared" si="4"/>
        <v>0</v>
      </c>
    </row>
    <row r="30" spans="1:13" x14ac:dyDescent="0.25">
      <c r="A30" t="s">
        <v>85</v>
      </c>
      <c r="B30" s="14">
        <f t="shared" ref="B30:M30" si="5">B29+B28</f>
        <v>0</v>
      </c>
      <c r="C30" s="14">
        <f t="shared" si="5"/>
        <v>0</v>
      </c>
      <c r="D30" s="14">
        <f t="shared" si="5"/>
        <v>0</v>
      </c>
      <c r="E30" s="14">
        <f t="shared" si="5"/>
        <v>0</v>
      </c>
      <c r="F30" s="14">
        <f t="shared" si="5"/>
        <v>0</v>
      </c>
      <c r="G30" s="14">
        <f t="shared" si="5"/>
        <v>0</v>
      </c>
      <c r="H30" s="14">
        <f t="shared" si="5"/>
        <v>0</v>
      </c>
      <c r="I30" s="14">
        <f t="shared" si="5"/>
        <v>0</v>
      </c>
      <c r="J30" s="14">
        <f t="shared" si="5"/>
        <v>0</v>
      </c>
      <c r="K30" s="14">
        <f t="shared" si="5"/>
        <v>0</v>
      </c>
      <c r="L30" s="14">
        <f t="shared" si="5"/>
        <v>0</v>
      </c>
      <c r="M30" s="14">
        <f t="shared" si="5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8055-9EF3-4C93-82C3-9007CBBC4E1D}">
  <dimension ref="A1:M82"/>
  <sheetViews>
    <sheetView workbookViewId="0"/>
  </sheetViews>
  <sheetFormatPr defaultRowHeight="15" x14ac:dyDescent="0.25"/>
  <cols>
    <col min="1" max="1" width="35.7109375" customWidth="1"/>
  </cols>
  <sheetData>
    <row r="1" spans="1:13" ht="18.75" x14ac:dyDescent="0.3">
      <c r="A1" s="2" t="s">
        <v>0</v>
      </c>
    </row>
    <row r="2" spans="1:13" ht="15.75" x14ac:dyDescent="0.25">
      <c r="A2" s="3" t="s">
        <v>42</v>
      </c>
    </row>
    <row r="3" spans="1:13" x14ac:dyDescent="0.25">
      <c r="A3" s="4" t="s">
        <v>3</v>
      </c>
    </row>
    <row r="4" spans="1:13" x14ac:dyDescent="0.25">
      <c r="A4" s="6" t="s">
        <v>4</v>
      </c>
      <c r="B4" s="6" t="s">
        <v>5</v>
      </c>
      <c r="C4" s="6" t="s">
        <v>6</v>
      </c>
      <c r="D4" s="6" t="s">
        <v>7</v>
      </c>
      <c r="E4" s="6" t="s">
        <v>8</v>
      </c>
      <c r="F4" s="6" t="s">
        <v>9</v>
      </c>
      <c r="G4" s="6" t="s">
        <v>10</v>
      </c>
      <c r="H4" s="6" t="s">
        <v>11</v>
      </c>
      <c r="I4" s="6" t="s">
        <v>12</v>
      </c>
      <c r="J4" s="6" t="s">
        <v>13</v>
      </c>
      <c r="K4" s="6" t="s">
        <v>14</v>
      </c>
      <c r="L4" s="6" t="s">
        <v>15</v>
      </c>
      <c r="M4" s="6" t="s">
        <v>16</v>
      </c>
    </row>
    <row r="5" spans="1:13" ht="15.75" x14ac:dyDescent="0.25">
      <c r="A5" s="3" t="s">
        <v>43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</row>
    <row r="6" spans="1:13" x14ac:dyDescent="0.25">
      <c r="A6" s="8" t="s">
        <v>44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</row>
    <row r="7" spans="1:13" x14ac:dyDescent="0.25">
      <c r="A7" t="s">
        <v>45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</row>
    <row r="8" spans="1:13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</row>
    <row r="9" spans="1:13" x14ac:dyDescent="0.25"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</row>
    <row r="10" spans="1:13" x14ac:dyDescent="0.25"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</row>
    <row r="11" spans="1:13" x14ac:dyDescent="0.25"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</row>
    <row r="12" spans="1:13" x14ac:dyDescent="0.25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5"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</row>
    <row r="14" spans="1:13" x14ac:dyDescent="0.2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</row>
    <row r="15" spans="1:13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</row>
    <row r="16" spans="1:13" x14ac:dyDescent="0.2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</row>
    <row r="17" spans="1:13" x14ac:dyDescent="0.25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</row>
    <row r="18" spans="1:13" x14ac:dyDescent="0.25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</row>
    <row r="19" spans="1:13" x14ac:dyDescent="0.25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</row>
    <row r="20" spans="1:13" x14ac:dyDescent="0.25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</row>
    <row r="21" spans="1:13" x14ac:dyDescent="0.25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</row>
    <row r="22" spans="1:13" x14ac:dyDescent="0.25">
      <c r="A22" s="10" t="s">
        <v>46</v>
      </c>
      <c r="B22" s="15">
        <f t="shared" ref="B22:M22" si="0">SUM(B7:B21)</f>
        <v>0</v>
      </c>
      <c r="C22" s="15">
        <f t="shared" si="0"/>
        <v>0</v>
      </c>
      <c r="D22" s="15">
        <f t="shared" si="0"/>
        <v>0</v>
      </c>
      <c r="E22" s="15">
        <f t="shared" si="0"/>
        <v>0</v>
      </c>
      <c r="F22" s="15">
        <f t="shared" si="0"/>
        <v>0</v>
      </c>
      <c r="G22" s="15">
        <f t="shared" si="0"/>
        <v>0</v>
      </c>
      <c r="H22" s="15">
        <f t="shared" si="0"/>
        <v>0</v>
      </c>
      <c r="I22" s="15">
        <f t="shared" si="0"/>
        <v>0</v>
      </c>
      <c r="J22" s="15">
        <f t="shared" si="0"/>
        <v>0</v>
      </c>
      <c r="K22" s="15">
        <f t="shared" si="0"/>
        <v>0</v>
      </c>
      <c r="L22" s="15">
        <f t="shared" si="0"/>
        <v>0</v>
      </c>
      <c r="M22" s="15">
        <f t="shared" si="0"/>
        <v>0</v>
      </c>
    </row>
    <row r="23" spans="1:13" x14ac:dyDescent="0.25">
      <c r="A23" s="8" t="s">
        <v>47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</row>
    <row r="24" spans="1:13" x14ac:dyDescent="0.25">
      <c r="A24" t="s">
        <v>48</v>
      </c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</row>
    <row r="25" spans="1:13" x14ac:dyDescent="0.25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</row>
    <row r="26" spans="1:13" x14ac:dyDescent="0.25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</row>
    <row r="27" spans="1:13" x14ac:dyDescent="0.2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</row>
    <row r="28" spans="1:13" x14ac:dyDescent="0.2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</row>
    <row r="29" spans="1:13" x14ac:dyDescent="0.2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</row>
    <row r="30" spans="1:13" x14ac:dyDescent="0.25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</row>
    <row r="31" spans="1:13" x14ac:dyDescent="0.25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</row>
    <row r="32" spans="1:13" x14ac:dyDescent="0.25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</row>
    <row r="33" spans="1:13" x14ac:dyDescent="0.25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x14ac:dyDescent="0.25">
      <c r="A34" s="10" t="s">
        <v>49</v>
      </c>
      <c r="B34" s="15">
        <f t="shared" ref="B34:M34" si="1">SUM(B24:B33)</f>
        <v>0</v>
      </c>
      <c r="C34" s="15">
        <f t="shared" si="1"/>
        <v>0</v>
      </c>
      <c r="D34" s="15">
        <f t="shared" si="1"/>
        <v>0</v>
      </c>
      <c r="E34" s="15">
        <f t="shared" si="1"/>
        <v>0</v>
      </c>
      <c r="F34" s="15">
        <f t="shared" si="1"/>
        <v>0</v>
      </c>
      <c r="G34" s="15">
        <f t="shared" si="1"/>
        <v>0</v>
      </c>
      <c r="H34" s="15">
        <f t="shared" si="1"/>
        <v>0</v>
      </c>
      <c r="I34" s="15">
        <f t="shared" si="1"/>
        <v>0</v>
      </c>
      <c r="J34" s="15">
        <f t="shared" si="1"/>
        <v>0</v>
      </c>
      <c r="K34" s="15">
        <f t="shared" si="1"/>
        <v>0</v>
      </c>
      <c r="L34" s="15">
        <f t="shared" si="1"/>
        <v>0</v>
      </c>
      <c r="M34" s="15">
        <f t="shared" si="1"/>
        <v>0</v>
      </c>
    </row>
    <row r="35" spans="1:13" x14ac:dyDescent="0.25">
      <c r="A35" s="12" t="s">
        <v>50</v>
      </c>
      <c r="B35" s="17">
        <f t="shared" ref="B35:M35" si="2">B22+B34</f>
        <v>0</v>
      </c>
      <c r="C35" s="17">
        <f t="shared" si="2"/>
        <v>0</v>
      </c>
      <c r="D35" s="17">
        <f t="shared" si="2"/>
        <v>0</v>
      </c>
      <c r="E35" s="17">
        <f t="shared" si="2"/>
        <v>0</v>
      </c>
      <c r="F35" s="17">
        <f t="shared" si="2"/>
        <v>0</v>
      </c>
      <c r="G35" s="17">
        <f t="shared" si="2"/>
        <v>0</v>
      </c>
      <c r="H35" s="17">
        <f t="shared" si="2"/>
        <v>0</v>
      </c>
      <c r="I35" s="17">
        <f t="shared" si="2"/>
        <v>0</v>
      </c>
      <c r="J35" s="17">
        <f t="shared" si="2"/>
        <v>0</v>
      </c>
      <c r="K35" s="17">
        <f t="shared" si="2"/>
        <v>0</v>
      </c>
      <c r="L35" s="17">
        <f t="shared" si="2"/>
        <v>0</v>
      </c>
      <c r="M35" s="17">
        <f t="shared" si="2"/>
        <v>0</v>
      </c>
    </row>
    <row r="36" spans="1:13" x14ac:dyDescent="0.25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</row>
    <row r="37" spans="1:13" ht="15.75" x14ac:dyDescent="0.25">
      <c r="A37" s="3" t="s">
        <v>51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</row>
    <row r="38" spans="1:13" x14ac:dyDescent="0.25">
      <c r="A38" s="8" t="s">
        <v>52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</row>
    <row r="39" spans="1:13" x14ac:dyDescent="0.25">
      <c r="A39" t="s">
        <v>53</v>
      </c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</row>
    <row r="40" spans="1:13" x14ac:dyDescent="0.25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</row>
    <row r="41" spans="1:13" x14ac:dyDescent="0.2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</row>
    <row r="42" spans="1:13" x14ac:dyDescent="0.2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</row>
    <row r="43" spans="1:13" x14ac:dyDescent="0.25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</row>
    <row r="44" spans="1:13" x14ac:dyDescent="0.25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</row>
    <row r="45" spans="1:13" x14ac:dyDescent="0.25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</row>
    <row r="46" spans="1:13" x14ac:dyDescent="0.2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</row>
    <row r="47" spans="1:13" x14ac:dyDescent="0.2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</row>
    <row r="48" spans="1:13" x14ac:dyDescent="0.2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</row>
    <row r="49" spans="1:13" x14ac:dyDescent="0.2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</row>
    <row r="50" spans="1:13" x14ac:dyDescent="0.25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</row>
    <row r="51" spans="1:13" x14ac:dyDescent="0.2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</row>
    <row r="52" spans="1:13" x14ac:dyDescent="0.25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</row>
    <row r="53" spans="1:13" x14ac:dyDescent="0.2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</row>
    <row r="54" spans="1:13" x14ac:dyDescent="0.25">
      <c r="A54" s="10" t="s">
        <v>54</v>
      </c>
      <c r="B54" s="15">
        <f t="shared" ref="B54:M54" si="3">SUM(B39:B53)</f>
        <v>0</v>
      </c>
      <c r="C54" s="15">
        <f t="shared" si="3"/>
        <v>0</v>
      </c>
      <c r="D54" s="15">
        <f t="shared" si="3"/>
        <v>0</v>
      </c>
      <c r="E54" s="15">
        <f t="shared" si="3"/>
        <v>0</v>
      </c>
      <c r="F54" s="15">
        <f t="shared" si="3"/>
        <v>0</v>
      </c>
      <c r="G54" s="15">
        <f t="shared" si="3"/>
        <v>0</v>
      </c>
      <c r="H54" s="15">
        <f t="shared" si="3"/>
        <v>0</v>
      </c>
      <c r="I54" s="15">
        <f t="shared" si="3"/>
        <v>0</v>
      </c>
      <c r="J54" s="15">
        <f t="shared" si="3"/>
        <v>0</v>
      </c>
      <c r="K54" s="15">
        <f t="shared" si="3"/>
        <v>0</v>
      </c>
      <c r="L54" s="15">
        <f t="shared" si="3"/>
        <v>0</v>
      </c>
      <c r="M54" s="15">
        <f t="shared" si="3"/>
        <v>0</v>
      </c>
    </row>
    <row r="55" spans="1:13" x14ac:dyDescent="0.25">
      <c r="A55" s="8" t="s">
        <v>55</v>
      </c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</row>
    <row r="56" spans="1:13" x14ac:dyDescent="0.25">
      <c r="A56" t="s">
        <v>56</v>
      </c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</row>
    <row r="57" spans="1:13" x14ac:dyDescent="0.25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</row>
    <row r="58" spans="1:13" x14ac:dyDescent="0.25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</row>
    <row r="59" spans="1:13" x14ac:dyDescent="0.25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</row>
    <row r="60" spans="1:13" x14ac:dyDescent="0.2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</row>
    <row r="61" spans="1:13" x14ac:dyDescent="0.25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</row>
    <row r="62" spans="1:13" x14ac:dyDescent="0.25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</row>
    <row r="63" spans="1:13" x14ac:dyDescent="0.25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</row>
    <row r="64" spans="1:13" x14ac:dyDescent="0.25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</row>
    <row r="65" spans="1:13" x14ac:dyDescent="0.25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</row>
    <row r="66" spans="1:13" x14ac:dyDescent="0.25">
      <c r="A66" s="10" t="s">
        <v>57</v>
      </c>
      <c r="B66" s="15">
        <f t="shared" ref="B66:M66" si="4">SUM(B56:B65)</f>
        <v>0</v>
      </c>
      <c r="C66" s="15">
        <f t="shared" si="4"/>
        <v>0</v>
      </c>
      <c r="D66" s="15">
        <f t="shared" si="4"/>
        <v>0</v>
      </c>
      <c r="E66" s="15">
        <f t="shared" si="4"/>
        <v>0</v>
      </c>
      <c r="F66" s="15">
        <f t="shared" si="4"/>
        <v>0</v>
      </c>
      <c r="G66" s="15">
        <f t="shared" si="4"/>
        <v>0</v>
      </c>
      <c r="H66" s="15">
        <f t="shared" si="4"/>
        <v>0</v>
      </c>
      <c r="I66" s="15">
        <f t="shared" si="4"/>
        <v>0</v>
      </c>
      <c r="J66" s="15">
        <f t="shared" si="4"/>
        <v>0</v>
      </c>
      <c r="K66" s="15">
        <f t="shared" si="4"/>
        <v>0</v>
      </c>
      <c r="L66" s="15">
        <f t="shared" si="4"/>
        <v>0</v>
      </c>
      <c r="M66" s="15">
        <f t="shared" si="4"/>
        <v>0</v>
      </c>
    </row>
    <row r="67" spans="1:13" x14ac:dyDescent="0.25">
      <c r="A67" s="12" t="s">
        <v>58</v>
      </c>
      <c r="B67" s="17">
        <f t="shared" ref="B67:M67" si="5">B54+B66</f>
        <v>0</v>
      </c>
      <c r="C67" s="17">
        <f t="shared" si="5"/>
        <v>0</v>
      </c>
      <c r="D67" s="17">
        <f t="shared" si="5"/>
        <v>0</v>
      </c>
      <c r="E67" s="17">
        <f t="shared" si="5"/>
        <v>0</v>
      </c>
      <c r="F67" s="17">
        <f t="shared" si="5"/>
        <v>0</v>
      </c>
      <c r="G67" s="17">
        <f t="shared" si="5"/>
        <v>0</v>
      </c>
      <c r="H67" s="17">
        <f t="shared" si="5"/>
        <v>0</v>
      </c>
      <c r="I67" s="17">
        <f t="shared" si="5"/>
        <v>0</v>
      </c>
      <c r="J67" s="17">
        <f t="shared" si="5"/>
        <v>0</v>
      </c>
      <c r="K67" s="17">
        <f t="shared" si="5"/>
        <v>0</v>
      </c>
      <c r="L67" s="17">
        <f t="shared" si="5"/>
        <v>0</v>
      </c>
      <c r="M67" s="17">
        <f t="shared" si="5"/>
        <v>0</v>
      </c>
    </row>
    <row r="68" spans="1:13" x14ac:dyDescent="0.2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</row>
    <row r="69" spans="1:13" ht="15.75" x14ac:dyDescent="0.25">
      <c r="A69" s="3" t="s">
        <v>59</v>
      </c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</row>
    <row r="70" spans="1:13" x14ac:dyDescent="0.25">
      <c r="A70" t="s">
        <v>60</v>
      </c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</row>
    <row r="71" spans="1:13" x14ac:dyDescent="0.25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</row>
    <row r="72" spans="1:13" x14ac:dyDescent="0.25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</row>
    <row r="73" spans="1:13" x14ac:dyDescent="0.2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</row>
    <row r="74" spans="1:13" x14ac:dyDescent="0.25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</row>
    <row r="75" spans="1:13" x14ac:dyDescent="0.25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</row>
    <row r="76" spans="1:13" x14ac:dyDescent="0.25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</row>
    <row r="77" spans="1:13" x14ac:dyDescent="0.25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</row>
    <row r="78" spans="1:13" x14ac:dyDescent="0.25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</row>
    <row r="79" spans="1:13" x14ac:dyDescent="0.25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</row>
    <row r="80" spans="1:13" x14ac:dyDescent="0.25">
      <c r="A80" s="12" t="s">
        <v>61</v>
      </c>
      <c r="B80" s="17">
        <f t="shared" ref="B80:M80" si="6">SUM(B70:B79)</f>
        <v>0</v>
      </c>
      <c r="C80" s="17">
        <f t="shared" si="6"/>
        <v>0</v>
      </c>
      <c r="D80" s="17">
        <f t="shared" si="6"/>
        <v>0</v>
      </c>
      <c r="E80" s="17">
        <f t="shared" si="6"/>
        <v>0</v>
      </c>
      <c r="F80" s="17">
        <f t="shared" si="6"/>
        <v>0</v>
      </c>
      <c r="G80" s="17">
        <f t="shared" si="6"/>
        <v>0</v>
      </c>
      <c r="H80" s="17">
        <f t="shared" si="6"/>
        <v>0</v>
      </c>
      <c r="I80" s="17">
        <f t="shared" si="6"/>
        <v>0</v>
      </c>
      <c r="J80" s="17">
        <f t="shared" si="6"/>
        <v>0</v>
      </c>
      <c r="K80" s="17">
        <f t="shared" si="6"/>
        <v>0</v>
      </c>
      <c r="L80" s="17">
        <f t="shared" si="6"/>
        <v>0</v>
      </c>
      <c r="M80" s="17">
        <f t="shared" si="6"/>
        <v>0</v>
      </c>
    </row>
    <row r="81" spans="1:13" x14ac:dyDescent="0.25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</row>
    <row r="82" spans="1:13" x14ac:dyDescent="0.25">
      <c r="A82" s="6" t="s">
        <v>62</v>
      </c>
      <c r="B82" s="18">
        <f t="shared" ref="B82:M82" si="7">B67+B80</f>
        <v>0</v>
      </c>
      <c r="C82" s="18">
        <f t="shared" si="7"/>
        <v>0</v>
      </c>
      <c r="D82" s="18">
        <f t="shared" si="7"/>
        <v>0</v>
      </c>
      <c r="E82" s="18">
        <f t="shared" si="7"/>
        <v>0</v>
      </c>
      <c r="F82" s="18">
        <f t="shared" si="7"/>
        <v>0</v>
      </c>
      <c r="G82" s="18">
        <f t="shared" si="7"/>
        <v>0</v>
      </c>
      <c r="H82" s="18">
        <f t="shared" si="7"/>
        <v>0</v>
      </c>
      <c r="I82" s="18">
        <f t="shared" si="7"/>
        <v>0</v>
      </c>
      <c r="J82" s="18">
        <f t="shared" si="7"/>
        <v>0</v>
      </c>
      <c r="K82" s="18">
        <f t="shared" si="7"/>
        <v>0</v>
      </c>
      <c r="L82" s="18">
        <f t="shared" si="7"/>
        <v>0</v>
      </c>
      <c r="M82" s="18">
        <f t="shared" si="7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EE276-0DB4-412A-A818-371CC187299C}">
  <dimension ref="A1:V112"/>
  <sheetViews>
    <sheetView workbookViewId="0">
      <selection activeCell="C11" sqref="C11"/>
    </sheetView>
  </sheetViews>
  <sheetFormatPr defaultRowHeight="15" x14ac:dyDescent="0.25"/>
  <cols>
    <col min="1" max="1" width="35.7109375" customWidth="1"/>
    <col min="15" max="15" width="2.7109375" customWidth="1"/>
    <col min="20" max="20" width="2.7109375" customWidth="1"/>
  </cols>
  <sheetData>
    <row r="1" spans="1:22" ht="18.75" x14ac:dyDescent="0.3">
      <c r="A1" s="2" t="s">
        <v>0</v>
      </c>
    </row>
    <row r="2" spans="1:22" ht="15.75" x14ac:dyDescent="0.25">
      <c r="A2" s="3" t="s">
        <v>2</v>
      </c>
    </row>
    <row r="3" spans="1:22" x14ac:dyDescent="0.25">
      <c r="A3" s="4" t="s">
        <v>3</v>
      </c>
    </row>
    <row r="4" spans="1:22" x14ac:dyDescent="0.25">
      <c r="A4" s="6" t="s">
        <v>4</v>
      </c>
      <c r="B4" s="6" t="s">
        <v>5</v>
      </c>
      <c r="C4" s="6" t="s">
        <v>6</v>
      </c>
      <c r="D4" s="6" t="s">
        <v>7</v>
      </c>
      <c r="E4" s="6" t="s">
        <v>8</v>
      </c>
      <c r="F4" s="6" t="s">
        <v>9</v>
      </c>
      <c r="G4" s="6" t="s">
        <v>10</v>
      </c>
      <c r="H4" s="6" t="s">
        <v>11</v>
      </c>
      <c r="I4" s="6" t="s">
        <v>12</v>
      </c>
      <c r="J4" s="6" t="s">
        <v>13</v>
      </c>
      <c r="K4" s="6" t="s">
        <v>14</v>
      </c>
      <c r="L4" s="6" t="s">
        <v>15</v>
      </c>
      <c r="M4" s="6" t="s">
        <v>16</v>
      </c>
      <c r="N4" s="6" t="s">
        <v>17</v>
      </c>
      <c r="O4" s="6"/>
      <c r="P4" s="6" t="s">
        <v>18</v>
      </c>
      <c r="Q4" s="6" t="s">
        <v>19</v>
      </c>
      <c r="R4" s="6" t="s">
        <v>20</v>
      </c>
      <c r="S4" s="6" t="s">
        <v>21</v>
      </c>
      <c r="T4" s="6"/>
      <c r="U4" s="6" t="s">
        <v>22</v>
      </c>
      <c r="V4" s="6" t="s">
        <v>23</v>
      </c>
    </row>
    <row r="5" spans="1:22" x14ac:dyDescent="0.25">
      <c r="A5" s="8" t="s">
        <v>24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t="s">
        <v>25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P6" s="14"/>
      <c r="Q6" s="14"/>
      <c r="R6" s="14"/>
      <c r="S6" s="19"/>
      <c r="U6" s="14"/>
      <c r="V6" s="14"/>
    </row>
    <row r="7" spans="1:22" x14ac:dyDescent="0.25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P7" s="14"/>
      <c r="Q7" s="14"/>
      <c r="R7" s="14"/>
      <c r="S7" s="19"/>
      <c r="U7" s="14"/>
      <c r="V7" s="14"/>
    </row>
    <row r="8" spans="1:22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P8" s="14"/>
      <c r="Q8" s="14"/>
      <c r="R8" s="14"/>
      <c r="S8" s="19"/>
      <c r="U8" s="14"/>
      <c r="V8" s="14"/>
    </row>
    <row r="9" spans="1:22" x14ac:dyDescent="0.25"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P9" s="14"/>
      <c r="Q9" s="14"/>
      <c r="R9" s="14"/>
      <c r="S9" s="19"/>
      <c r="U9" s="14"/>
      <c r="V9" s="14"/>
    </row>
    <row r="10" spans="1:22" x14ac:dyDescent="0.25"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P10" s="14"/>
      <c r="Q10" s="14"/>
      <c r="R10" s="14"/>
      <c r="S10" s="19"/>
      <c r="U10" s="14"/>
      <c r="V10" s="14"/>
    </row>
    <row r="11" spans="1:22" x14ac:dyDescent="0.25"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P11" s="14"/>
      <c r="Q11" s="14"/>
      <c r="R11" s="14"/>
      <c r="S11" s="19"/>
      <c r="U11" s="14"/>
      <c r="V11" s="14"/>
    </row>
    <row r="12" spans="1:22" x14ac:dyDescent="0.25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P12" s="14"/>
      <c r="Q12" s="14"/>
      <c r="R12" s="14"/>
      <c r="S12" s="19"/>
      <c r="U12" s="14"/>
      <c r="V12" s="14"/>
    </row>
    <row r="13" spans="1:22" x14ac:dyDescent="0.25"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P13" s="14"/>
      <c r="Q13" s="14"/>
      <c r="R13" s="14"/>
      <c r="S13" s="19"/>
      <c r="U13" s="14"/>
      <c r="V13" s="14"/>
    </row>
    <row r="14" spans="1:22" x14ac:dyDescent="0.2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P14" s="14"/>
      <c r="Q14" s="14"/>
      <c r="R14" s="14"/>
      <c r="S14" s="19"/>
      <c r="U14" s="14"/>
      <c r="V14" s="14"/>
    </row>
    <row r="15" spans="1:22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P15" s="14"/>
      <c r="Q15" s="14"/>
      <c r="R15" s="14"/>
      <c r="S15" s="19"/>
      <c r="U15" s="14"/>
      <c r="V15" s="14"/>
    </row>
    <row r="16" spans="1:22" x14ac:dyDescent="0.2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P16" s="14"/>
      <c r="Q16" s="14"/>
      <c r="R16" s="14"/>
      <c r="S16" s="19"/>
      <c r="U16" s="14"/>
      <c r="V16" s="14"/>
    </row>
    <row r="17" spans="1:22" x14ac:dyDescent="0.25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P17" s="14"/>
      <c r="Q17" s="14"/>
      <c r="R17" s="14"/>
      <c r="S17" s="19"/>
      <c r="U17" s="14"/>
      <c r="V17" s="14"/>
    </row>
    <row r="18" spans="1:22" x14ac:dyDescent="0.25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P18" s="14"/>
      <c r="Q18" s="14"/>
      <c r="R18" s="14"/>
      <c r="S18" s="19"/>
      <c r="U18" s="14"/>
      <c r="V18" s="14"/>
    </row>
    <row r="19" spans="1:22" x14ac:dyDescent="0.25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P19" s="14"/>
      <c r="Q19" s="14"/>
      <c r="R19" s="14"/>
      <c r="S19" s="19"/>
      <c r="U19" s="14"/>
      <c r="V19" s="14"/>
    </row>
    <row r="20" spans="1:22" x14ac:dyDescent="0.25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P20" s="14"/>
      <c r="Q20" s="14"/>
      <c r="R20" s="14"/>
      <c r="S20" s="19"/>
      <c r="U20" s="14"/>
      <c r="V20" s="14"/>
    </row>
    <row r="21" spans="1:22" x14ac:dyDescent="0.25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P21" s="14"/>
      <c r="Q21" s="14"/>
      <c r="R21" s="14"/>
      <c r="S21" s="19"/>
      <c r="U21" s="14"/>
      <c r="V21" s="14"/>
    </row>
    <row r="22" spans="1:22" x14ac:dyDescent="0.25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P22" s="14"/>
      <c r="Q22" s="14"/>
      <c r="R22" s="14"/>
      <c r="S22" s="19"/>
      <c r="U22" s="14"/>
      <c r="V22" s="14"/>
    </row>
    <row r="23" spans="1:22" x14ac:dyDescent="0.25"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P23" s="14"/>
      <c r="Q23" s="14"/>
      <c r="R23" s="14"/>
      <c r="S23" s="19"/>
      <c r="U23" s="14"/>
      <c r="V23" s="14"/>
    </row>
    <row r="24" spans="1:22" x14ac:dyDescent="0.2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P24" s="14"/>
      <c r="Q24" s="14"/>
      <c r="R24" s="14"/>
      <c r="S24" s="19"/>
      <c r="U24" s="14"/>
      <c r="V24" s="14"/>
    </row>
    <row r="25" spans="1:22" x14ac:dyDescent="0.25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P25" s="14"/>
      <c r="Q25" s="14"/>
      <c r="R25" s="14"/>
      <c r="S25" s="19"/>
      <c r="U25" s="14"/>
      <c r="V25" s="14"/>
    </row>
    <row r="26" spans="1:22" x14ac:dyDescent="0.25">
      <c r="A26" s="10" t="s">
        <v>26</v>
      </c>
      <c r="B26" s="15">
        <f t="shared" ref="B26:M26" si="0">SUM(B6:B25)</f>
        <v>0</v>
      </c>
      <c r="C26" s="15">
        <f t="shared" si="0"/>
        <v>0</v>
      </c>
      <c r="D26" s="15">
        <f t="shared" si="0"/>
        <v>0</v>
      </c>
      <c r="E26" s="15">
        <f t="shared" si="0"/>
        <v>0</v>
      </c>
      <c r="F26" s="15">
        <f t="shared" si="0"/>
        <v>0</v>
      </c>
      <c r="G26" s="15">
        <f t="shared" si="0"/>
        <v>0</v>
      </c>
      <c r="H26" s="15">
        <f t="shared" si="0"/>
        <v>0</v>
      </c>
      <c r="I26" s="15">
        <f t="shared" si="0"/>
        <v>0</v>
      </c>
      <c r="J26" s="15">
        <f t="shared" si="0"/>
        <v>0</v>
      </c>
      <c r="K26" s="15">
        <f t="shared" si="0"/>
        <v>0</v>
      </c>
      <c r="L26" s="15">
        <f t="shared" si="0"/>
        <v>0</v>
      </c>
      <c r="M26" s="15">
        <f t="shared" si="0"/>
        <v>0</v>
      </c>
      <c r="N26" s="9"/>
      <c r="O26" s="9"/>
      <c r="P26" s="15">
        <f>SUMPRODUCT((B26:M26)*--(INT(B$3:M$3/100)=Menu!$F$7-1)*--(MOD(B$3:M$3,100)&lt;=Menu!$E$7))</f>
        <v>0</v>
      </c>
      <c r="Q26" s="15">
        <f>SUMPRODUCT((B26:M26)*--(INT(B$3:M$3/100)=Menu!$F$7)*--(MOD(B$3:M$3,100)&lt;=Menu!$E$7))</f>
        <v>0</v>
      </c>
      <c r="R26" s="15">
        <f>Q26-P26</f>
        <v>0</v>
      </c>
      <c r="S26" s="20">
        <f>IFERROR(R26/P26,0)</f>
        <v>0</v>
      </c>
      <c r="T26" s="9"/>
      <c r="U26" s="15">
        <f>SUMPRODUCT((B26:M26)*--(INT(B$3:M$3/100)=Menu!$F$7-1))</f>
        <v>0</v>
      </c>
      <c r="V26" s="15">
        <f>SUMPRODUCT((B26:M26)*--(INT(B$3:M$3/100)=Menu!$F$7))</f>
        <v>0</v>
      </c>
    </row>
    <row r="27" spans="1:22" x14ac:dyDescent="0.25">
      <c r="A27" s="8" t="s">
        <v>27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7"/>
      <c r="O27" s="7"/>
      <c r="P27" s="16"/>
      <c r="Q27" s="16"/>
      <c r="R27" s="16"/>
      <c r="S27" s="21"/>
      <c r="T27" s="7"/>
      <c r="U27" s="16"/>
      <c r="V27" s="16"/>
    </row>
    <row r="28" spans="1:22" x14ac:dyDescent="0.25">
      <c r="A28" t="s">
        <v>28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P28" s="14"/>
      <c r="Q28" s="14"/>
      <c r="R28" s="14"/>
      <c r="S28" s="19"/>
      <c r="U28" s="14"/>
      <c r="V28" s="14"/>
    </row>
    <row r="29" spans="1:22" x14ac:dyDescent="0.2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P29" s="14"/>
      <c r="Q29" s="14"/>
      <c r="R29" s="14"/>
      <c r="S29" s="19"/>
      <c r="U29" s="14"/>
      <c r="V29" s="14"/>
    </row>
    <row r="30" spans="1:22" x14ac:dyDescent="0.25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P30" s="14"/>
      <c r="Q30" s="14"/>
      <c r="R30" s="14"/>
      <c r="S30" s="19"/>
      <c r="U30" s="14"/>
      <c r="V30" s="14"/>
    </row>
    <row r="31" spans="1:22" x14ac:dyDescent="0.25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P31" s="14"/>
      <c r="Q31" s="14"/>
      <c r="R31" s="14"/>
      <c r="S31" s="19"/>
      <c r="U31" s="14"/>
      <c r="V31" s="14"/>
    </row>
    <row r="32" spans="1:22" x14ac:dyDescent="0.25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P32" s="14"/>
      <c r="Q32" s="14"/>
      <c r="R32" s="14"/>
      <c r="S32" s="19"/>
      <c r="U32" s="14"/>
      <c r="V32" s="14"/>
    </row>
    <row r="33" spans="1:22" x14ac:dyDescent="0.25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P33" s="14"/>
      <c r="Q33" s="14"/>
      <c r="R33" s="14"/>
      <c r="S33" s="19"/>
      <c r="U33" s="14"/>
      <c r="V33" s="14"/>
    </row>
    <row r="34" spans="1:22" x14ac:dyDescent="0.25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P34" s="14"/>
      <c r="Q34" s="14"/>
      <c r="R34" s="14"/>
      <c r="S34" s="19"/>
      <c r="U34" s="14"/>
      <c r="V34" s="14"/>
    </row>
    <row r="35" spans="1:22" x14ac:dyDescent="0.25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P35" s="14"/>
      <c r="Q35" s="14"/>
      <c r="R35" s="14"/>
      <c r="S35" s="19"/>
      <c r="U35" s="14"/>
      <c r="V35" s="14"/>
    </row>
    <row r="36" spans="1:22" x14ac:dyDescent="0.25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P36" s="14"/>
      <c r="Q36" s="14"/>
      <c r="R36" s="14"/>
      <c r="S36" s="19"/>
      <c r="U36" s="14"/>
      <c r="V36" s="14"/>
    </row>
    <row r="37" spans="1:22" x14ac:dyDescent="0.25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P37" s="14"/>
      <c r="Q37" s="14"/>
      <c r="R37" s="14"/>
      <c r="S37" s="19"/>
      <c r="U37" s="14"/>
      <c r="V37" s="14"/>
    </row>
    <row r="38" spans="1:22" x14ac:dyDescent="0.25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P38" s="14"/>
      <c r="Q38" s="14"/>
      <c r="R38" s="14"/>
      <c r="S38" s="19"/>
      <c r="U38" s="14"/>
      <c r="V38" s="14"/>
    </row>
    <row r="39" spans="1:22" x14ac:dyDescent="0.25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P39" s="14"/>
      <c r="Q39" s="14"/>
      <c r="R39" s="14"/>
      <c r="S39" s="19"/>
      <c r="U39" s="14"/>
      <c r="V39" s="14"/>
    </row>
    <row r="40" spans="1:22" x14ac:dyDescent="0.25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P40" s="14"/>
      <c r="Q40" s="14"/>
      <c r="R40" s="14"/>
      <c r="S40" s="19"/>
      <c r="U40" s="14"/>
      <c r="V40" s="14"/>
    </row>
    <row r="41" spans="1:22" x14ac:dyDescent="0.2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P41" s="14"/>
      <c r="Q41" s="14"/>
      <c r="R41" s="14"/>
      <c r="S41" s="19"/>
      <c r="U41" s="14"/>
      <c r="V41" s="14"/>
    </row>
    <row r="42" spans="1:22" x14ac:dyDescent="0.2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P42" s="14"/>
      <c r="Q42" s="14"/>
      <c r="R42" s="14"/>
      <c r="S42" s="19"/>
      <c r="U42" s="14"/>
      <c r="V42" s="14"/>
    </row>
    <row r="43" spans="1:22" x14ac:dyDescent="0.25">
      <c r="A43" s="10" t="s">
        <v>29</v>
      </c>
      <c r="B43" s="15">
        <f t="shared" ref="B43:M43" si="1">SUM(B28:B42)</f>
        <v>0</v>
      </c>
      <c r="C43" s="15">
        <f t="shared" si="1"/>
        <v>0</v>
      </c>
      <c r="D43" s="15">
        <f t="shared" si="1"/>
        <v>0</v>
      </c>
      <c r="E43" s="15">
        <f t="shared" si="1"/>
        <v>0</v>
      </c>
      <c r="F43" s="15">
        <f t="shared" si="1"/>
        <v>0</v>
      </c>
      <c r="G43" s="15">
        <f t="shared" si="1"/>
        <v>0</v>
      </c>
      <c r="H43" s="15">
        <f t="shared" si="1"/>
        <v>0</v>
      </c>
      <c r="I43" s="15">
        <f t="shared" si="1"/>
        <v>0</v>
      </c>
      <c r="J43" s="15">
        <f t="shared" si="1"/>
        <v>0</v>
      </c>
      <c r="K43" s="15">
        <f t="shared" si="1"/>
        <v>0</v>
      </c>
      <c r="L43" s="15">
        <f t="shared" si="1"/>
        <v>0</v>
      </c>
      <c r="M43" s="15">
        <f t="shared" si="1"/>
        <v>0</v>
      </c>
      <c r="N43" s="9"/>
      <c r="O43" s="9"/>
      <c r="P43" s="15">
        <f>SUMPRODUCT((B43:M43)*--(INT(B$3:M$3/100)=Menu!$F$7-1)*--(MOD(B$3:M$3,100)&lt;=Menu!$E$7))</f>
        <v>0</v>
      </c>
      <c r="Q43" s="15">
        <f>SUMPRODUCT((B43:M43)*--(INT(B$3:M$3/100)=Menu!$F$7)*--(MOD(B$3:M$3,100)&lt;=Menu!$E$7))</f>
        <v>0</v>
      </c>
      <c r="R43" s="15">
        <f>Q43-P43</f>
        <v>0</v>
      </c>
      <c r="S43" s="20">
        <f>IFERROR(R43/P43,0)</f>
        <v>0</v>
      </c>
      <c r="T43" s="9"/>
      <c r="U43" s="15">
        <f>SUMPRODUCT((B43:M43)*--(INT(B$3:M$3/100)=Menu!$F$7-1))</f>
        <v>0</v>
      </c>
      <c r="V43" s="15">
        <f>SUMPRODUCT((B43:M43)*--(INT(B$3:M$3/100)=Menu!$F$7))</f>
        <v>0</v>
      </c>
    </row>
    <row r="44" spans="1:22" x14ac:dyDescent="0.25">
      <c r="A44" s="12" t="s">
        <v>30</v>
      </c>
      <c r="B44" s="17">
        <f t="shared" ref="B44:M44" si="2">B26-B43</f>
        <v>0</v>
      </c>
      <c r="C44" s="17">
        <f t="shared" si="2"/>
        <v>0</v>
      </c>
      <c r="D44" s="17">
        <f t="shared" si="2"/>
        <v>0</v>
      </c>
      <c r="E44" s="17">
        <f t="shared" si="2"/>
        <v>0</v>
      </c>
      <c r="F44" s="17">
        <f t="shared" si="2"/>
        <v>0</v>
      </c>
      <c r="G44" s="17">
        <f t="shared" si="2"/>
        <v>0</v>
      </c>
      <c r="H44" s="17">
        <f t="shared" si="2"/>
        <v>0</v>
      </c>
      <c r="I44" s="17">
        <f t="shared" si="2"/>
        <v>0</v>
      </c>
      <c r="J44" s="17">
        <f t="shared" si="2"/>
        <v>0</v>
      </c>
      <c r="K44" s="17">
        <f t="shared" si="2"/>
        <v>0</v>
      </c>
      <c r="L44" s="17">
        <f t="shared" si="2"/>
        <v>0</v>
      </c>
      <c r="M44" s="17">
        <f t="shared" si="2"/>
        <v>0</v>
      </c>
      <c r="N44" s="11"/>
      <c r="O44" s="11"/>
      <c r="P44" s="17">
        <f>SUMPRODUCT((B44:M44)*--(INT(B$3:M$3/100)=Menu!$F$7-1)*--(MOD(B$3:M$3,100)&lt;=Menu!$E$7))</f>
        <v>0</v>
      </c>
      <c r="Q44" s="17">
        <f>SUMPRODUCT((B44:M44)*--(INT(B$3:M$3/100)=Menu!$F$7)*--(MOD(B$3:M$3,100)&lt;=Menu!$E$7))</f>
        <v>0</v>
      </c>
      <c r="R44" s="17">
        <f>Q44-P44</f>
        <v>0</v>
      </c>
      <c r="S44" s="22">
        <f>IFERROR(R44/P44,0)</f>
        <v>0</v>
      </c>
      <c r="T44" s="11"/>
      <c r="U44" s="17">
        <f>SUMPRODUCT((B44:M44)*--(INT(B$3:M$3/100)=Menu!$F$7-1))</f>
        <v>0</v>
      </c>
      <c r="V44" s="17">
        <f>SUMPRODUCT((B44:M44)*--(INT(B$3:M$3/100)=Menu!$F$7))</f>
        <v>0</v>
      </c>
    </row>
    <row r="45" spans="1:22" x14ac:dyDescent="0.25">
      <c r="A45" s="8" t="s">
        <v>31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7"/>
      <c r="O45" s="7"/>
      <c r="P45" s="16"/>
      <c r="Q45" s="16"/>
      <c r="R45" s="16"/>
      <c r="S45" s="21"/>
      <c r="T45" s="7"/>
      <c r="U45" s="16"/>
      <c r="V45" s="16"/>
    </row>
    <row r="46" spans="1:22" x14ac:dyDescent="0.25">
      <c r="A46" t="s">
        <v>32</v>
      </c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P46" s="14"/>
      <c r="Q46" s="14"/>
      <c r="R46" s="14"/>
      <c r="S46" s="19"/>
      <c r="U46" s="14"/>
      <c r="V46" s="14"/>
    </row>
    <row r="47" spans="1:22" x14ac:dyDescent="0.2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P47" s="14"/>
      <c r="Q47" s="14"/>
      <c r="R47" s="14"/>
      <c r="S47" s="19"/>
      <c r="U47" s="14"/>
      <c r="V47" s="14"/>
    </row>
    <row r="48" spans="1:22" x14ac:dyDescent="0.2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P48" s="14"/>
      <c r="Q48" s="14"/>
      <c r="R48" s="14"/>
      <c r="S48" s="19"/>
      <c r="U48" s="14"/>
      <c r="V48" s="14"/>
    </row>
    <row r="49" spans="2:22" x14ac:dyDescent="0.2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P49" s="14"/>
      <c r="Q49" s="14"/>
      <c r="R49" s="14"/>
      <c r="S49" s="19"/>
      <c r="U49" s="14"/>
      <c r="V49" s="14"/>
    </row>
    <row r="50" spans="2:22" x14ac:dyDescent="0.25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P50" s="14"/>
      <c r="Q50" s="14"/>
      <c r="R50" s="14"/>
      <c r="S50" s="19"/>
      <c r="U50" s="14"/>
      <c r="V50" s="14"/>
    </row>
    <row r="51" spans="2:22" x14ac:dyDescent="0.2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P51" s="14"/>
      <c r="Q51" s="14"/>
      <c r="R51" s="14"/>
      <c r="S51" s="19"/>
      <c r="U51" s="14"/>
      <c r="V51" s="14"/>
    </row>
    <row r="52" spans="2:22" x14ac:dyDescent="0.25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P52" s="14"/>
      <c r="Q52" s="14"/>
      <c r="R52" s="14"/>
      <c r="S52" s="19"/>
      <c r="U52" s="14"/>
      <c r="V52" s="14"/>
    </row>
    <row r="53" spans="2:22" x14ac:dyDescent="0.2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P53" s="14"/>
      <c r="Q53" s="14"/>
      <c r="R53" s="14"/>
      <c r="S53" s="19"/>
      <c r="U53" s="14"/>
      <c r="V53" s="14"/>
    </row>
    <row r="54" spans="2:22" x14ac:dyDescent="0.25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P54" s="14"/>
      <c r="Q54" s="14"/>
      <c r="R54" s="14"/>
      <c r="S54" s="19"/>
      <c r="U54" s="14"/>
      <c r="V54" s="14"/>
    </row>
    <row r="55" spans="2:22" x14ac:dyDescent="0.25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P55" s="14"/>
      <c r="Q55" s="14"/>
      <c r="R55" s="14"/>
      <c r="S55" s="19"/>
      <c r="U55" s="14"/>
      <c r="V55" s="14"/>
    </row>
    <row r="56" spans="2:22" x14ac:dyDescent="0.2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P56" s="14"/>
      <c r="Q56" s="14"/>
      <c r="R56" s="14"/>
      <c r="S56" s="19"/>
      <c r="U56" s="14"/>
      <c r="V56" s="14"/>
    </row>
    <row r="57" spans="2:22" x14ac:dyDescent="0.25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P57" s="14"/>
      <c r="Q57" s="14"/>
      <c r="R57" s="14"/>
      <c r="S57" s="19"/>
      <c r="U57" s="14"/>
      <c r="V57" s="14"/>
    </row>
    <row r="58" spans="2:22" x14ac:dyDescent="0.25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P58" s="14"/>
      <c r="Q58" s="14"/>
      <c r="R58" s="14"/>
      <c r="S58" s="19"/>
      <c r="U58" s="14"/>
      <c r="V58" s="14"/>
    </row>
    <row r="59" spans="2:22" x14ac:dyDescent="0.25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P59" s="14"/>
      <c r="Q59" s="14"/>
      <c r="R59" s="14"/>
      <c r="S59" s="19"/>
      <c r="U59" s="14"/>
      <c r="V59" s="14"/>
    </row>
    <row r="60" spans="2:22" x14ac:dyDescent="0.2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P60" s="14"/>
      <c r="Q60" s="14"/>
      <c r="R60" s="14"/>
      <c r="S60" s="19"/>
      <c r="U60" s="14"/>
      <c r="V60" s="14"/>
    </row>
    <row r="61" spans="2:22" x14ac:dyDescent="0.25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P61" s="14"/>
      <c r="Q61" s="14"/>
      <c r="R61" s="14"/>
      <c r="S61" s="19"/>
      <c r="U61" s="14"/>
      <c r="V61" s="14"/>
    </row>
    <row r="62" spans="2:22" x14ac:dyDescent="0.25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P62" s="14"/>
      <c r="Q62" s="14"/>
      <c r="R62" s="14"/>
      <c r="S62" s="19"/>
      <c r="U62" s="14"/>
      <c r="V62" s="14"/>
    </row>
    <row r="63" spans="2:22" x14ac:dyDescent="0.25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P63" s="14"/>
      <c r="Q63" s="14"/>
      <c r="R63" s="14"/>
      <c r="S63" s="19"/>
      <c r="U63" s="14"/>
      <c r="V63" s="14"/>
    </row>
    <row r="64" spans="2:22" x14ac:dyDescent="0.25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P64" s="14"/>
      <c r="Q64" s="14"/>
      <c r="R64" s="14"/>
      <c r="S64" s="19"/>
      <c r="U64" s="14"/>
      <c r="V64" s="14"/>
    </row>
    <row r="65" spans="2:22" x14ac:dyDescent="0.25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P65" s="14"/>
      <c r="Q65" s="14"/>
      <c r="R65" s="14"/>
      <c r="S65" s="19"/>
      <c r="U65" s="14"/>
      <c r="V65" s="14"/>
    </row>
    <row r="66" spans="2:22" x14ac:dyDescent="0.25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P66" s="14"/>
      <c r="Q66" s="14"/>
      <c r="R66" s="14"/>
      <c r="S66" s="19"/>
      <c r="U66" s="14"/>
      <c r="V66" s="14"/>
    </row>
    <row r="67" spans="2:22" x14ac:dyDescent="0.25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P67" s="14"/>
      <c r="Q67" s="14"/>
      <c r="R67" s="14"/>
      <c r="S67" s="19"/>
      <c r="U67" s="14"/>
      <c r="V67" s="14"/>
    </row>
    <row r="68" spans="2:22" x14ac:dyDescent="0.2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P68" s="14"/>
      <c r="Q68" s="14"/>
      <c r="R68" s="14"/>
      <c r="S68" s="19"/>
      <c r="U68" s="14"/>
      <c r="V68" s="14"/>
    </row>
    <row r="69" spans="2:22" x14ac:dyDescent="0.25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P69" s="14"/>
      <c r="Q69" s="14"/>
      <c r="R69" s="14"/>
      <c r="S69" s="19"/>
      <c r="U69" s="14"/>
      <c r="V69" s="14"/>
    </row>
    <row r="70" spans="2:22" x14ac:dyDescent="0.25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P70" s="14"/>
      <c r="Q70" s="14"/>
      <c r="R70" s="14"/>
      <c r="S70" s="19"/>
      <c r="U70" s="14"/>
      <c r="V70" s="14"/>
    </row>
    <row r="71" spans="2:22" x14ac:dyDescent="0.25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P71" s="14"/>
      <c r="Q71" s="14"/>
      <c r="R71" s="14"/>
      <c r="S71" s="19"/>
      <c r="U71" s="14"/>
      <c r="V71" s="14"/>
    </row>
    <row r="72" spans="2:22" x14ac:dyDescent="0.25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P72" s="14"/>
      <c r="Q72" s="14"/>
      <c r="R72" s="14"/>
      <c r="S72" s="19"/>
      <c r="U72" s="14"/>
      <c r="V72" s="14"/>
    </row>
    <row r="73" spans="2:22" x14ac:dyDescent="0.2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P73" s="14"/>
      <c r="Q73" s="14"/>
      <c r="R73" s="14"/>
      <c r="S73" s="19"/>
      <c r="U73" s="14"/>
      <c r="V73" s="14"/>
    </row>
    <row r="74" spans="2:22" x14ac:dyDescent="0.25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P74" s="14"/>
      <c r="Q74" s="14"/>
      <c r="R74" s="14"/>
      <c r="S74" s="19"/>
      <c r="U74" s="14"/>
      <c r="V74" s="14"/>
    </row>
    <row r="75" spans="2:22" x14ac:dyDescent="0.25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P75" s="14"/>
      <c r="Q75" s="14"/>
      <c r="R75" s="14"/>
      <c r="S75" s="19"/>
      <c r="U75" s="14"/>
      <c r="V75" s="14"/>
    </row>
    <row r="76" spans="2:22" x14ac:dyDescent="0.25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P76" s="14"/>
      <c r="Q76" s="14"/>
      <c r="R76" s="14"/>
      <c r="S76" s="19"/>
      <c r="U76" s="14"/>
      <c r="V76" s="14"/>
    </row>
    <row r="77" spans="2:22" x14ac:dyDescent="0.25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P77" s="14"/>
      <c r="Q77" s="14"/>
      <c r="R77" s="14"/>
      <c r="S77" s="19"/>
      <c r="U77" s="14"/>
      <c r="V77" s="14"/>
    </row>
    <row r="78" spans="2:22" x14ac:dyDescent="0.25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P78" s="14"/>
      <c r="Q78" s="14"/>
      <c r="R78" s="14"/>
      <c r="S78" s="19"/>
      <c r="U78" s="14"/>
      <c r="V78" s="14"/>
    </row>
    <row r="79" spans="2:22" x14ac:dyDescent="0.25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P79" s="14"/>
      <c r="Q79" s="14"/>
      <c r="R79" s="14"/>
      <c r="S79" s="19"/>
      <c r="U79" s="14"/>
      <c r="V79" s="14"/>
    </row>
    <row r="80" spans="2:22" x14ac:dyDescent="0.25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P80" s="14"/>
      <c r="Q80" s="14"/>
      <c r="R80" s="14"/>
      <c r="S80" s="19"/>
      <c r="U80" s="14"/>
      <c r="V80" s="14"/>
    </row>
    <row r="81" spans="1:22" x14ac:dyDescent="0.25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P81" s="14"/>
      <c r="Q81" s="14"/>
      <c r="R81" s="14"/>
      <c r="S81" s="19"/>
      <c r="U81" s="14"/>
      <c r="V81" s="14"/>
    </row>
    <row r="82" spans="1:22" x14ac:dyDescent="0.25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P82" s="14"/>
      <c r="Q82" s="14"/>
      <c r="R82" s="14"/>
      <c r="S82" s="19"/>
      <c r="U82" s="14"/>
      <c r="V82" s="14"/>
    </row>
    <row r="83" spans="1:22" x14ac:dyDescent="0.25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P83" s="14"/>
      <c r="Q83" s="14"/>
      <c r="R83" s="14"/>
      <c r="S83" s="19"/>
      <c r="U83" s="14"/>
      <c r="V83" s="14"/>
    </row>
    <row r="84" spans="1:22" x14ac:dyDescent="0.25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P84" s="14"/>
      <c r="Q84" s="14"/>
      <c r="R84" s="14"/>
      <c r="S84" s="19"/>
      <c r="U84" s="14"/>
      <c r="V84" s="14"/>
    </row>
    <row r="85" spans="1:22" x14ac:dyDescent="0.25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P85" s="14"/>
      <c r="Q85" s="14"/>
      <c r="R85" s="14"/>
      <c r="S85" s="19"/>
      <c r="U85" s="14"/>
      <c r="V85" s="14"/>
    </row>
    <row r="86" spans="1:22" x14ac:dyDescent="0.25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P86" s="14"/>
      <c r="Q86" s="14"/>
      <c r="R86" s="14"/>
      <c r="S86" s="19"/>
      <c r="U86" s="14"/>
      <c r="V86" s="14"/>
    </row>
    <row r="87" spans="1:22" x14ac:dyDescent="0.25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P87" s="14"/>
      <c r="Q87" s="14"/>
      <c r="R87" s="14"/>
      <c r="S87" s="19"/>
      <c r="U87" s="14"/>
      <c r="V87" s="14"/>
    </row>
    <row r="88" spans="1:22" x14ac:dyDescent="0.25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P88" s="14"/>
      <c r="Q88" s="14"/>
      <c r="R88" s="14"/>
      <c r="S88" s="19"/>
      <c r="U88" s="14"/>
      <c r="V88" s="14"/>
    </row>
    <row r="89" spans="1:22" x14ac:dyDescent="0.25"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P89" s="14"/>
      <c r="Q89" s="14"/>
      <c r="R89" s="14"/>
      <c r="S89" s="19"/>
      <c r="U89" s="14"/>
      <c r="V89" s="14"/>
    </row>
    <row r="90" spans="1:22" x14ac:dyDescent="0.25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P90" s="14"/>
      <c r="Q90" s="14"/>
      <c r="R90" s="14"/>
      <c r="S90" s="19"/>
      <c r="U90" s="14"/>
      <c r="V90" s="14"/>
    </row>
    <row r="91" spans="1:22" x14ac:dyDescent="0.25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P91" s="14"/>
      <c r="Q91" s="14"/>
      <c r="R91" s="14"/>
      <c r="S91" s="19"/>
      <c r="U91" s="14"/>
      <c r="V91" s="14"/>
    </row>
    <row r="92" spans="1:22" x14ac:dyDescent="0.25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P92" s="14"/>
      <c r="Q92" s="14"/>
      <c r="R92" s="14"/>
      <c r="S92" s="19"/>
      <c r="U92" s="14"/>
      <c r="V92" s="14"/>
    </row>
    <row r="93" spans="1:22" x14ac:dyDescent="0.25"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P93" s="14"/>
      <c r="Q93" s="14"/>
      <c r="R93" s="14"/>
      <c r="S93" s="19"/>
      <c r="U93" s="14"/>
      <c r="V93" s="14"/>
    </row>
    <row r="94" spans="1:22" x14ac:dyDescent="0.25"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P94" s="14"/>
      <c r="Q94" s="14"/>
      <c r="R94" s="14"/>
      <c r="S94" s="19"/>
      <c r="U94" s="14"/>
      <c r="V94" s="14"/>
    </row>
    <row r="95" spans="1:22" x14ac:dyDescent="0.25"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P95" s="14"/>
      <c r="Q95" s="14"/>
      <c r="R95" s="14"/>
      <c r="S95" s="19"/>
      <c r="U95" s="14"/>
      <c r="V95" s="14"/>
    </row>
    <row r="96" spans="1:22" x14ac:dyDescent="0.25">
      <c r="A96" s="10" t="s">
        <v>33</v>
      </c>
      <c r="B96" s="15">
        <f t="shared" ref="B96:M96" si="3">SUM(B46:B95)</f>
        <v>0</v>
      </c>
      <c r="C96" s="15">
        <f t="shared" si="3"/>
        <v>0</v>
      </c>
      <c r="D96" s="15">
        <f t="shared" si="3"/>
        <v>0</v>
      </c>
      <c r="E96" s="15">
        <f t="shared" si="3"/>
        <v>0</v>
      </c>
      <c r="F96" s="15">
        <f t="shared" si="3"/>
        <v>0</v>
      </c>
      <c r="G96" s="15">
        <f t="shared" si="3"/>
        <v>0</v>
      </c>
      <c r="H96" s="15">
        <f t="shared" si="3"/>
        <v>0</v>
      </c>
      <c r="I96" s="15">
        <f t="shared" si="3"/>
        <v>0</v>
      </c>
      <c r="J96" s="15">
        <f t="shared" si="3"/>
        <v>0</v>
      </c>
      <c r="K96" s="15">
        <f t="shared" si="3"/>
        <v>0</v>
      </c>
      <c r="L96" s="15">
        <f t="shared" si="3"/>
        <v>0</v>
      </c>
      <c r="M96" s="15">
        <f t="shared" si="3"/>
        <v>0</v>
      </c>
      <c r="N96" s="9"/>
      <c r="O96" s="9"/>
      <c r="P96" s="15">
        <f>SUMPRODUCT((B96:M96)*--(INT(B$3:M$3/100)=Menu!$F$7-1)*--(MOD(B$3:M$3,100)&lt;=Menu!$E$7))</f>
        <v>0</v>
      </c>
      <c r="Q96" s="15">
        <f>SUMPRODUCT((B96:M96)*--(INT(B$3:M$3/100)=Menu!$F$7)*--(MOD(B$3:M$3,100)&lt;=Menu!$E$7))</f>
        <v>0</v>
      </c>
      <c r="R96" s="15">
        <f>Q96-P96</f>
        <v>0</v>
      </c>
      <c r="S96" s="20">
        <f>IFERROR(R96/P96,0)</f>
        <v>0</v>
      </c>
      <c r="T96" s="9"/>
      <c r="U96" s="15">
        <f>SUMPRODUCT((B96:M96)*--(INT(B$3:M$3/100)=Menu!$F$7-1))</f>
        <v>0</v>
      </c>
      <c r="V96" s="15">
        <f>SUMPRODUCT((B96:M96)*--(INT(B$3:M$3/100)=Menu!$F$7))</f>
        <v>0</v>
      </c>
    </row>
    <row r="97" spans="1:22" x14ac:dyDescent="0.25">
      <c r="A97" s="12" t="s">
        <v>34</v>
      </c>
      <c r="B97" s="17">
        <f t="shared" ref="B97:M97" si="4">B44-B96</f>
        <v>0</v>
      </c>
      <c r="C97" s="17">
        <f t="shared" si="4"/>
        <v>0</v>
      </c>
      <c r="D97" s="17">
        <f t="shared" si="4"/>
        <v>0</v>
      </c>
      <c r="E97" s="17">
        <f t="shared" si="4"/>
        <v>0</v>
      </c>
      <c r="F97" s="17">
        <f t="shared" si="4"/>
        <v>0</v>
      </c>
      <c r="G97" s="17">
        <f t="shared" si="4"/>
        <v>0</v>
      </c>
      <c r="H97" s="17">
        <f t="shared" si="4"/>
        <v>0</v>
      </c>
      <c r="I97" s="17">
        <f t="shared" si="4"/>
        <v>0</v>
      </c>
      <c r="J97" s="17">
        <f t="shared" si="4"/>
        <v>0</v>
      </c>
      <c r="K97" s="17">
        <f t="shared" si="4"/>
        <v>0</v>
      </c>
      <c r="L97" s="17">
        <f t="shared" si="4"/>
        <v>0</v>
      </c>
      <c r="M97" s="17">
        <f t="shared" si="4"/>
        <v>0</v>
      </c>
      <c r="N97" s="11"/>
      <c r="O97" s="11"/>
      <c r="P97" s="17">
        <f>SUMPRODUCT((B97:M97)*--(INT(B$3:M$3/100)=Menu!$F$7-1)*--(MOD(B$3:M$3,100)&lt;=Menu!$E$7))</f>
        <v>0</v>
      </c>
      <c r="Q97" s="17">
        <f>SUMPRODUCT((B97:M97)*--(INT(B$3:M$3/100)=Menu!$F$7)*--(MOD(B$3:M$3,100)&lt;=Menu!$E$7))</f>
        <v>0</v>
      </c>
      <c r="R97" s="17">
        <f>Q97-P97</f>
        <v>0</v>
      </c>
      <c r="S97" s="22">
        <f>IFERROR(R97/P97,0)</f>
        <v>0</v>
      </c>
      <c r="T97" s="11"/>
      <c r="U97" s="17">
        <f>SUMPRODUCT((B97:M97)*--(INT(B$3:M$3/100)=Menu!$F$7-1))</f>
        <v>0</v>
      </c>
      <c r="V97" s="17">
        <f>SUMPRODUCT((B97:M97)*--(INT(B$3:M$3/100)=Menu!$F$7))</f>
        <v>0</v>
      </c>
    </row>
    <row r="98" spans="1:22" x14ac:dyDescent="0.25">
      <c r="A98" s="8" t="s">
        <v>35</v>
      </c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7"/>
      <c r="O98" s="7"/>
      <c r="P98" s="16"/>
      <c r="Q98" s="16"/>
      <c r="R98" s="16"/>
      <c r="S98" s="21"/>
      <c r="T98" s="7"/>
      <c r="U98" s="16"/>
      <c r="V98" s="16"/>
    </row>
    <row r="99" spans="1:22" x14ac:dyDescent="0.25">
      <c r="A99" t="s">
        <v>36</v>
      </c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P99" s="14"/>
      <c r="Q99" s="14"/>
      <c r="R99" s="14"/>
      <c r="S99" s="19"/>
      <c r="U99" s="14"/>
      <c r="V99" s="14"/>
    </row>
    <row r="100" spans="1:22" x14ac:dyDescent="0.25"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P100" s="14"/>
      <c r="Q100" s="14"/>
      <c r="R100" s="14"/>
      <c r="S100" s="19"/>
      <c r="U100" s="14"/>
      <c r="V100" s="14"/>
    </row>
    <row r="101" spans="1:22" x14ac:dyDescent="0.25"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P101" s="14"/>
      <c r="Q101" s="14"/>
      <c r="R101" s="14"/>
      <c r="S101" s="19"/>
      <c r="U101" s="14"/>
      <c r="V101" s="14"/>
    </row>
    <row r="102" spans="1:22" x14ac:dyDescent="0.25"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P102" s="14"/>
      <c r="Q102" s="14"/>
      <c r="R102" s="14"/>
      <c r="S102" s="19"/>
      <c r="U102" s="14"/>
      <c r="V102" s="14"/>
    </row>
    <row r="103" spans="1:22" x14ac:dyDescent="0.25"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P103" s="14"/>
      <c r="Q103" s="14"/>
      <c r="R103" s="14"/>
      <c r="S103" s="19"/>
      <c r="U103" s="14"/>
      <c r="V103" s="14"/>
    </row>
    <row r="104" spans="1:22" x14ac:dyDescent="0.25">
      <c r="A104" s="10" t="s">
        <v>37</v>
      </c>
      <c r="B104" s="15">
        <f t="shared" ref="B104:M104" si="5">SUM(B99:B103)</f>
        <v>0</v>
      </c>
      <c r="C104" s="15">
        <f t="shared" si="5"/>
        <v>0</v>
      </c>
      <c r="D104" s="15">
        <f t="shared" si="5"/>
        <v>0</v>
      </c>
      <c r="E104" s="15">
        <f t="shared" si="5"/>
        <v>0</v>
      </c>
      <c r="F104" s="15">
        <f t="shared" si="5"/>
        <v>0</v>
      </c>
      <c r="G104" s="15">
        <f t="shared" si="5"/>
        <v>0</v>
      </c>
      <c r="H104" s="15">
        <f t="shared" si="5"/>
        <v>0</v>
      </c>
      <c r="I104" s="15">
        <f t="shared" si="5"/>
        <v>0</v>
      </c>
      <c r="J104" s="15">
        <f t="shared" si="5"/>
        <v>0</v>
      </c>
      <c r="K104" s="15">
        <f t="shared" si="5"/>
        <v>0</v>
      </c>
      <c r="L104" s="15">
        <f t="shared" si="5"/>
        <v>0</v>
      </c>
      <c r="M104" s="15">
        <f t="shared" si="5"/>
        <v>0</v>
      </c>
      <c r="N104" s="9"/>
      <c r="O104" s="9"/>
      <c r="P104" s="15">
        <f>SUMPRODUCT((B104:M104)*--(INT(B$3:M$3/100)=Menu!$F$7-1)*--(MOD(B$3:M$3,100)&lt;=Menu!$E$7))</f>
        <v>0</v>
      </c>
      <c r="Q104" s="15">
        <f>SUMPRODUCT((B104:M104)*--(INT(B$3:M$3/100)=Menu!$F$7)*--(MOD(B$3:M$3,100)&lt;=Menu!$E$7))</f>
        <v>0</v>
      </c>
      <c r="R104" s="15">
        <f>Q104-P104</f>
        <v>0</v>
      </c>
      <c r="S104" s="20">
        <f>IFERROR(R104/P104,0)</f>
        <v>0</v>
      </c>
      <c r="T104" s="9"/>
      <c r="U104" s="15">
        <f>SUMPRODUCT((B104:M104)*--(INT(B$3:M$3/100)=Menu!$F$7-1))</f>
        <v>0</v>
      </c>
      <c r="V104" s="15">
        <f>SUMPRODUCT((B104:M104)*--(INT(B$3:M$3/100)=Menu!$F$7))</f>
        <v>0</v>
      </c>
    </row>
    <row r="105" spans="1:22" x14ac:dyDescent="0.25">
      <c r="A105" s="8" t="s">
        <v>38</v>
      </c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7"/>
      <c r="O105" s="7"/>
      <c r="P105" s="16"/>
      <c r="Q105" s="16"/>
      <c r="R105" s="16"/>
      <c r="S105" s="21"/>
      <c r="T105" s="7"/>
      <c r="U105" s="16"/>
      <c r="V105" s="16"/>
    </row>
    <row r="106" spans="1:22" x14ac:dyDescent="0.25">
      <c r="A106" t="s">
        <v>39</v>
      </c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P106" s="14"/>
      <c r="Q106" s="14"/>
      <c r="R106" s="14"/>
      <c r="S106" s="19"/>
      <c r="U106" s="14"/>
      <c r="V106" s="14"/>
    </row>
    <row r="107" spans="1:22" x14ac:dyDescent="0.25"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P107" s="14"/>
      <c r="Q107" s="14"/>
      <c r="R107" s="14"/>
      <c r="S107" s="19"/>
      <c r="U107" s="14"/>
      <c r="V107" s="14"/>
    </row>
    <row r="108" spans="1:22" x14ac:dyDescent="0.25"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P108" s="14"/>
      <c r="Q108" s="14"/>
      <c r="R108" s="14"/>
      <c r="S108" s="19"/>
      <c r="U108" s="14"/>
      <c r="V108" s="14"/>
    </row>
    <row r="109" spans="1:22" x14ac:dyDescent="0.25"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P109" s="14"/>
      <c r="Q109" s="14"/>
      <c r="R109" s="14"/>
      <c r="S109" s="19"/>
      <c r="U109" s="14"/>
      <c r="V109" s="14"/>
    </row>
    <row r="110" spans="1:22" x14ac:dyDescent="0.25"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P110" s="14"/>
      <c r="Q110" s="14"/>
      <c r="R110" s="14"/>
      <c r="S110" s="19"/>
      <c r="U110" s="14"/>
      <c r="V110" s="14"/>
    </row>
    <row r="111" spans="1:22" x14ac:dyDescent="0.25">
      <c r="A111" s="10" t="s">
        <v>40</v>
      </c>
      <c r="B111" s="15">
        <f t="shared" ref="B111:M111" si="6">SUM(B106:B110)</f>
        <v>0</v>
      </c>
      <c r="C111" s="15">
        <f t="shared" si="6"/>
        <v>0</v>
      </c>
      <c r="D111" s="15">
        <f t="shared" si="6"/>
        <v>0</v>
      </c>
      <c r="E111" s="15">
        <f t="shared" si="6"/>
        <v>0</v>
      </c>
      <c r="F111" s="15">
        <f t="shared" si="6"/>
        <v>0</v>
      </c>
      <c r="G111" s="15">
        <f t="shared" si="6"/>
        <v>0</v>
      </c>
      <c r="H111" s="15">
        <f t="shared" si="6"/>
        <v>0</v>
      </c>
      <c r="I111" s="15">
        <f t="shared" si="6"/>
        <v>0</v>
      </c>
      <c r="J111" s="15">
        <f t="shared" si="6"/>
        <v>0</v>
      </c>
      <c r="K111" s="15">
        <f t="shared" si="6"/>
        <v>0</v>
      </c>
      <c r="L111" s="15">
        <f t="shared" si="6"/>
        <v>0</v>
      </c>
      <c r="M111" s="15">
        <f t="shared" si="6"/>
        <v>0</v>
      </c>
      <c r="N111" s="9"/>
      <c r="O111" s="9"/>
      <c r="P111" s="15">
        <f>SUMPRODUCT((B111:M111)*--(INT(B$3:M$3/100)=Menu!$F$7-1)*--(MOD(B$3:M$3,100)&lt;=Menu!$E$7))</f>
        <v>0</v>
      </c>
      <c r="Q111" s="15">
        <f>SUMPRODUCT((B111:M111)*--(INT(B$3:M$3/100)=Menu!$F$7)*--(MOD(B$3:M$3,100)&lt;=Menu!$E$7))</f>
        <v>0</v>
      </c>
      <c r="R111" s="15">
        <f>Q111-P111</f>
        <v>0</v>
      </c>
      <c r="S111" s="20">
        <f>IFERROR(R111/P111,0)</f>
        <v>0</v>
      </c>
      <c r="T111" s="9"/>
      <c r="U111" s="15">
        <f>SUMPRODUCT((B111:M111)*--(INT(B$3:M$3/100)=Menu!$F$7-1))</f>
        <v>0</v>
      </c>
      <c r="V111" s="15">
        <f>SUMPRODUCT((B111:M111)*--(INT(B$3:M$3/100)=Menu!$F$7))</f>
        <v>0</v>
      </c>
    </row>
    <row r="112" spans="1:22" x14ac:dyDescent="0.25">
      <c r="A112" s="6" t="s">
        <v>41</v>
      </c>
      <c r="B112" s="18">
        <f t="shared" ref="B112:M112" si="7">B97+B104-B111</f>
        <v>0</v>
      </c>
      <c r="C112" s="18">
        <f t="shared" si="7"/>
        <v>0</v>
      </c>
      <c r="D112" s="18">
        <f t="shared" si="7"/>
        <v>0</v>
      </c>
      <c r="E112" s="18">
        <f t="shared" si="7"/>
        <v>0</v>
      </c>
      <c r="F112" s="18">
        <f t="shared" si="7"/>
        <v>0</v>
      </c>
      <c r="G112" s="18">
        <f t="shared" si="7"/>
        <v>0</v>
      </c>
      <c r="H112" s="18">
        <f t="shared" si="7"/>
        <v>0</v>
      </c>
      <c r="I112" s="18">
        <f t="shared" si="7"/>
        <v>0</v>
      </c>
      <c r="J112" s="18">
        <f t="shared" si="7"/>
        <v>0</v>
      </c>
      <c r="K112" s="18">
        <f t="shared" si="7"/>
        <v>0</v>
      </c>
      <c r="L112" s="18">
        <f t="shared" si="7"/>
        <v>0</v>
      </c>
      <c r="M112" s="18">
        <f t="shared" si="7"/>
        <v>0</v>
      </c>
      <c r="N112" s="13"/>
      <c r="O112" s="13"/>
      <c r="P112" s="18">
        <f>SUMPRODUCT((B112:M112)*--(INT(B$3:M$3/100)=Menu!$F$7-1)*--(MOD(B$3:M$3,100)&lt;=Menu!$E$7))</f>
        <v>0</v>
      </c>
      <c r="Q112" s="18">
        <f>SUMPRODUCT((B112:M112)*--(INT(B$3:M$3/100)=Menu!$F$7)*--(MOD(B$3:M$3,100)&lt;=Menu!$E$7))</f>
        <v>0</v>
      </c>
      <c r="R112" s="18">
        <f>Q112-P112</f>
        <v>0</v>
      </c>
      <c r="S112" s="23">
        <f>IFERROR(R112/P112,0)</f>
        <v>0</v>
      </c>
      <c r="T112" s="13"/>
      <c r="U112" s="18">
        <f>SUMPRODUCT((B112:M112)*--(INT(B$3:M$3/100)=Menu!$F$7-1))</f>
        <v>0</v>
      </c>
      <c r="V112" s="18">
        <f>SUMPRODUCT((B112:M112)*--(INT(B$3:M$3/100)=Menu!$F$7))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CDCE-C961-48B9-B02E-93C6DE574380}">
  <dimension ref="A1:F7"/>
  <sheetViews>
    <sheetView workbookViewId="0"/>
  </sheetViews>
  <sheetFormatPr defaultRowHeight="15" x14ac:dyDescent="0.25"/>
  <sheetData>
    <row r="1" spans="1:6" ht="21" x14ac:dyDescent="0.35">
      <c r="A1" s="1" t="s">
        <v>0</v>
      </c>
    </row>
    <row r="2" spans="1:6" x14ac:dyDescent="0.25">
      <c r="A2" t="s">
        <v>1</v>
      </c>
    </row>
    <row r="7" spans="1:6" x14ac:dyDescent="0.25">
      <c r="E7">
        <v>1</v>
      </c>
      <c r="F7">
        <v>2026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Dashboard_Control</vt:lpstr>
      <vt:lpstr>Notes</vt:lpstr>
      <vt:lpstr>Source_Budget</vt:lpstr>
      <vt:lpstr>Source_BS</vt:lpstr>
      <vt:lpstr>Source_PL</vt:lpstr>
      <vt:lpstr>_TPL_Forecast_Summary</vt:lpstr>
      <vt:lpstr>_TPL_Forecast</vt:lpstr>
      <vt:lpstr>_TPL_CF</vt:lpstr>
      <vt:lpstr>_TPL_BS</vt:lpstr>
      <vt:lpstr>_TPL_PL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Smith</dc:creator>
  <cp:lastModifiedBy>J Smith</cp:lastModifiedBy>
  <dcterms:created xsi:type="dcterms:W3CDTF">2026-01-09T17:33:31Z</dcterms:created>
  <dcterms:modified xsi:type="dcterms:W3CDTF">2026-01-09T18:02:33Z</dcterms:modified>
</cp:coreProperties>
</file>