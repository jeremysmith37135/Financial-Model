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0" i="1" l="1"/>
</calcChain>
</file>

<file path=xl/sharedStrings.xml><?xml version="1.0" encoding="utf-8"?>
<sst xmlns="http://schemas.openxmlformats.org/spreadsheetml/2006/main" count="74" uniqueCount="73">
  <si>
    <t>Profit and Loss</t>
  </si>
  <si>
    <t>Echo Canyon Consulting, LLC</t>
  </si>
  <si>
    <t>November 2025</t>
  </si>
  <si>
    <t>Income</t>
  </si>
  <si>
    <t>Billable Expense Income</t>
  </si>
  <si>
    <t>Design</t>
  </si>
  <si>
    <t>Postage</t>
  </si>
  <si>
    <t>Printing</t>
  </si>
  <si>
    <t>Services</t>
  </si>
  <si>
    <t>Field project</t>
  </si>
  <si>
    <t>Total for Services</t>
  </si>
  <si>
    <t>Unapplied Cash Payment Income</t>
  </si>
  <si>
    <t>Total for Income</t>
  </si>
  <si>
    <t>Cost of Sales</t>
  </si>
  <si>
    <t>Cost of goods sold</t>
  </si>
  <si>
    <t>Incentives - project based</t>
  </si>
  <si>
    <t>Office Supplies - Project Based</t>
  </si>
  <si>
    <t>Professional fees - Project Based</t>
  </si>
  <si>
    <t>Project Design</t>
  </si>
  <si>
    <t>Recruiting - project based</t>
  </si>
  <si>
    <t>Rent - project based</t>
  </si>
  <si>
    <t>Travel - project based (airfare, mileage)</t>
  </si>
  <si>
    <t>Total for Cost of goods sold</t>
  </si>
  <si>
    <t>Total for Cost of Sales</t>
  </si>
  <si>
    <t>Gross Profit</t>
  </si>
  <si>
    <t>Expenses</t>
  </si>
  <si>
    <t>Advertising &amp; marketing</t>
  </si>
  <si>
    <t>Events</t>
  </si>
  <si>
    <t>Total for Advertising &amp; marketing</t>
  </si>
  <si>
    <t>Building &amp; property rent</t>
  </si>
  <si>
    <t>Employee benefits</t>
  </si>
  <si>
    <t>Employee retirement plans</t>
  </si>
  <si>
    <t>Health &amp; accident plans</t>
  </si>
  <si>
    <t>Total for Employee benefits</t>
  </si>
  <si>
    <t>General business expenses</t>
  </si>
  <si>
    <t>Bank fees &amp; service charges</t>
  </si>
  <si>
    <t>Memberships &amp; subscriptions</t>
  </si>
  <si>
    <t>Total for General business expenses</t>
  </si>
  <si>
    <t>Insurance</t>
  </si>
  <si>
    <t>Legal &amp; accounting services</t>
  </si>
  <si>
    <t>Accounting fees</t>
  </si>
  <si>
    <t>Legal fees</t>
  </si>
  <si>
    <t>Total for Legal &amp; accounting services</t>
  </si>
  <si>
    <t>Meals</t>
  </si>
  <si>
    <t>Travel meals</t>
  </si>
  <si>
    <t>Total for Meals</t>
  </si>
  <si>
    <t>Office expenses</t>
  </si>
  <si>
    <t>Office supplies</t>
  </si>
  <si>
    <t>Shipping &amp; postage</t>
  </si>
  <si>
    <t>Software &amp; apps</t>
  </si>
  <si>
    <t>Total for Office expenses</t>
  </si>
  <si>
    <t>Payroll expenses</t>
  </si>
  <si>
    <t>Wages</t>
  </si>
  <si>
    <t>Total for Payroll expenses</t>
  </si>
  <si>
    <t>Professional Fee</t>
  </si>
  <si>
    <t>Travel</t>
  </si>
  <si>
    <t>Airfare</t>
  </si>
  <si>
    <t>Hotels</t>
  </si>
  <si>
    <t>Parking &amp; tolls</t>
  </si>
  <si>
    <t>Taxis or shared rides</t>
  </si>
  <si>
    <t>Total for Travel</t>
  </si>
  <si>
    <t>Total for Expenses</t>
  </si>
  <si>
    <t>Net Operating Income</t>
  </si>
  <si>
    <t>Other Income</t>
  </si>
  <si>
    <t>Other income</t>
  </si>
  <si>
    <t>Interest earned</t>
  </si>
  <si>
    <t>Total for Other income</t>
  </si>
  <si>
    <t>Total for Other Income</t>
  </si>
  <si>
    <t>Net Other Income</t>
  </si>
  <si>
    <t>Net Income</t>
  </si>
  <si>
    <t>Distribution account</t>
  </si>
  <si>
    <t>Total</t>
  </si>
  <si>
    <t>Cash Basis Wednesday, December 10, 2025 09:44 PM GMT-06:00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</si>
</sst>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8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4" fillId="0" borderId="3" xfId="0" applyNumberFormat="1" applyFont="1" applyBorder="1"/>
    <xf numFmtId="178" fontId="4" fillId="0" borderId="3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8" fontId="4" fillId="0" borderId="3" xfId="0" applyNumberFormat="1" applyFont="1" applyBorder="1" applyAlignment="1">
      <alignment wrapText="1"/>
    </xf>
    <xf numFmtId="177" fontId="4" fillId="0" borderId="2" xfId="0" applyNumberFormat="1" applyFont="1" applyBorder="1" applyAlignment="1">
      <alignment wrapText="1"/>
    </xf>
    <xf numFmtId="177" fontId="4" fillId="0" borderId="3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C76"/>
  <sheetViews>
    <sheetView tabSelected="1" workbookViewId="0" topLeftCell="A1"/>
  </sheetViews>
  <sheetFormatPr defaultColWidth="11.255" defaultRowHeight="16" outlineLevelRow="2"/>
  <cols>
    <col min="1" max="1" width="35.875" style="38" customWidth="1"/>
    <col min="2" max="3" width="16.125" style="38" customWidth="1"/>
  </cols>
  <sheetData>
    <row r="1" spans="1:1" ht="16">
      <c r="A1" s="29" t="s">
        <v>0</v>
      </c>
    </row>
    <row r="2" spans="1:1" ht="16">
      <c r="A2" s="30" t="s">
        <v>1</v>
      </c>
    </row>
    <row r="3" spans="1:1" ht="16">
      <c r="A3" s="31" t="s">
        <v>2</v>
      </c>
    </row>
    <row r="5" spans="1:3" ht="16">
      <c r="A5" s="40" t="s">
        <v>70</v>
      </c>
      <c r="B5" s="40" t="s">
        <v>2</v>
      </c>
      <c r="C5" s="40" t="s">
        <v>71</v>
      </c>
    </row>
    <row r="6" spans="1:2" ht="16">
      <c r="A6" s="33" t="s">
        <v>3</v>
      </c>
      <c r="B6" s="41"/>
    </row>
    <row r="7" spans="1:3" ht="16" outlineLevel="1">
      <c r="A7" s="34" t="s">
        <v>4</v>
      </c>
      <c r="B7" s="42">
        <v>337.64</v>
      </c>
      <c r="C7" s="42">
        <f>B7</f>
        <v>337.64</v>
      </c>
    </row>
    <row r="8" spans="1:3" ht="16" outlineLevel="1">
      <c r="A8" s="34" t="s">
        <v>5</v>
      </c>
      <c r="B8" s="42">
        <v>13200.0</v>
      </c>
      <c r="C8" s="42">
        <f>B8</f>
        <v>13200.0</v>
      </c>
    </row>
    <row r="9" spans="1:3" ht="16" outlineLevel="1">
      <c r="A9" s="34" t="s">
        <v>6</v>
      </c>
      <c r="B9" s="42">
        <v>17507.71</v>
      </c>
      <c r="C9" s="42">
        <f>B9</f>
        <v>17507.71</v>
      </c>
    </row>
    <row r="10" spans="1:3" ht="16" outlineLevel="1">
      <c r="A10" s="34" t="s">
        <v>7</v>
      </c>
      <c r="B10" s="42">
        <v>18057.37</v>
      </c>
      <c r="C10" s="42">
        <f>B10</f>
        <v>18057.37</v>
      </c>
    </row>
    <row r="11" spans="1:3" ht="16" outlineLevel="1">
      <c r="A11" s="34" t="s">
        <v>8</v>
      </c>
      <c r="B11" s="42">
        <v>148542.35</v>
      </c>
      <c r="C11" s="42">
        <f>B11</f>
        <v>148542.35</v>
      </c>
    </row>
    <row r="12" spans="1:3" ht="16" outlineLevel="2">
      <c r="A12" s="35" t="s">
        <v>9</v>
      </c>
      <c r="B12" s="42">
        <v>227285.71</v>
      </c>
      <c r="C12" s="42">
        <f>B12</f>
        <v>227285.71</v>
      </c>
    </row>
    <row r="13" spans="1:3" ht="16" outlineLevel="1">
      <c r="A13" s="36" t="s">
        <v>10</v>
      </c>
      <c r="B13" s="43">
        <f>B11+B12</f>
        <v>375828.06</v>
      </c>
      <c r="C13" s="45">
        <f>B13</f>
        <v>375828.06</v>
      </c>
    </row>
    <row r="14" spans="1:3" ht="16" outlineLevel="1">
      <c r="A14" s="34" t="s">
        <v>11</v>
      </c>
      <c r="B14" s="42">
        <v>149.94</v>
      </c>
      <c r="C14" s="42">
        <f>B14</f>
        <v>149.94</v>
      </c>
    </row>
    <row r="15" spans="1:3" ht="16">
      <c r="A15" s="37" t="s">
        <v>12</v>
      </c>
      <c r="B15" s="43">
        <f>B7+B8+B9+B10+B13+B14</f>
        <v>425080.72000000003</v>
      </c>
      <c r="C15" s="45">
        <f>B15</f>
        <v>425080.72000000003</v>
      </c>
    </row>
    <row r="16" spans="1:2" ht="16">
      <c r="A16" s="33" t="s">
        <v>13</v>
      </c>
      <c r="B16" s="41"/>
    </row>
    <row r="17" spans="1:3" ht="16" outlineLevel="1">
      <c r="A17" s="34" t="s">
        <v>14</v>
      </c>
      <c r="B17" s="41"/>
      <c r="C17" s="41"/>
    </row>
    <row r="18" spans="1:3" ht="16" outlineLevel="2">
      <c r="A18" s="35" t="s">
        <v>15</v>
      </c>
      <c r="B18" s="42">
        <v>50.0</v>
      </c>
      <c r="C18" s="42">
        <f>B18</f>
        <v>50.0</v>
      </c>
    </row>
    <row r="19" spans="1:3" ht="16" outlineLevel="2">
      <c r="A19" s="35" t="s">
        <v>16</v>
      </c>
      <c r="B19" s="42">
        <v>175.53</v>
      </c>
      <c r="C19" s="42">
        <f>B19</f>
        <v>175.53</v>
      </c>
    </row>
    <row r="20" spans="1:3" ht="16" outlineLevel="2">
      <c r="A20" s="35" t="s">
        <v>17</v>
      </c>
      <c r="B20" s="42">
        <v>27045.1</v>
      </c>
      <c r="C20" s="42">
        <f>B20</f>
        <v>27045.1</v>
      </c>
    </row>
    <row r="21" spans="1:3" ht="16" outlineLevel="2">
      <c r="A21" s="35" t="s">
        <v>18</v>
      </c>
      <c r="B21" s="42">
        <v>15700.0</v>
      </c>
      <c r="C21" s="42">
        <f>B21</f>
        <v>15700.0</v>
      </c>
    </row>
    <row r="22" spans="1:3" ht="16" outlineLevel="2">
      <c r="A22" s="35" t="s">
        <v>19</v>
      </c>
      <c r="B22" s="42">
        <v>491.17</v>
      </c>
      <c r="C22" s="42">
        <f>B22</f>
        <v>491.17</v>
      </c>
    </row>
    <row r="23" spans="1:3" ht="16" outlineLevel="2">
      <c r="A23" s="35" t="s">
        <v>20</v>
      </c>
      <c r="B23" s="42">
        <v>-1048.76</v>
      </c>
      <c r="C23" s="42">
        <f>B23</f>
        <v>-1048.76</v>
      </c>
    </row>
    <row r="24" spans="1:3" ht="16" outlineLevel="2">
      <c r="A24" s="35" t="s">
        <v>21</v>
      </c>
      <c r="B24" s="42">
        <v>2704.61</v>
      </c>
      <c r="C24" s="42">
        <f>B24</f>
        <v>2704.61</v>
      </c>
    </row>
    <row r="25" spans="1:3" ht="16" outlineLevel="1">
      <c r="A25" s="36" t="s">
        <v>22</v>
      </c>
      <c r="B25" s="43">
        <f>B17+B18+B19+B20+B21+B22+B23+B24</f>
        <v>45117.649999999994</v>
      </c>
      <c r="C25" s="45">
        <f>B25</f>
        <v>45117.649999999994</v>
      </c>
    </row>
    <row r="26" spans="1:3" ht="16">
      <c r="A26" s="37" t="s">
        <v>23</v>
      </c>
      <c r="B26" s="43">
        <f>B25</f>
        <v>45117.649999999994</v>
      </c>
      <c r="C26" s="45">
        <f>B26</f>
        <v>45117.649999999994</v>
      </c>
    </row>
    <row r="27" spans="1:3" ht="16">
      <c r="A27" s="37" t="s">
        <v>24</v>
      </c>
      <c r="B27" s="43">
        <f>B15-B26</f>
        <v>379963.07000000007</v>
      </c>
      <c r="C27" s="45">
        <f>B27</f>
        <v>379963.07000000007</v>
      </c>
    </row>
    <row r="28" spans="1:2" ht="16">
      <c r="A28" s="33" t="s">
        <v>25</v>
      </c>
      <c r="B28" s="41"/>
    </row>
    <row r="29" spans="1:3" ht="16" outlineLevel="1">
      <c r="A29" s="34" t="s">
        <v>26</v>
      </c>
      <c r="B29" s="42">
        <v>108.93</v>
      </c>
      <c r="C29" s="42">
        <f>B29</f>
        <v>108.93</v>
      </c>
    </row>
    <row r="30" spans="1:3" ht="16" outlineLevel="2">
      <c r="A30" s="35" t="s">
        <v>27</v>
      </c>
      <c r="B30" s="42">
        <v>2257.94</v>
      </c>
      <c r="C30" s="42">
        <f>B30</f>
        <v>2257.94</v>
      </c>
    </row>
    <row r="31" spans="1:3" ht="16" outlineLevel="1">
      <c r="A31" s="36" t="s">
        <v>28</v>
      </c>
      <c r="B31" s="43">
        <f>B29+B30</f>
        <v>2366.87</v>
      </c>
      <c r="C31" s="45">
        <f>B31</f>
        <v>2366.87</v>
      </c>
    </row>
    <row r="32" spans="1:3" ht="16" outlineLevel="1">
      <c r="A32" s="34" t="s">
        <v>29</v>
      </c>
      <c r="B32" s="42">
        <v>11767.19</v>
      </c>
      <c r="C32" s="42">
        <f>B32</f>
        <v>11767.19</v>
      </c>
    </row>
    <row r="33" spans="1:3" ht="16" outlineLevel="1">
      <c r="A33" s="34" t="s">
        <v>30</v>
      </c>
      <c r="B33" s="41"/>
      <c r="C33" s="41"/>
    </row>
    <row r="34" spans="1:3" ht="16" outlineLevel="2">
      <c r="A34" s="35" t="s">
        <v>31</v>
      </c>
      <c r="B34" s="42">
        <v>20477.9</v>
      </c>
      <c r="C34" s="42">
        <f>B34</f>
        <v>20477.9</v>
      </c>
    </row>
    <row r="35" spans="1:3" ht="16" outlineLevel="2">
      <c r="A35" s="35" t="s">
        <v>32</v>
      </c>
      <c r="B35" s="42">
        <v>13997.02</v>
      </c>
      <c r="C35" s="42">
        <f>B35</f>
        <v>13997.02</v>
      </c>
    </row>
    <row r="36" spans="1:3" ht="16" outlineLevel="1">
      <c r="A36" s="36" t="s">
        <v>33</v>
      </c>
      <c r="B36" s="43">
        <f>B33+B34+B35</f>
        <v>34474.92</v>
      </c>
      <c r="C36" s="45">
        <f>B36</f>
        <v>34474.92</v>
      </c>
    </row>
    <row r="37" spans="1:3" ht="16" outlineLevel="1">
      <c r="A37" s="34" t="s">
        <v>34</v>
      </c>
      <c r="B37" s="41"/>
      <c r="C37" s="41"/>
    </row>
    <row r="38" spans="1:3" ht="16" outlineLevel="2">
      <c r="A38" s="35" t="s">
        <v>35</v>
      </c>
      <c r="B38" s="42">
        <v>316.51</v>
      </c>
      <c r="C38" s="42">
        <f>B38</f>
        <v>316.51</v>
      </c>
    </row>
    <row r="39" spans="1:3" ht="16" outlineLevel="2">
      <c r="A39" s="35" t="s">
        <v>36</v>
      </c>
      <c r="B39" s="42">
        <v>438.76</v>
      </c>
      <c r="C39" s="42">
        <f>B39</f>
        <v>438.76</v>
      </c>
    </row>
    <row r="40" spans="1:3" ht="16" outlineLevel="1">
      <c r="A40" s="36" t="s">
        <v>37</v>
      </c>
      <c r="B40" s="43">
        <f>B37+B38+B39</f>
        <v>755.27</v>
      </c>
      <c r="C40" s="45">
        <f>B40</f>
        <v>755.27</v>
      </c>
    </row>
    <row r="41" spans="1:3" ht="16" outlineLevel="1">
      <c r="A41" s="34" t="s">
        <v>38</v>
      </c>
      <c r="B41" s="42">
        <v>632.2</v>
      </c>
      <c r="C41" s="42">
        <f>B41</f>
        <v>632.2</v>
      </c>
    </row>
    <row r="42" spans="1:3" ht="16" outlineLevel="1">
      <c r="A42" s="34" t="s">
        <v>39</v>
      </c>
      <c r="B42" s="41"/>
      <c r="C42" s="41"/>
    </row>
    <row r="43" spans="1:3" ht="16" outlineLevel="2">
      <c r="A43" s="35" t="s">
        <v>40</v>
      </c>
      <c r="B43" s="42">
        <v>6500.0</v>
      </c>
      <c r="C43" s="42">
        <f>B43</f>
        <v>6500.0</v>
      </c>
    </row>
    <row r="44" spans="1:3" ht="16" outlineLevel="2">
      <c r="A44" s="35" t="s">
        <v>41</v>
      </c>
      <c r="B44" s="42">
        <v>82.35</v>
      </c>
      <c r="C44" s="42">
        <f>B44</f>
        <v>82.35</v>
      </c>
    </row>
    <row r="45" spans="1:3" ht="16" outlineLevel="1">
      <c r="A45" s="36" t="s">
        <v>42</v>
      </c>
      <c r="B45" s="43">
        <f>B42+B43+B44</f>
        <v>6582.35</v>
      </c>
      <c r="C45" s="45">
        <f>B45</f>
        <v>6582.35</v>
      </c>
    </row>
    <row r="46" spans="1:3" ht="16" outlineLevel="1">
      <c r="A46" s="34" t="s">
        <v>43</v>
      </c>
      <c r="B46" s="42">
        <v>848.69</v>
      </c>
      <c r="C46" s="42">
        <f>B46</f>
        <v>848.69</v>
      </c>
    </row>
    <row r="47" spans="1:3" ht="16" outlineLevel="2">
      <c r="A47" s="35" t="s">
        <v>44</v>
      </c>
      <c r="B47" s="42">
        <v>646.03</v>
      </c>
      <c r="C47" s="42">
        <f>B47</f>
        <v>646.03</v>
      </c>
    </row>
    <row r="48" spans="1:3" ht="16" outlineLevel="1">
      <c r="A48" s="36" t="s">
        <v>45</v>
      </c>
      <c r="B48" s="43">
        <f>B46+B47</f>
        <v>1494.72</v>
      </c>
      <c r="C48" s="45">
        <f>B48</f>
        <v>1494.72</v>
      </c>
    </row>
    <row r="49" spans="1:3" ht="16" outlineLevel="1">
      <c r="A49" s="34" t="s">
        <v>46</v>
      </c>
      <c r="B49" s="41"/>
      <c r="C49" s="41"/>
    </row>
    <row r="50" spans="1:3" ht="16" outlineLevel="2">
      <c r="A50" s="35" t="s">
        <v>47</v>
      </c>
      <c r="B50" s="42">
        <v>-167.21</v>
      </c>
      <c r="C50" s="42">
        <f>B50</f>
        <v>-167.21</v>
      </c>
    </row>
    <row r="51" spans="1:3" ht="16" outlineLevel="2">
      <c r="A51" s="35" t="s">
        <v>48</v>
      </c>
      <c r="B51" s="42">
        <v>138.37</v>
      </c>
      <c r="C51" s="42">
        <f>B51</f>
        <v>138.37</v>
      </c>
    </row>
    <row r="52" spans="1:3" ht="16" outlineLevel="2">
      <c r="A52" s="35" t="s">
        <v>49</v>
      </c>
      <c r="B52" s="42">
        <v>426.49</v>
      </c>
      <c r="C52" s="42">
        <f>B52</f>
        <v>426.49</v>
      </c>
    </row>
    <row r="53" spans="1:3" ht="16" outlineLevel="1">
      <c r="A53" s="36" t="s">
        <v>50</v>
      </c>
      <c r="B53" s="43">
        <f>B49+B50+B51+B52</f>
        <v>397.65</v>
      </c>
      <c r="C53" s="45">
        <f>B53</f>
        <v>397.65</v>
      </c>
    </row>
    <row r="54" spans="1:3" ht="16" outlineLevel="1">
      <c r="A54" s="34" t="s">
        <v>51</v>
      </c>
      <c r="B54" s="41"/>
      <c r="C54" s="41"/>
    </row>
    <row r="55" spans="1:3" ht="16" outlineLevel="2">
      <c r="A55" s="35" t="s">
        <v>52</v>
      </c>
      <c r="B55" s="42">
        <v>399639.03</v>
      </c>
      <c r="C55" s="42">
        <f>B55</f>
        <v>399639.03</v>
      </c>
    </row>
    <row r="56" spans="1:3" ht="16" outlineLevel="1">
      <c r="A56" s="36" t="s">
        <v>53</v>
      </c>
      <c r="B56" s="43">
        <f>B54+B55</f>
        <v>399639.03</v>
      </c>
      <c r="C56" s="45">
        <f>B56</f>
        <v>399639.03</v>
      </c>
    </row>
    <row r="57" spans="1:3" ht="16" outlineLevel="1">
      <c r="A57" s="34" t="s">
        <v>54</v>
      </c>
      <c r="B57" s="42">
        <v>11289.0</v>
      </c>
      <c r="C57" s="42">
        <f>B57</f>
        <v>11289.0</v>
      </c>
    </row>
    <row r="58" spans="1:3" ht="16" outlineLevel="1">
      <c r="A58" s="34" t="s">
        <v>55</v>
      </c>
      <c r="B58" s="42">
        <v>4.03</v>
      </c>
      <c r="C58" s="42">
        <f>B58</f>
        <v>4.03</v>
      </c>
    </row>
    <row r="59" spans="1:3" ht="16" outlineLevel="2">
      <c r="A59" s="35" t="s">
        <v>56</v>
      </c>
      <c r="B59" s="42">
        <v>1908.34</v>
      </c>
      <c r="C59" s="42">
        <f>B59</f>
        <v>1908.34</v>
      </c>
    </row>
    <row r="60" spans="1:3" ht="16" outlineLevel="2">
      <c r="A60" s="35" t="s">
        <v>57</v>
      </c>
      <c r="B60" s="42">
        <v>6428.58</v>
      </c>
      <c r="C60" s="42">
        <f>B60</f>
        <v>6428.58</v>
      </c>
    </row>
    <row r="61" spans="1:3" ht="16" outlineLevel="2">
      <c r="A61" s="35" t="s">
        <v>58</v>
      </c>
      <c r="B61" s="42">
        <v>225.0</v>
      </c>
      <c r="C61" s="42">
        <f>B61</f>
        <v>225.0</v>
      </c>
    </row>
    <row r="62" spans="1:3" ht="16" outlineLevel="2">
      <c r="A62" s="35" t="s">
        <v>59</v>
      </c>
      <c r="B62" s="42">
        <v>435.56</v>
      </c>
      <c r="C62" s="42">
        <f>B62</f>
        <v>435.56</v>
      </c>
    </row>
    <row r="63" spans="1:3" ht="16" outlineLevel="1">
      <c r="A63" s="36" t="s">
        <v>60</v>
      </c>
      <c r="B63" s="43">
        <f>B58+B59+B60+B61+B62</f>
        <v>9001.51</v>
      </c>
      <c r="C63" s="45">
        <f>B63</f>
        <v>9001.51</v>
      </c>
    </row>
    <row r="64" spans="1:3" ht="16">
      <c r="A64" s="37" t="s">
        <v>61</v>
      </c>
      <c r="B64" s="43">
        <f>B31+B32+B36+B40+B41+B45+B48+B53+B56+B57+B63</f>
        <v>478400.71</v>
      </c>
      <c r="C64" s="45">
        <f>B64</f>
        <v>478400.71</v>
      </c>
    </row>
    <row r="65" spans="1:3" ht="16">
      <c r="A65" s="37" t="s">
        <v>62</v>
      </c>
      <c r="B65" s="43">
        <f>B27-B64</f>
        <v>-98437.63999999996</v>
      </c>
      <c r="C65" s="45">
        <f>B65</f>
        <v>-98437.63999999996</v>
      </c>
    </row>
    <row r="66" spans="1:2" ht="16">
      <c r="A66" s="33" t="s">
        <v>63</v>
      </c>
      <c r="B66" s="41"/>
    </row>
    <row r="67" spans="1:3" ht="16" outlineLevel="1">
      <c r="A67" s="34" t="s">
        <v>64</v>
      </c>
      <c r="B67" s="41"/>
      <c r="C67" s="41"/>
    </row>
    <row r="68" spans="1:3" ht="16" outlineLevel="2">
      <c r="A68" s="35" t="s">
        <v>65</v>
      </c>
      <c r="B68" s="42">
        <v>171.43</v>
      </c>
      <c r="C68" s="42">
        <f>B68</f>
        <v>171.43</v>
      </c>
    </row>
    <row r="69" spans="1:3" ht="16" outlineLevel="1">
      <c r="A69" s="36" t="s">
        <v>66</v>
      </c>
      <c r="B69" s="43">
        <f>B67+B68</f>
        <v>171.43</v>
      </c>
      <c r="C69" s="45">
        <f>B69</f>
        <v>171.43</v>
      </c>
    </row>
    <row r="70" spans="1:3" ht="16">
      <c r="A70" s="37" t="s">
        <v>67</v>
      </c>
      <c r="B70" s="43">
        <f>B69</f>
        <v>171.43</v>
      </c>
      <c r="C70" s="45">
        <f>B70</f>
        <v>171.43</v>
      </c>
    </row>
    <row r="71" spans="1:3" ht="16">
      <c r="A71" s="37" t="s">
        <v>68</v>
      </c>
      <c r="B71" s="44">
        <v>171.43</v>
      </c>
      <c r="C71" s="46">
        <v>171.43</v>
      </c>
    </row>
    <row r="72" spans="1:3" ht="16">
      <c r="A72" s="37" t="s">
        <v>69</v>
      </c>
      <c r="B72" s="43">
        <v>-98266.20999999996</v>
      </c>
      <c r="C72" s="45">
        <v>-98266.20999999996</v>
      </c>
    </row>
    <row r="76" spans="1:1" ht="16">
      <c r="A76" s="47" t="s">
        <v>72</v>
      </c>
    </row>
  </sheetData>
  <mergeCells count="4">
    <mergeCell ref="A1:C1"/>
    <mergeCell ref="A2:C2"/>
    <mergeCell ref="A3:C3"/>
    <mergeCell ref="A76:C7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