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rju\AppData\Local\Temp\tmpg926unck\"/>
    </mc:Choice>
  </mc:AlternateContent>
  <xr:revisionPtr revIDLastSave="0" documentId="13_ncr:1_{15F13F30-B90D-44E1-852B-9FFE20FEC272}" xr6:coauthVersionLast="47" xr6:coauthVersionMax="47" xr10:uidLastSave="{00000000-0000-0000-0000-000000000000}"/>
  <bookViews>
    <workbookView xWindow="780" yWindow="780" windowWidth="21600" windowHeight="11235" activeTab="1" xr2:uid="{D56F580B-50BB-461A-A485-A69DCA8568D3}"/>
  </bookViews>
  <sheets>
    <sheet name="Dashboard" sheetId="9" r:id="rId1"/>
    <sheet name="Menu" sheetId="1" r:id="rId2"/>
    <sheet name="PL" sheetId="4" r:id="rId3"/>
    <sheet name="Balance_Sheet" sheetId="5" r:id="rId4"/>
    <sheet name="Cash_Flow" sheetId="6" r:id="rId5"/>
    <sheet name="Notes" sheetId="7" r:id="rId6"/>
    <sheet name="Source_PL" sheetId="2" r:id="rId7"/>
    <sheet name="Source_BS" sheetId="3" r:id="rId8"/>
    <sheet name="Dashboard_Control" sheetId="8" r:id="rId9"/>
  </sheets>
  <definedNames>
    <definedName name="SourceBS">Source_BS!$A$1:$M$119</definedName>
    <definedName name="SourcePL">Source_PL!$A$1:$M$102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6" i="9" l="1"/>
  <c r="I46" i="9"/>
  <c r="H46" i="9"/>
  <c r="G46" i="9"/>
  <c r="E46" i="9"/>
  <c r="D46" i="9"/>
  <c r="C46" i="9"/>
  <c r="K45" i="9"/>
  <c r="I45" i="9"/>
  <c r="H45" i="9"/>
  <c r="G45" i="9"/>
  <c r="E45" i="9"/>
  <c r="D45" i="9"/>
  <c r="C45" i="9"/>
  <c r="K41" i="9"/>
  <c r="I41" i="9"/>
  <c r="H41" i="9"/>
  <c r="G41" i="9"/>
  <c r="E41" i="9"/>
  <c r="D41" i="9"/>
  <c r="C41" i="9"/>
  <c r="K40" i="9"/>
  <c r="I40" i="9"/>
  <c r="H40" i="9"/>
  <c r="G40" i="9"/>
  <c r="E40" i="9"/>
  <c r="D40" i="9"/>
  <c r="C40" i="9"/>
  <c r="K39" i="9"/>
  <c r="I39" i="9"/>
  <c r="H39" i="9"/>
  <c r="G39" i="9"/>
  <c r="E39" i="9"/>
  <c r="D39" i="9"/>
  <c r="C39" i="9"/>
  <c r="K35" i="9"/>
  <c r="I35" i="9"/>
  <c r="H35" i="9"/>
  <c r="G35" i="9"/>
  <c r="E35" i="9"/>
  <c r="D35" i="9"/>
  <c r="C35" i="9"/>
  <c r="K34" i="9"/>
  <c r="I34" i="9"/>
  <c r="H34" i="9"/>
  <c r="G34" i="9"/>
  <c r="E34" i="9"/>
  <c r="D34" i="9"/>
  <c r="C34" i="9"/>
  <c r="K33" i="9"/>
  <c r="I33" i="9"/>
  <c r="H33" i="9"/>
  <c r="G33" i="9"/>
  <c r="E33" i="9"/>
  <c r="D33" i="9"/>
  <c r="C33" i="9"/>
  <c r="K29" i="9"/>
  <c r="I29" i="9"/>
  <c r="H29" i="9"/>
  <c r="G29" i="9"/>
  <c r="E29" i="9"/>
  <c r="D29" i="9"/>
  <c r="C29" i="9"/>
  <c r="K28" i="9"/>
  <c r="I28" i="9"/>
  <c r="H28" i="9"/>
  <c r="G28" i="9"/>
  <c r="E28" i="9"/>
  <c r="D28" i="9"/>
  <c r="C28" i="9"/>
  <c r="K27" i="9"/>
  <c r="I27" i="9"/>
  <c r="H27" i="9"/>
  <c r="G27" i="9"/>
  <c r="E27" i="9"/>
  <c r="D27" i="9"/>
  <c r="C27" i="9"/>
  <c r="K26" i="9"/>
  <c r="I26" i="9"/>
  <c r="H26" i="9"/>
  <c r="G26" i="9"/>
  <c r="E26" i="9"/>
  <c r="D26" i="9"/>
  <c r="C26" i="9"/>
  <c r="K25" i="9"/>
  <c r="I25" i="9"/>
  <c r="H25" i="9"/>
  <c r="G25" i="9"/>
  <c r="E25" i="9"/>
  <c r="D25" i="9"/>
  <c r="C25" i="9"/>
  <c r="K21" i="9"/>
  <c r="I21" i="9"/>
  <c r="H21" i="9"/>
  <c r="G21" i="9"/>
  <c r="E21" i="9"/>
  <c r="D21" i="9"/>
  <c r="C21" i="9"/>
  <c r="K20" i="9"/>
  <c r="I20" i="9"/>
  <c r="H20" i="9"/>
  <c r="G20" i="9"/>
  <c r="E20" i="9"/>
  <c r="D20" i="9"/>
  <c r="C20" i="9"/>
  <c r="K19" i="9"/>
  <c r="I19" i="9"/>
  <c r="H19" i="9"/>
  <c r="G19" i="9"/>
  <c r="E19" i="9"/>
  <c r="D19" i="9"/>
  <c r="C19" i="9"/>
  <c r="K18" i="9"/>
  <c r="I18" i="9"/>
  <c r="H18" i="9"/>
  <c r="G18" i="9"/>
  <c r="E18" i="9"/>
  <c r="D18" i="9"/>
  <c r="C18" i="9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O34" i="6"/>
  <c r="M34" i="6"/>
  <c r="L34" i="6"/>
  <c r="K34" i="6"/>
  <c r="J34" i="6"/>
  <c r="I34" i="6"/>
  <c r="H34" i="6"/>
  <c r="G34" i="6"/>
  <c r="F34" i="6"/>
  <c r="E34" i="6"/>
  <c r="D34" i="6"/>
  <c r="C34" i="6"/>
  <c r="B34" i="6"/>
  <c r="O29" i="6"/>
  <c r="M29" i="6"/>
  <c r="L29" i="6"/>
  <c r="K29" i="6"/>
  <c r="J29" i="6"/>
  <c r="I29" i="6"/>
  <c r="H29" i="6"/>
  <c r="G29" i="6"/>
  <c r="F29" i="6"/>
  <c r="E29" i="6"/>
  <c r="D29" i="6"/>
  <c r="C29" i="6"/>
  <c r="O28" i="6"/>
  <c r="M28" i="6"/>
  <c r="L28" i="6"/>
  <c r="K28" i="6"/>
  <c r="J28" i="6"/>
  <c r="I28" i="6"/>
  <c r="H28" i="6"/>
  <c r="G28" i="6"/>
  <c r="F28" i="6"/>
  <c r="E28" i="6"/>
  <c r="D28" i="6"/>
  <c r="C28" i="6"/>
  <c r="O27" i="6"/>
  <c r="M27" i="6"/>
  <c r="L27" i="6"/>
  <c r="K27" i="6"/>
  <c r="J27" i="6"/>
  <c r="I27" i="6"/>
  <c r="H27" i="6"/>
  <c r="G27" i="6"/>
  <c r="F27" i="6"/>
  <c r="E27" i="6"/>
  <c r="D27" i="6"/>
  <c r="C27" i="6"/>
  <c r="O26" i="6"/>
  <c r="M26" i="6"/>
  <c r="L26" i="6"/>
  <c r="K26" i="6"/>
  <c r="J26" i="6"/>
  <c r="I26" i="6"/>
  <c r="H26" i="6"/>
  <c r="G26" i="6"/>
  <c r="F26" i="6"/>
  <c r="E26" i="6"/>
  <c r="D26" i="6"/>
  <c r="C26" i="6"/>
  <c r="O22" i="6"/>
  <c r="O21" i="6"/>
  <c r="M21" i="6"/>
  <c r="L21" i="6"/>
  <c r="K21" i="6"/>
  <c r="J21" i="6"/>
  <c r="I21" i="6"/>
  <c r="H21" i="6"/>
  <c r="G21" i="6"/>
  <c r="F21" i="6"/>
  <c r="E21" i="6"/>
  <c r="D21" i="6"/>
  <c r="C21" i="6"/>
  <c r="O20" i="6"/>
  <c r="M20" i="6"/>
  <c r="L20" i="6"/>
  <c r="K20" i="6"/>
  <c r="J20" i="6"/>
  <c r="I20" i="6"/>
  <c r="H20" i="6"/>
  <c r="G20" i="6"/>
  <c r="F20" i="6"/>
  <c r="E20" i="6"/>
  <c r="D20" i="6"/>
  <c r="C20" i="6"/>
  <c r="O16" i="6"/>
  <c r="M16" i="6"/>
  <c r="L16" i="6"/>
  <c r="K16" i="6"/>
  <c r="J16" i="6"/>
  <c r="I16" i="6"/>
  <c r="H16" i="6"/>
  <c r="G16" i="6"/>
  <c r="F16" i="6"/>
  <c r="E16" i="6"/>
  <c r="D16" i="6"/>
  <c r="C16" i="6"/>
  <c r="O15" i="6"/>
  <c r="M15" i="6"/>
  <c r="L15" i="6"/>
  <c r="K15" i="6"/>
  <c r="J15" i="6"/>
  <c r="I15" i="6"/>
  <c r="H15" i="6"/>
  <c r="G15" i="6"/>
  <c r="F15" i="6"/>
  <c r="E15" i="6"/>
  <c r="D15" i="6"/>
  <c r="C15" i="6"/>
  <c r="O14" i="6"/>
  <c r="M14" i="6"/>
  <c r="L14" i="6"/>
  <c r="K14" i="6"/>
  <c r="J14" i="6"/>
  <c r="I14" i="6"/>
  <c r="H14" i="6"/>
  <c r="G14" i="6"/>
  <c r="F14" i="6"/>
  <c r="E14" i="6"/>
  <c r="D14" i="6"/>
  <c r="C14" i="6"/>
  <c r="O13" i="6"/>
  <c r="M13" i="6"/>
  <c r="L13" i="6"/>
  <c r="K13" i="6"/>
  <c r="J13" i="6"/>
  <c r="I13" i="6"/>
  <c r="H13" i="6"/>
  <c r="G13" i="6"/>
  <c r="F13" i="6"/>
  <c r="E13" i="6"/>
  <c r="D13" i="6"/>
  <c r="C13" i="6"/>
  <c r="O12" i="6"/>
  <c r="M12" i="6"/>
  <c r="L12" i="6"/>
  <c r="K12" i="6"/>
  <c r="J12" i="6"/>
  <c r="I12" i="6"/>
  <c r="H12" i="6"/>
  <c r="G12" i="6"/>
  <c r="F12" i="6"/>
  <c r="E12" i="6"/>
  <c r="D12" i="6"/>
  <c r="C12" i="6"/>
  <c r="O11" i="6"/>
  <c r="M11" i="6"/>
  <c r="L11" i="6"/>
  <c r="K11" i="6"/>
  <c r="J11" i="6"/>
  <c r="I11" i="6"/>
  <c r="H11" i="6"/>
  <c r="G11" i="6"/>
  <c r="F11" i="6"/>
  <c r="E11" i="6"/>
  <c r="D11" i="6"/>
  <c r="C11" i="6"/>
  <c r="O10" i="6"/>
  <c r="M10" i="6"/>
  <c r="L10" i="6"/>
  <c r="K10" i="6"/>
  <c r="J10" i="6"/>
  <c r="I10" i="6"/>
  <c r="H10" i="6"/>
  <c r="G10" i="6"/>
  <c r="F10" i="6"/>
  <c r="E10" i="6"/>
  <c r="D10" i="6"/>
  <c r="C10" i="6"/>
  <c r="O8" i="6"/>
  <c r="O6" i="6"/>
  <c r="M6" i="6"/>
  <c r="L6" i="6"/>
  <c r="K6" i="6"/>
  <c r="J6" i="6"/>
  <c r="I6" i="6"/>
  <c r="H6" i="6"/>
  <c r="G6" i="6"/>
  <c r="F6" i="6"/>
  <c r="E6" i="6"/>
  <c r="D6" i="6"/>
  <c r="C6" i="6"/>
  <c r="B6" i="6"/>
  <c r="M136" i="5"/>
  <c r="L136" i="5"/>
  <c r="K136" i="5"/>
  <c r="J136" i="5"/>
  <c r="I136" i="5"/>
  <c r="H136" i="5"/>
  <c r="G136" i="5"/>
  <c r="F136" i="5"/>
  <c r="E136" i="5"/>
  <c r="D136" i="5"/>
  <c r="C136" i="5"/>
  <c r="B136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M90" i="5"/>
  <c r="L90" i="5"/>
  <c r="K90" i="5"/>
  <c r="J90" i="5"/>
  <c r="I90" i="5"/>
  <c r="H90" i="5"/>
  <c r="G90" i="5"/>
  <c r="F90" i="5"/>
  <c r="E90" i="5"/>
  <c r="D90" i="5"/>
  <c r="C90" i="5"/>
  <c r="B90" i="5"/>
  <c r="M89" i="5"/>
  <c r="L89" i="5"/>
  <c r="K89" i="5"/>
  <c r="J89" i="5"/>
  <c r="I89" i="5"/>
  <c r="H89" i="5"/>
  <c r="G89" i="5"/>
  <c r="F89" i="5"/>
  <c r="E89" i="5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M87" i="5"/>
  <c r="L87" i="5"/>
  <c r="K87" i="5"/>
  <c r="J87" i="5"/>
  <c r="I87" i="5"/>
  <c r="H87" i="5"/>
  <c r="G87" i="5"/>
  <c r="F87" i="5"/>
  <c r="E87" i="5"/>
  <c r="D87" i="5"/>
  <c r="C87" i="5"/>
  <c r="B87" i="5"/>
  <c r="M86" i="5"/>
  <c r="L86" i="5"/>
  <c r="K86" i="5"/>
  <c r="J86" i="5"/>
  <c r="I86" i="5"/>
  <c r="H86" i="5"/>
  <c r="G86" i="5"/>
  <c r="F86" i="5"/>
  <c r="E86" i="5"/>
  <c r="D86" i="5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M84" i="5"/>
  <c r="L84" i="5"/>
  <c r="K84" i="5"/>
  <c r="J84" i="5"/>
  <c r="I84" i="5"/>
  <c r="H84" i="5"/>
  <c r="G84" i="5"/>
  <c r="F84" i="5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M82" i="5"/>
  <c r="L82" i="5"/>
  <c r="K82" i="5"/>
  <c r="J82" i="5"/>
  <c r="I82" i="5"/>
  <c r="H82" i="5"/>
  <c r="G82" i="5"/>
  <c r="F82" i="5"/>
  <c r="E82" i="5"/>
  <c r="D82" i="5"/>
  <c r="C82" i="5"/>
  <c r="B82" i="5"/>
  <c r="M81" i="5"/>
  <c r="L81" i="5"/>
  <c r="K81" i="5"/>
  <c r="J81" i="5"/>
  <c r="I81" i="5"/>
  <c r="H81" i="5"/>
  <c r="G81" i="5"/>
  <c r="F81" i="5"/>
  <c r="E81" i="5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M79" i="5"/>
  <c r="L79" i="5"/>
  <c r="K79" i="5"/>
  <c r="J79" i="5"/>
  <c r="I79" i="5"/>
  <c r="H79" i="5"/>
  <c r="G79" i="5"/>
  <c r="F79" i="5"/>
  <c r="E79" i="5"/>
  <c r="D79" i="5"/>
  <c r="C79" i="5"/>
  <c r="B79" i="5"/>
  <c r="M78" i="5"/>
  <c r="L78" i="5"/>
  <c r="K78" i="5"/>
  <c r="J78" i="5"/>
  <c r="I78" i="5"/>
  <c r="H78" i="5"/>
  <c r="G78" i="5"/>
  <c r="F78" i="5"/>
  <c r="E78" i="5"/>
  <c r="D78" i="5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M76" i="5"/>
  <c r="L76" i="5"/>
  <c r="K76" i="5"/>
  <c r="J76" i="5"/>
  <c r="I76" i="5"/>
  <c r="H76" i="5"/>
  <c r="G76" i="5"/>
  <c r="F76" i="5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M74" i="5"/>
  <c r="L74" i="5"/>
  <c r="K74" i="5"/>
  <c r="J74" i="5"/>
  <c r="I74" i="5"/>
  <c r="H74" i="5"/>
  <c r="G74" i="5"/>
  <c r="F74" i="5"/>
  <c r="E74" i="5"/>
  <c r="D74" i="5"/>
  <c r="C74" i="5"/>
  <c r="B74" i="5"/>
  <c r="M73" i="5"/>
  <c r="L73" i="5"/>
  <c r="K73" i="5"/>
  <c r="J73" i="5"/>
  <c r="I73" i="5"/>
  <c r="H73" i="5"/>
  <c r="G73" i="5"/>
  <c r="F73" i="5"/>
  <c r="E73" i="5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M71" i="5"/>
  <c r="L71" i="5"/>
  <c r="K71" i="5"/>
  <c r="J71" i="5"/>
  <c r="I71" i="5"/>
  <c r="H71" i="5"/>
  <c r="G71" i="5"/>
  <c r="F71" i="5"/>
  <c r="E71" i="5"/>
  <c r="D71" i="5"/>
  <c r="C71" i="5"/>
  <c r="B71" i="5"/>
  <c r="M70" i="5"/>
  <c r="L70" i="5"/>
  <c r="K70" i="5"/>
  <c r="J70" i="5"/>
  <c r="I70" i="5"/>
  <c r="H70" i="5"/>
  <c r="G70" i="5"/>
  <c r="F70" i="5"/>
  <c r="E70" i="5"/>
  <c r="D70" i="5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M68" i="5"/>
  <c r="L68" i="5"/>
  <c r="K68" i="5"/>
  <c r="J68" i="5"/>
  <c r="I68" i="5"/>
  <c r="H68" i="5"/>
  <c r="G68" i="5"/>
  <c r="F68" i="5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M66" i="5"/>
  <c r="L66" i="5"/>
  <c r="K66" i="5"/>
  <c r="J66" i="5"/>
  <c r="I66" i="5"/>
  <c r="H66" i="5"/>
  <c r="G66" i="5"/>
  <c r="F66" i="5"/>
  <c r="E66" i="5"/>
  <c r="D66" i="5"/>
  <c r="C66" i="5"/>
  <c r="B66" i="5"/>
  <c r="M65" i="5"/>
  <c r="L65" i="5"/>
  <c r="K65" i="5"/>
  <c r="J65" i="5"/>
  <c r="I65" i="5"/>
  <c r="H65" i="5"/>
  <c r="G65" i="5"/>
  <c r="F65" i="5"/>
  <c r="E65" i="5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M63" i="5"/>
  <c r="L63" i="5"/>
  <c r="K63" i="5"/>
  <c r="J63" i="5"/>
  <c r="I63" i="5"/>
  <c r="H63" i="5"/>
  <c r="G63" i="5"/>
  <c r="F63" i="5"/>
  <c r="E63" i="5"/>
  <c r="D63" i="5"/>
  <c r="C63" i="5"/>
  <c r="B63" i="5"/>
  <c r="M62" i="5"/>
  <c r="L62" i="5"/>
  <c r="K62" i="5"/>
  <c r="J62" i="5"/>
  <c r="I62" i="5"/>
  <c r="H62" i="5"/>
  <c r="G62" i="5"/>
  <c r="F62" i="5"/>
  <c r="E62" i="5"/>
  <c r="D62" i="5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M60" i="5"/>
  <c r="L60" i="5"/>
  <c r="K60" i="5"/>
  <c r="J60" i="5"/>
  <c r="I60" i="5"/>
  <c r="H60" i="5"/>
  <c r="G60" i="5"/>
  <c r="F60" i="5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M58" i="5"/>
  <c r="L58" i="5"/>
  <c r="K58" i="5"/>
  <c r="J58" i="5"/>
  <c r="I58" i="5"/>
  <c r="H58" i="5"/>
  <c r="G58" i="5"/>
  <c r="F58" i="5"/>
  <c r="E58" i="5"/>
  <c r="D58" i="5"/>
  <c r="C58" i="5"/>
  <c r="B58" i="5"/>
  <c r="M57" i="5"/>
  <c r="L57" i="5"/>
  <c r="K57" i="5"/>
  <c r="J57" i="5"/>
  <c r="I57" i="5"/>
  <c r="H57" i="5"/>
  <c r="G57" i="5"/>
  <c r="F57" i="5"/>
  <c r="E57" i="5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M55" i="5"/>
  <c r="L55" i="5"/>
  <c r="K55" i="5"/>
  <c r="J55" i="5"/>
  <c r="I55" i="5"/>
  <c r="H55" i="5"/>
  <c r="G55" i="5"/>
  <c r="F55" i="5"/>
  <c r="E55" i="5"/>
  <c r="D55" i="5"/>
  <c r="C55" i="5"/>
  <c r="B55" i="5"/>
  <c r="M54" i="5"/>
  <c r="L54" i="5"/>
  <c r="K54" i="5"/>
  <c r="J54" i="5"/>
  <c r="I54" i="5"/>
  <c r="H54" i="5"/>
  <c r="G54" i="5"/>
  <c r="F54" i="5"/>
  <c r="E54" i="5"/>
  <c r="D54" i="5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M52" i="5"/>
  <c r="L52" i="5"/>
  <c r="K52" i="5"/>
  <c r="J52" i="5"/>
  <c r="I52" i="5"/>
  <c r="H52" i="5"/>
  <c r="G52" i="5"/>
  <c r="F52" i="5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M49" i="5"/>
  <c r="L49" i="5"/>
  <c r="K49" i="5"/>
  <c r="J49" i="5"/>
  <c r="I49" i="5"/>
  <c r="H49" i="5"/>
  <c r="G49" i="5"/>
  <c r="F49" i="5"/>
  <c r="E49" i="5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M47" i="5"/>
  <c r="L47" i="5"/>
  <c r="K47" i="5"/>
  <c r="J47" i="5"/>
  <c r="I47" i="5"/>
  <c r="H47" i="5"/>
  <c r="G47" i="5"/>
  <c r="F47" i="5"/>
  <c r="E47" i="5"/>
  <c r="D47" i="5"/>
  <c r="C47" i="5"/>
  <c r="B47" i="5"/>
  <c r="M46" i="5"/>
  <c r="L46" i="5"/>
  <c r="K46" i="5"/>
  <c r="J46" i="5"/>
  <c r="I46" i="5"/>
  <c r="H46" i="5"/>
  <c r="G46" i="5"/>
  <c r="F46" i="5"/>
  <c r="E46" i="5"/>
  <c r="D46" i="5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M44" i="5"/>
  <c r="L44" i="5"/>
  <c r="K44" i="5"/>
  <c r="J44" i="5"/>
  <c r="I44" i="5"/>
  <c r="H44" i="5"/>
  <c r="G44" i="5"/>
  <c r="F44" i="5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M42" i="5"/>
  <c r="L42" i="5"/>
  <c r="K42" i="5"/>
  <c r="J42" i="5"/>
  <c r="I42" i="5"/>
  <c r="H42" i="5"/>
  <c r="G42" i="5"/>
  <c r="F42" i="5"/>
  <c r="E42" i="5"/>
  <c r="D42" i="5"/>
  <c r="C42" i="5"/>
  <c r="B42" i="5"/>
  <c r="M41" i="5"/>
  <c r="L41" i="5"/>
  <c r="K41" i="5"/>
  <c r="J41" i="5"/>
  <c r="I41" i="5"/>
  <c r="H41" i="5"/>
  <c r="G41" i="5"/>
  <c r="F41" i="5"/>
  <c r="E41" i="5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M39" i="5"/>
  <c r="L39" i="5"/>
  <c r="K39" i="5"/>
  <c r="J39" i="5"/>
  <c r="I39" i="5"/>
  <c r="H39" i="5"/>
  <c r="G39" i="5"/>
  <c r="F39" i="5"/>
  <c r="E39" i="5"/>
  <c r="D39" i="5"/>
  <c r="C39" i="5"/>
  <c r="B39" i="5"/>
  <c r="M38" i="5"/>
  <c r="L38" i="5"/>
  <c r="K38" i="5"/>
  <c r="J38" i="5"/>
  <c r="I38" i="5"/>
  <c r="H38" i="5"/>
  <c r="G38" i="5"/>
  <c r="F38" i="5"/>
  <c r="E38" i="5"/>
  <c r="D38" i="5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M36" i="5"/>
  <c r="L36" i="5"/>
  <c r="K36" i="5"/>
  <c r="J36" i="5"/>
  <c r="I36" i="5"/>
  <c r="H36" i="5"/>
  <c r="G36" i="5"/>
  <c r="F36" i="5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M34" i="5"/>
  <c r="L34" i="5"/>
  <c r="K34" i="5"/>
  <c r="J34" i="5"/>
  <c r="I34" i="5"/>
  <c r="H34" i="5"/>
  <c r="G34" i="5"/>
  <c r="F34" i="5"/>
  <c r="E34" i="5"/>
  <c r="D34" i="5"/>
  <c r="C34" i="5"/>
  <c r="B34" i="5"/>
  <c r="M33" i="5"/>
  <c r="L33" i="5"/>
  <c r="K33" i="5"/>
  <c r="J33" i="5"/>
  <c r="I33" i="5"/>
  <c r="H33" i="5"/>
  <c r="G33" i="5"/>
  <c r="F33" i="5"/>
  <c r="E33" i="5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M31" i="5"/>
  <c r="L31" i="5"/>
  <c r="K31" i="5"/>
  <c r="J31" i="5"/>
  <c r="I31" i="5"/>
  <c r="H31" i="5"/>
  <c r="G31" i="5"/>
  <c r="F31" i="5"/>
  <c r="E31" i="5"/>
  <c r="D31" i="5"/>
  <c r="C31" i="5"/>
  <c r="B31" i="5"/>
  <c r="M30" i="5"/>
  <c r="L30" i="5"/>
  <c r="K30" i="5"/>
  <c r="J30" i="5"/>
  <c r="I30" i="5"/>
  <c r="H30" i="5"/>
  <c r="G30" i="5"/>
  <c r="F30" i="5"/>
  <c r="E30" i="5"/>
  <c r="D30" i="5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M28" i="5"/>
  <c r="L28" i="5"/>
  <c r="K28" i="5"/>
  <c r="J28" i="5"/>
  <c r="I28" i="5"/>
  <c r="H28" i="5"/>
  <c r="G28" i="5"/>
  <c r="F28" i="5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M26" i="5"/>
  <c r="L26" i="5"/>
  <c r="K26" i="5"/>
  <c r="J26" i="5"/>
  <c r="I26" i="5"/>
  <c r="H26" i="5"/>
  <c r="G26" i="5"/>
  <c r="F26" i="5"/>
  <c r="E26" i="5"/>
  <c r="D26" i="5"/>
  <c r="C26" i="5"/>
  <c r="B26" i="5"/>
  <c r="M25" i="5"/>
  <c r="L25" i="5"/>
  <c r="K25" i="5"/>
  <c r="J25" i="5"/>
  <c r="I25" i="5"/>
  <c r="H25" i="5"/>
  <c r="G25" i="5"/>
  <c r="F25" i="5"/>
  <c r="E25" i="5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M23" i="5"/>
  <c r="L23" i="5"/>
  <c r="K23" i="5"/>
  <c r="J23" i="5"/>
  <c r="I23" i="5"/>
  <c r="H23" i="5"/>
  <c r="G23" i="5"/>
  <c r="F23" i="5"/>
  <c r="E23" i="5"/>
  <c r="D23" i="5"/>
  <c r="C23" i="5"/>
  <c r="B23" i="5"/>
  <c r="M22" i="5"/>
  <c r="L22" i="5"/>
  <c r="K22" i="5"/>
  <c r="J22" i="5"/>
  <c r="I22" i="5"/>
  <c r="H22" i="5"/>
  <c r="G22" i="5"/>
  <c r="F22" i="5"/>
  <c r="E22" i="5"/>
  <c r="D22" i="5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M20" i="5"/>
  <c r="L20" i="5"/>
  <c r="K20" i="5"/>
  <c r="J20" i="5"/>
  <c r="I20" i="5"/>
  <c r="H20" i="5"/>
  <c r="G20" i="5"/>
  <c r="F20" i="5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M18" i="5"/>
  <c r="L18" i="5"/>
  <c r="K18" i="5"/>
  <c r="J18" i="5"/>
  <c r="I18" i="5"/>
  <c r="H18" i="5"/>
  <c r="G18" i="5"/>
  <c r="F18" i="5"/>
  <c r="E18" i="5"/>
  <c r="D18" i="5"/>
  <c r="C18" i="5"/>
  <c r="B18" i="5"/>
  <c r="M17" i="5"/>
  <c r="L17" i="5"/>
  <c r="K17" i="5"/>
  <c r="J17" i="5"/>
  <c r="I17" i="5"/>
  <c r="H17" i="5"/>
  <c r="G17" i="5"/>
  <c r="F17" i="5"/>
  <c r="E17" i="5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M15" i="5"/>
  <c r="L15" i="5"/>
  <c r="K15" i="5"/>
  <c r="J15" i="5"/>
  <c r="I15" i="5"/>
  <c r="H15" i="5"/>
  <c r="G15" i="5"/>
  <c r="F15" i="5"/>
  <c r="E15" i="5"/>
  <c r="D15" i="5"/>
  <c r="C15" i="5"/>
  <c r="B15" i="5"/>
  <c r="M14" i="5"/>
  <c r="L14" i="5"/>
  <c r="K14" i="5"/>
  <c r="J14" i="5"/>
  <c r="I14" i="5"/>
  <c r="H14" i="5"/>
  <c r="G14" i="5"/>
  <c r="F14" i="5"/>
  <c r="E14" i="5"/>
  <c r="D14" i="5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M12" i="5"/>
  <c r="L12" i="5"/>
  <c r="K12" i="5"/>
  <c r="J12" i="5"/>
  <c r="I12" i="5"/>
  <c r="H12" i="5"/>
  <c r="G12" i="5"/>
  <c r="F12" i="5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M10" i="5"/>
  <c r="L10" i="5"/>
  <c r="K10" i="5"/>
  <c r="J10" i="5"/>
  <c r="I10" i="5"/>
  <c r="H10" i="5"/>
  <c r="G10" i="5"/>
  <c r="F10" i="5"/>
  <c r="E10" i="5"/>
  <c r="D10" i="5"/>
  <c r="C10" i="5"/>
  <c r="B10" i="5"/>
  <c r="M9" i="5"/>
  <c r="L9" i="5"/>
  <c r="K9" i="5"/>
  <c r="J9" i="5"/>
  <c r="I9" i="5"/>
  <c r="H9" i="5"/>
  <c r="G9" i="5"/>
  <c r="F9" i="5"/>
  <c r="E9" i="5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M7" i="5"/>
  <c r="L7" i="5"/>
  <c r="K7" i="5"/>
  <c r="J7" i="5"/>
  <c r="I7" i="5"/>
  <c r="H7" i="5"/>
  <c r="G7" i="5"/>
  <c r="F7" i="5"/>
  <c r="E7" i="5"/>
  <c r="D7" i="5"/>
  <c r="C7" i="5"/>
  <c r="B7" i="5"/>
  <c r="M6" i="5"/>
  <c r="L6" i="5"/>
  <c r="K6" i="5"/>
  <c r="J6" i="5"/>
  <c r="I6" i="5"/>
  <c r="H6" i="5"/>
  <c r="G6" i="5"/>
  <c r="F6" i="5"/>
  <c r="E6" i="5"/>
  <c r="D6" i="5"/>
  <c r="C6" i="5"/>
  <c r="B6" i="5"/>
  <c r="M128" i="4"/>
  <c r="L128" i="4"/>
  <c r="K128" i="4"/>
  <c r="J128" i="4"/>
  <c r="I128" i="4"/>
  <c r="H128" i="4"/>
  <c r="G128" i="4"/>
  <c r="F128" i="4"/>
  <c r="E128" i="4"/>
  <c r="D128" i="4"/>
  <c r="C128" i="4"/>
  <c r="B128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U105" i="4"/>
  <c r="S105" i="4"/>
  <c r="R105" i="4"/>
  <c r="Q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U104" i="4"/>
  <c r="S104" i="4"/>
  <c r="R104" i="4"/>
  <c r="Q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U103" i="4"/>
  <c r="S103" i="4"/>
  <c r="R103" i="4"/>
  <c r="Q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U102" i="4"/>
  <c r="S102" i="4"/>
  <c r="R102" i="4"/>
  <c r="Q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U101" i="4"/>
  <c r="S101" i="4"/>
  <c r="R101" i="4"/>
  <c r="Q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U100" i="4"/>
  <c r="S100" i="4"/>
  <c r="R100" i="4"/>
  <c r="Q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U99" i="4"/>
  <c r="S99" i="4"/>
  <c r="R99" i="4"/>
  <c r="Q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U98" i="4"/>
  <c r="S98" i="4"/>
  <c r="R98" i="4"/>
  <c r="Q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U97" i="4"/>
  <c r="S97" i="4"/>
  <c r="R97" i="4"/>
  <c r="Q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U96" i="4"/>
  <c r="S96" i="4"/>
  <c r="R96" i="4"/>
  <c r="Q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U95" i="4"/>
  <c r="S95" i="4"/>
  <c r="R95" i="4"/>
  <c r="Q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U94" i="4"/>
  <c r="S94" i="4"/>
  <c r="R94" i="4"/>
  <c r="Q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U93" i="4"/>
  <c r="S93" i="4"/>
  <c r="R93" i="4"/>
  <c r="Q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U92" i="4"/>
  <c r="S92" i="4"/>
  <c r="R92" i="4"/>
  <c r="Q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U91" i="4"/>
  <c r="S91" i="4"/>
  <c r="R91" i="4"/>
  <c r="Q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U90" i="4"/>
  <c r="S90" i="4"/>
  <c r="R90" i="4"/>
  <c r="Q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U89" i="4"/>
  <c r="S89" i="4"/>
  <c r="R89" i="4"/>
  <c r="Q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U88" i="4"/>
  <c r="S88" i="4"/>
  <c r="R88" i="4"/>
  <c r="Q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U87" i="4"/>
  <c r="S87" i="4"/>
  <c r="R87" i="4"/>
  <c r="Q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U86" i="4"/>
  <c r="S86" i="4"/>
  <c r="R86" i="4"/>
  <c r="Q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U85" i="4"/>
  <c r="S85" i="4"/>
  <c r="R85" i="4"/>
  <c r="Q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U84" i="4"/>
  <c r="S84" i="4"/>
  <c r="R84" i="4"/>
  <c r="Q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U83" i="4"/>
  <c r="S83" i="4"/>
  <c r="R83" i="4"/>
  <c r="Q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U82" i="4"/>
  <c r="S82" i="4"/>
  <c r="R82" i="4"/>
  <c r="Q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U81" i="4"/>
  <c r="S81" i="4"/>
  <c r="R81" i="4"/>
  <c r="Q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U80" i="4"/>
  <c r="S80" i="4"/>
  <c r="R80" i="4"/>
  <c r="Q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U79" i="4"/>
  <c r="S79" i="4"/>
  <c r="R79" i="4"/>
  <c r="Q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U78" i="4"/>
  <c r="S78" i="4"/>
  <c r="R78" i="4"/>
  <c r="Q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U77" i="4"/>
  <c r="S77" i="4"/>
  <c r="R77" i="4"/>
  <c r="Q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U76" i="4"/>
  <c r="S76" i="4"/>
  <c r="R76" i="4"/>
  <c r="Q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U75" i="4"/>
  <c r="S75" i="4"/>
  <c r="R75" i="4"/>
  <c r="Q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U74" i="4"/>
  <c r="S74" i="4"/>
  <c r="R74" i="4"/>
  <c r="Q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U73" i="4"/>
  <c r="S73" i="4"/>
  <c r="R73" i="4"/>
  <c r="Q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U72" i="4"/>
  <c r="S72" i="4"/>
  <c r="R72" i="4"/>
  <c r="Q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U71" i="4"/>
  <c r="S71" i="4"/>
  <c r="R71" i="4"/>
  <c r="Q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U70" i="4"/>
  <c r="S70" i="4"/>
  <c r="R70" i="4"/>
  <c r="Q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U69" i="4"/>
  <c r="S69" i="4"/>
  <c r="R69" i="4"/>
  <c r="Q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U68" i="4"/>
  <c r="S68" i="4"/>
  <c r="R68" i="4"/>
  <c r="Q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U67" i="4"/>
  <c r="S67" i="4"/>
  <c r="R67" i="4"/>
  <c r="Q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U66" i="4"/>
  <c r="S66" i="4"/>
  <c r="R66" i="4"/>
  <c r="Q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U65" i="4"/>
  <c r="S65" i="4"/>
  <c r="R65" i="4"/>
  <c r="Q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U64" i="4"/>
  <c r="S64" i="4"/>
  <c r="R64" i="4"/>
  <c r="Q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U63" i="4"/>
  <c r="S63" i="4"/>
  <c r="R63" i="4"/>
  <c r="Q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U62" i="4"/>
  <c r="S62" i="4"/>
  <c r="R62" i="4"/>
  <c r="Q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U61" i="4"/>
  <c r="S61" i="4"/>
  <c r="R61" i="4"/>
  <c r="Q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U60" i="4"/>
  <c r="S60" i="4"/>
  <c r="R60" i="4"/>
  <c r="Q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U59" i="4"/>
  <c r="S59" i="4"/>
  <c r="R59" i="4"/>
  <c r="Q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U58" i="4"/>
  <c r="S58" i="4"/>
  <c r="R58" i="4"/>
  <c r="Q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U57" i="4"/>
  <c r="S57" i="4"/>
  <c r="R57" i="4"/>
  <c r="Q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U56" i="4"/>
  <c r="S56" i="4"/>
  <c r="R56" i="4"/>
  <c r="Q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U55" i="4"/>
  <c r="S55" i="4"/>
  <c r="R55" i="4"/>
  <c r="Q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U54" i="4"/>
  <c r="S54" i="4"/>
  <c r="R54" i="4"/>
  <c r="Q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U53" i="4"/>
  <c r="S53" i="4"/>
  <c r="R53" i="4"/>
  <c r="Q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U52" i="4"/>
  <c r="S52" i="4"/>
  <c r="R52" i="4"/>
  <c r="Q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U51" i="4"/>
  <c r="S51" i="4"/>
  <c r="R51" i="4"/>
  <c r="Q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U50" i="4"/>
  <c r="S50" i="4"/>
  <c r="R50" i="4"/>
  <c r="Q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U49" i="4"/>
  <c r="S49" i="4"/>
  <c r="R49" i="4"/>
  <c r="Q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U48" i="4"/>
  <c r="S48" i="4"/>
  <c r="R48" i="4"/>
  <c r="Q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U47" i="4"/>
  <c r="S47" i="4"/>
  <c r="R47" i="4"/>
  <c r="Q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U46" i="4"/>
  <c r="S46" i="4"/>
  <c r="R46" i="4"/>
  <c r="Q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U45" i="4"/>
  <c r="S45" i="4"/>
  <c r="R45" i="4"/>
  <c r="Q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U44" i="4"/>
  <c r="S44" i="4"/>
  <c r="R44" i="4"/>
  <c r="Q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U43" i="4"/>
  <c r="S43" i="4"/>
  <c r="R43" i="4"/>
  <c r="Q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U42" i="4"/>
  <c r="S42" i="4"/>
  <c r="R42" i="4"/>
  <c r="Q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U41" i="4"/>
  <c r="S41" i="4"/>
  <c r="R41" i="4"/>
  <c r="Q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U40" i="4"/>
  <c r="S40" i="4"/>
  <c r="R40" i="4"/>
  <c r="Q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U39" i="4"/>
  <c r="S39" i="4"/>
  <c r="R39" i="4"/>
  <c r="Q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U38" i="4"/>
  <c r="S38" i="4"/>
  <c r="R38" i="4"/>
  <c r="Q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U37" i="4"/>
  <c r="S37" i="4"/>
  <c r="R37" i="4"/>
  <c r="Q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U36" i="4"/>
  <c r="S36" i="4"/>
  <c r="R36" i="4"/>
  <c r="Q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U35" i="4"/>
  <c r="S35" i="4"/>
  <c r="R35" i="4"/>
  <c r="Q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U34" i="4"/>
  <c r="S34" i="4"/>
  <c r="R34" i="4"/>
  <c r="Q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U32" i="4"/>
  <c r="S32" i="4"/>
  <c r="R32" i="4"/>
  <c r="Q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U31" i="4"/>
  <c r="S31" i="4"/>
  <c r="R31" i="4"/>
  <c r="Q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U30" i="4"/>
  <c r="S30" i="4"/>
  <c r="R30" i="4"/>
  <c r="Q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U29" i="4"/>
  <c r="S29" i="4"/>
  <c r="R29" i="4"/>
  <c r="Q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U28" i="4"/>
  <c r="S28" i="4"/>
  <c r="R28" i="4"/>
  <c r="Q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U27" i="4"/>
  <c r="S27" i="4"/>
  <c r="R27" i="4"/>
  <c r="Q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U26" i="4"/>
  <c r="S26" i="4"/>
  <c r="R26" i="4"/>
  <c r="Q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U25" i="4"/>
  <c r="S25" i="4"/>
  <c r="R25" i="4"/>
  <c r="Q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U24" i="4"/>
  <c r="S24" i="4"/>
  <c r="R24" i="4"/>
  <c r="Q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U23" i="4"/>
  <c r="S23" i="4"/>
  <c r="R23" i="4"/>
  <c r="Q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U22" i="4"/>
  <c r="S22" i="4"/>
  <c r="R22" i="4"/>
  <c r="Q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U21" i="4"/>
  <c r="S21" i="4"/>
  <c r="R21" i="4"/>
  <c r="Q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U20" i="4"/>
  <c r="S20" i="4"/>
  <c r="R20" i="4"/>
  <c r="Q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U19" i="4"/>
  <c r="S19" i="4"/>
  <c r="R19" i="4"/>
  <c r="Q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U17" i="4"/>
  <c r="S17" i="4"/>
  <c r="R17" i="4"/>
  <c r="Q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U16" i="4"/>
  <c r="S16" i="4"/>
  <c r="R16" i="4"/>
  <c r="Q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U15" i="4"/>
  <c r="S15" i="4"/>
  <c r="R15" i="4"/>
  <c r="Q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U14" i="4"/>
  <c r="S14" i="4"/>
  <c r="R14" i="4"/>
  <c r="Q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U13" i="4"/>
  <c r="S13" i="4"/>
  <c r="R13" i="4"/>
  <c r="Q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U12" i="4"/>
  <c r="S12" i="4"/>
  <c r="R12" i="4"/>
  <c r="Q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U11" i="4"/>
  <c r="S11" i="4"/>
  <c r="R11" i="4"/>
  <c r="Q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U10" i="4"/>
  <c r="S10" i="4"/>
  <c r="R10" i="4"/>
  <c r="Q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U9" i="4"/>
  <c r="S9" i="4"/>
  <c r="R9" i="4"/>
  <c r="Q9" i="4"/>
  <c r="N9" i="4"/>
  <c r="M9" i="4"/>
  <c r="L9" i="4"/>
  <c r="K9" i="4"/>
  <c r="J9" i="4"/>
  <c r="I9" i="4"/>
  <c r="H9" i="4"/>
  <c r="G9" i="4"/>
  <c r="F9" i="4"/>
  <c r="E9" i="4"/>
  <c r="D9" i="4"/>
  <c r="C9" i="4"/>
  <c r="B9" i="4"/>
  <c r="U8" i="4"/>
  <c r="S8" i="4"/>
  <c r="R8" i="4"/>
  <c r="Q8" i="4"/>
  <c r="N8" i="4"/>
  <c r="M8" i="4"/>
  <c r="L8" i="4"/>
  <c r="K8" i="4"/>
  <c r="J8" i="4"/>
  <c r="I8" i="4"/>
  <c r="H8" i="4"/>
  <c r="G8" i="4"/>
  <c r="F8" i="4"/>
  <c r="E8" i="4"/>
  <c r="D8" i="4"/>
  <c r="C8" i="4"/>
  <c r="B8" i="4"/>
  <c r="U7" i="4"/>
  <c r="S7" i="4"/>
  <c r="R7" i="4"/>
  <c r="Q7" i="4"/>
  <c r="N7" i="4"/>
  <c r="M7" i="4"/>
  <c r="L7" i="4"/>
  <c r="K7" i="4"/>
  <c r="J7" i="4"/>
  <c r="I7" i="4"/>
  <c r="H7" i="4"/>
  <c r="G7" i="4"/>
  <c r="F7" i="4"/>
  <c r="E7" i="4"/>
  <c r="D7" i="4"/>
  <c r="C7" i="4"/>
  <c r="B7" i="4"/>
  <c r="U6" i="4"/>
  <c r="S6" i="4"/>
  <c r="R6" i="4"/>
  <c r="Q6" i="4"/>
  <c r="N6" i="4"/>
  <c r="M6" i="4"/>
  <c r="L6" i="4"/>
  <c r="K6" i="4"/>
  <c r="J6" i="4"/>
  <c r="I6" i="4"/>
  <c r="H6" i="4"/>
  <c r="G6" i="4"/>
  <c r="F6" i="4"/>
  <c r="E6" i="4"/>
  <c r="D6" i="4"/>
  <c r="C6" i="4"/>
  <c r="B6" i="4"/>
</calcChain>
</file>

<file path=xl/sharedStrings.xml><?xml version="1.0" encoding="utf-8"?>
<sst xmlns="http://schemas.openxmlformats.org/spreadsheetml/2006/main" count="703" uniqueCount="439">
  <si>
    <t>Account</t>
  </si>
  <si>
    <t>DNA Financial Model</t>
  </si>
  <si>
    <t>Profit &amp; Loss Statement</t>
  </si>
  <si>
    <t>Balance Sheet</t>
  </si>
  <si>
    <t>Month</t>
  </si>
  <si>
    <t>Note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</si>
  <si>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</si>
  <si>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</si>
  <si>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</si>
  <si>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</si>
  <si>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</si>
  <si>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</si>
  <si>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</si>
  <si>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</si>
  <si>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</si>
  <si>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</si>
  <si>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</si>
  <si>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</si>
  <si>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</si>
  <si>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</si>
  <si>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</si>
  <si>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</si>
  <si>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</si>
  <si>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</si>
  <si>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</si>
  <si>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</si>
  <si>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</si>
  <si>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</si>
  <si>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</si>
  <si>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</si>
  <si>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</si>
  <si>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</si>
  <si>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</si>
  <si>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Gross Profit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</si>
  <si>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</si>
  <si>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</si>
  <si>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</si>
  <si>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</si>
  <si>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</si>
  <si>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</si>
  <si>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</si>
  <si>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</si>
  <si>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</si>
  <si>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</si>
  <si>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</si>
  <si>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</si>
  <si>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</si>
  <si>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</si>
  <si>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</si>
  <si>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</si>
  <si>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</si>
  <si>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</si>
  <si>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</si>
  <si>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</si>
  <si>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</si>
  <si>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</si>
  <si>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</si>
  <si>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</si>
  <si>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</si>
  <si>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</si>
  <si>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</si>
  <si>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</si>
  <si>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</si>
  <si>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</si>
  <si>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</si>
  <si>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</si>
  <si>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</si>
  <si>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</si>
  <si>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</si>
  <si>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</si>
  <si>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</si>
  <si>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</si>
  <si>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</si>
  <si>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</si>
  <si>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</si>
  <si>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</si>
  <si>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</si>
  <si>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</si>
  <si>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</si>
  <si>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</si>
  <si>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</si>
  <si>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</si>
  <si>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</si>
  <si>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</si>
  <si>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</si>
  <si>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</si>
  <si>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</si>
  <si>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</si>
  <si>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</si>
  <si>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</si>
  <si>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</si>
  <si>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</si>
  <si>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</si>
  <si>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</si>
  <si>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</si>
  <si>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</si>
  <si>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</si>
  <si>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</si>
  <si>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</si>
  <si>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</si>
  <si>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</si>
  <si>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</si>
  <si>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</si>
  <si>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</si>
  <si>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</si>
  <si>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</si>
  <si>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Net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</si>
  <si>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</si>
  <si>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</si>
  <si>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</si>
  <si>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</si>
  <si>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</si>
  <si>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</si>
  <si>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</si>
  <si>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</si>
  <si>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</si>
  <si>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</si>
  <si>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</si>
  <si>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</si>
  <si>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</si>
  <si>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</si>
  <si>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</si>
  <si>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</si>
  <si>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</si>
  <si>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</si>
  <si>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</si>
  <si>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</si>
  <si>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</si>
  <si>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</si>
  <si>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</si>
  <si>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</si>
  <si>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</si>
  <si>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</si>
  <si>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</si>
  <si>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</si>
  <si>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</si>
  <si>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</si>
  <si>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</si>
  <si>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</si>
  <si>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</si>
  <si>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</si>
  <si>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</si>
  <si>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</si>
  <si>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</si>
  <si>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</si>
  <si>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</si>
  <si>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</si>
  <si>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</si>
  <si>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</si>
  <si>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</si>
  <si>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</si>
  <si>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</si>
  <si>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</si>
  <si>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</si>
  <si>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</si>
  <si>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</si>
  <si>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</si>
  <si>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</si>
  <si>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</si>
  <si>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</si>
  <si>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</si>
  <si>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</si>
  <si>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</si>
  <si>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</si>
  <si>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</si>
  <si>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</si>
  <si>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</si>
  <si>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</si>
  <si>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</si>
  <si>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</si>
  <si>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</si>
  <si>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</si>
  <si>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</si>
  <si>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</si>
  <si>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</si>
  <si>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</si>
  <si>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</si>
  <si>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</si>
  <si>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</si>
  <si>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</si>
  <si>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</si>
  <si>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</si>
  <si>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</si>
  <si>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</si>
  <si>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</si>
  <si>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</si>
  <si>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</si>
  <si>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</si>
  <si>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</si>
  <si>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</si>
  <si>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</si>
  <si>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</si>
  <si>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</si>
  <si>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</si>
  <si>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</si>
  <si>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</si>
  <si>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</si>
  <si>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</si>
  <si>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</si>
  <si>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</si>
  <si>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</si>
  <si>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</si>
  <si>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</si>
  <si>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</si>
  <si>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</si>
  <si>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</si>
  <si>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</si>
  <si>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</si>
  <si>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</si>
  <si>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</si>
  <si>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</si>
  <si>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</si>
  <si>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</si>
  <si>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</si>
  <si>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</si>
  <si>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</si>
  <si>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</si>
  <si>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</si>
  <si>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</si>
  <si>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</si>
  <si>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</si>
  <si>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</si>
  <si>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</si>
  <si>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</si>
  <si>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Company Name</t>
  </si>
  <si>
    <t>CONFIGURATION</t>
  </si>
  <si>
    <t>Company:</t>
  </si>
  <si>
    <t>Current Month:</t>
  </si>
  <si>
    <t>Data Range:</t>
  </si>
  <si>
    <t>January 2024 to December 2024</t>
  </si>
  <si>
    <t>Total Months:</t>
  </si>
  <si>
    <t>ACTIONS</t>
  </si>
  <si>
    <t>Upload P&amp;L Data</t>
  </si>
  <si>
    <t>Import new monthly P&amp;L data (Alt+F8)</t>
  </si>
  <si>
    <t>Upload Balance Sheet</t>
  </si>
  <si>
    <t>Import new Balance Sheet data (Alt+F8)</t>
  </si>
  <si>
    <t>Refresh All</t>
  </si>
  <si>
    <t>Recalculate all formulas (Alt+F8)</t>
  </si>
  <si>
    <t>Run Diagnostics</t>
  </si>
  <si>
    <t>Validate model and check for errors (Alt+F8)</t>
  </si>
  <si>
    <t>HOW TO USE</t>
  </si>
  <si>
    <t>1. Press Alt+F8 to open Macros dialog</t>
  </si>
  <si>
    <t>2. Select the macro and click Run</t>
  </si>
  <si>
    <t>3. For uploads, select your file when prompted</t>
  </si>
  <si>
    <t>4. Run Diagnostics to check model integrity</t>
  </si>
  <si>
    <t>QUICK NAVIGATION</t>
  </si>
  <si>
    <t>#PL!A1</t>
  </si>
  <si>
    <t>#Balance_Sheet!A1</t>
  </si>
  <si>
    <t>#Cash_Flow!A1</t>
  </si>
  <si>
    <t>#Notes!A1</t>
  </si>
  <si>
    <t>#Source_PL!A1</t>
  </si>
  <si>
    <t>#Source_BS!A1</t>
  </si>
  <si>
    <t>Notes</t>
  </si>
  <si>
    <t>PY YTD</t>
  </si>
  <si>
    <t>CY YTD</t>
  </si>
  <si>
    <t>Var $</t>
  </si>
  <si>
    <t>Var %</t>
  </si>
  <si>
    <t xml:space="preserve">    4000 Service Revenue</t>
  </si>
  <si>
    <t xml:space="preserve">    4001 Quoted Revenue</t>
  </si>
  <si>
    <t xml:space="preserve">    4002 T&amp;M Revenue</t>
  </si>
  <si>
    <t xml:space="preserve">    4003 Rental Revenue</t>
  </si>
  <si>
    <t xml:space="preserve">    4004 Late Fee Income</t>
  </si>
  <si>
    <t xml:space="preserve">    4005 Discounts given</t>
  </si>
  <si>
    <t xml:space="preserve">    4006 Sales Income</t>
  </si>
  <si>
    <t xml:space="preserve">    4007 Training Classes Revenue</t>
  </si>
  <si>
    <t xml:space="preserve">    5000 Cost of Goods Sold</t>
  </si>
  <si>
    <t xml:space="preserve">    5001 Direct Costs - Job Materials</t>
  </si>
  <si>
    <t xml:space="preserve">    5002 Direct Cost- Fuel</t>
  </si>
  <si>
    <t xml:space="preserve">    5003 Direct Cost- Meals</t>
  </si>
  <si>
    <t xml:space="preserve">    5004 Direct Cost- Travel &amp; Lodging</t>
  </si>
  <si>
    <t xml:space="preserve">    5005 Direct Cost- Postage &amp; Delivery</t>
  </si>
  <si>
    <t xml:space="preserve">    5006 Direct Cost- Wages</t>
  </si>
  <si>
    <t xml:space="preserve">    5007 Direct Costs - Rental Equipment</t>
  </si>
  <si>
    <t xml:space="preserve">    5008 Direct Costs - Contract Labor</t>
  </si>
  <si>
    <t xml:space="preserve">    5009 Direct Cost - Third Party Testing</t>
  </si>
  <si>
    <t xml:space="preserve">    5050 Direct Costs - Insurance</t>
  </si>
  <si>
    <t>Gross Margin</t>
  </si>
  <si>
    <t xml:space="preserve">    6000 Payroll Expenses</t>
  </si>
  <si>
    <t xml:space="preserve">    6001 Wages</t>
  </si>
  <si>
    <t xml:space="preserve">    6003 Taxes</t>
  </si>
  <si>
    <t xml:space="preserve">    6005 Payroll Reimbursement from Calibration</t>
  </si>
  <si>
    <t>RECONCILIATION TO EBITDA</t>
  </si>
  <si>
    <t xml:space="preserve">    Add: Interest, net</t>
  </si>
  <si>
    <t xml:space="preserve">    Add: Income taxes</t>
  </si>
  <si>
    <t xml:space="preserve">    Add: Depreciation and amortization</t>
  </si>
  <si>
    <t xml:space="preserve">    Add: Non-recurring expense (income)</t>
  </si>
  <si>
    <t>Reported EBITDA</t>
  </si>
  <si>
    <t>VALIDATION</t>
  </si>
  <si>
    <t>Revenue (Report)</t>
  </si>
  <si>
    <t>COGS (Report)</t>
  </si>
  <si>
    <t>Expenses (Report)</t>
  </si>
  <si>
    <t>Net Income (Report)</t>
  </si>
  <si>
    <t>Revenue (Source)</t>
  </si>
  <si>
    <t>COGS (Source)</t>
  </si>
  <si>
    <t>Expenses (Source)</t>
  </si>
  <si>
    <t>Net Income (Source)</t>
  </si>
  <si>
    <t>Revenue Variance</t>
  </si>
  <si>
    <t>COGS Variance</t>
  </si>
  <si>
    <t>Expenses Variance</t>
  </si>
  <si>
    <t>Net Income Variance</t>
  </si>
  <si>
    <t xml:space="preserve">    Current Assets</t>
  </si>
  <si>
    <t xml:space="preserve">    Bank Accounts</t>
  </si>
  <si>
    <t xml:space="preserve">    1000 UCBI Operating (2844)</t>
  </si>
  <si>
    <t xml:space="preserve">    1010 UCBI Payroll (2851)</t>
  </si>
  <si>
    <t xml:space="preserve">    1014 UCBI Holding (1738)</t>
  </si>
  <si>
    <t xml:space="preserve">    1019 UCBI Freedom (0011) (deleted)</t>
  </si>
  <si>
    <t xml:space="preserve">    1030 UCBI Prombo (1746)</t>
  </si>
  <si>
    <t xml:space="preserve">    1051 Investments</t>
  </si>
  <si>
    <t xml:space="preserve">    1099 zClearing (should be $0)</t>
  </si>
  <si>
    <t xml:space="preserve">    Current Liabilities</t>
  </si>
  <si>
    <t xml:space="preserve">    Accounts Payable</t>
  </si>
  <si>
    <t xml:space="preserve">    Credit Cards</t>
  </si>
  <si>
    <t xml:space="preserve">    2100 Pcard Billing (1784)</t>
  </si>
  <si>
    <t xml:space="preserve">    2105 CC Billing (1707)</t>
  </si>
  <si>
    <t xml:space="preserve">    2110 Brian Rodgers AMEX Bonvoy</t>
  </si>
  <si>
    <t xml:space="preserve">    2111 Brian Rodgers AMEX Green</t>
  </si>
  <si>
    <t xml:space="preserve">    2112 Brian Rodgers Amex (1000) Delta</t>
  </si>
  <si>
    <t xml:space="preserve">    2130 B.Rodgers (7408) Chase Ink Intl Group</t>
  </si>
  <si>
    <t xml:space="preserve">    2131 M.Prombo (7416) Chase Ink Intl</t>
  </si>
  <si>
    <t xml:space="preserve">    2132 L.Wright (2564) Chase</t>
  </si>
  <si>
    <t xml:space="preserve">    2133 R.Bennett (4397) Chase</t>
  </si>
  <si>
    <t xml:space="preserve">    2134 B Rodgers (8621) Chase</t>
  </si>
  <si>
    <t xml:space="preserve">    2140 Brian (7718) Citi Diamond Preferred</t>
  </si>
  <si>
    <t xml:space="preserve">    2150 Brian Discover IT Card</t>
  </si>
  <si>
    <t xml:space="preserve">    3200 Shareholder Calibration</t>
  </si>
  <si>
    <t xml:space="preserve">    3300 Shareholder Distributions</t>
  </si>
  <si>
    <t xml:space="preserve">    3900 Retained Earnings</t>
  </si>
  <si>
    <t>Total Assets (Report)</t>
  </si>
  <si>
    <t>Total Liabilities (Report)</t>
  </si>
  <si>
    <t>Total Equity (Report)</t>
  </si>
  <si>
    <t>Total Liab + Equity (Report)</t>
  </si>
  <si>
    <t>Total Assets (Source)</t>
  </si>
  <si>
    <t>Total Liabilities (Source)</t>
  </si>
  <si>
    <t>Total Equity (Source)</t>
  </si>
  <si>
    <t>Assets - (Liab + Equity)</t>
  </si>
  <si>
    <t>Assets Variance</t>
  </si>
  <si>
    <t>Liabilities Variance</t>
  </si>
  <si>
    <t>Equity Variance</t>
  </si>
  <si>
    <t>Statement of Cash Flows (Indirect Method)</t>
  </si>
  <si>
    <t>Description</t>
  </si>
  <si>
    <t>YTD</t>
  </si>
  <si>
    <t>CASH FLOWS FROM OPERATING ACTIVITIES</t>
  </si>
  <si>
    <t xml:space="preserve">    Net Income</t>
  </si>
  <si>
    <t xml:space="preserve">    Adjustments to reconcile net income:</t>
  </si>
  <si>
    <t xml:space="preserve">        Depreciation &amp; Amortization</t>
  </si>
  <si>
    <t xml:space="preserve">    Changes in Operating Assets and Liabilities:</t>
  </si>
  <si>
    <t xml:space="preserve">        (Increase) Decrease in Accounts Receivable</t>
  </si>
  <si>
    <t xml:space="preserve">        (Increase) Decrease in Inventory</t>
  </si>
  <si>
    <t xml:space="preserve">        (Increase) Decrease in Prepaid Expenses</t>
  </si>
  <si>
    <t xml:space="preserve">        (Increase) Decrease in Other Current Assets</t>
  </si>
  <si>
    <t xml:space="preserve">        Increase (Decrease) in Accounts Payable</t>
  </si>
  <si>
    <t xml:space="preserve">        Increase (Decrease) in Accrued Expenses</t>
  </si>
  <si>
    <t xml:space="preserve">        Increase (Decrease) in Other Current Liabilities</t>
  </si>
  <si>
    <t>Net Cash Provided by Operating Activities</t>
  </si>
  <si>
    <t>CASH FLOWS FROM INVESTING ACTIVITIES</t>
  </si>
  <si>
    <t xml:space="preserve">    Purchase of Property &amp; Equipment</t>
  </si>
  <si>
    <t xml:space="preserve">    Purchase of Investments</t>
  </si>
  <si>
    <t xml:space="preserve">    Other Investing Activities</t>
  </si>
  <si>
    <t>Net Cash Used in Investing Activities</t>
  </si>
  <si>
    <t>CASH FLOWS FROM FINANCING ACTIVITIES</t>
  </si>
  <si>
    <t xml:space="preserve">    Proceeds from (Payments on) Line of Credit</t>
  </si>
  <si>
    <t xml:space="preserve">    Proceeds from (Payments on) Long-term Debt</t>
  </si>
  <si>
    <t xml:space="preserve">    Owner Contributions</t>
  </si>
  <si>
    <t xml:space="preserve">    Distributions to Owners</t>
  </si>
  <si>
    <t>Net Cash Provided by Financing Activities</t>
  </si>
  <si>
    <t>NET INCREASE (DECREASE) IN CASH</t>
  </si>
  <si>
    <t>Cash at Beginning of Period</t>
  </si>
  <si>
    <t>Cash at End of Period</t>
  </si>
  <si>
    <t>Dashboard Control Panel</t>
  </si>
  <si>
    <t>Configure KPI targets - Version 1.1.0</t>
  </si>
  <si>
    <t>INSTRUCTIONS</t>
  </si>
  <si>
    <t>1. Set target values for each KPI in the 'Target' column</t>
  </si>
  <si>
    <t>2. Yellow threshold: 80% of target (caution)</t>
  </si>
  <si>
    <t>3. Red threshold: 60% of target (warning)</t>
  </si>
  <si>
    <t>4. Dashboard updates automatically when data changes</t>
  </si>
  <si>
    <t>Category</t>
  </si>
  <si>
    <t>KPI Name</t>
  </si>
  <si>
    <t>Target</t>
  </si>
  <si>
    <t>Yellow %</t>
  </si>
  <si>
    <t>Red %</t>
  </si>
  <si>
    <t>Direction</t>
  </si>
  <si>
    <t>Profitability</t>
  </si>
  <si>
    <t>Revenue</t>
  </si>
  <si>
    <t>Total revenue generated</t>
  </si>
  <si>
    <t>Higher</t>
  </si>
  <si>
    <t>Revenue minus COGS</t>
  </si>
  <si>
    <t>Gross Margin %</t>
  </si>
  <si>
    <t>Gross profit / revenue</t>
  </si>
  <si>
    <t>Bottom line profit</t>
  </si>
  <si>
    <t>Net Margin %</t>
  </si>
  <si>
    <t>Net income / revenue</t>
  </si>
  <si>
    <t>EBITDA</t>
  </si>
  <si>
    <t>NI + Interest + Depreciation</t>
  </si>
  <si>
    <t>Operating Income</t>
  </si>
  <si>
    <t>Core operations income</t>
  </si>
  <si>
    <t>Operating Margin %</t>
  </si>
  <si>
    <t>Operating income / revenue</t>
  </si>
  <si>
    <t>Liquidity</t>
  </si>
  <si>
    <t>Current Ratio</t>
  </si>
  <si>
    <t>Current assets / liabilities</t>
  </si>
  <si>
    <t>Quick Ratio</t>
  </si>
  <si>
    <t>(CA - Inventory) / CL</t>
  </si>
  <si>
    <t>Cash Ratio</t>
  </si>
  <si>
    <t>Cash / current liabilities</t>
  </si>
  <si>
    <t>Working Capital</t>
  </si>
  <si>
    <t>CA minus CL</t>
  </si>
  <si>
    <t>Cash Balance</t>
  </si>
  <si>
    <t>Total cash on hand</t>
  </si>
  <si>
    <t>Efficiency</t>
  </si>
  <si>
    <t>AR Days (DSO)</t>
  </si>
  <si>
    <t>Days to collect AR</t>
  </si>
  <si>
    <t>Lower</t>
  </si>
  <si>
    <t>AP Days (DPO)</t>
  </si>
  <si>
    <t>Days to pay AP</t>
  </si>
  <si>
    <t>Asset Turnover</t>
  </si>
  <si>
    <t>Revenue / assets</t>
  </si>
  <si>
    <t>Leverage</t>
  </si>
  <si>
    <t>Debt-to-Equity</t>
  </si>
  <si>
    <t>Debt relative to equity</t>
  </si>
  <si>
    <t>Debt-to-Assets</t>
  </si>
  <si>
    <t>Debt / total assets</t>
  </si>
  <si>
    <t>Equity Ratio</t>
  </si>
  <si>
    <t>Equity / total assets</t>
  </si>
  <si>
    <t>Cashflow</t>
  </si>
  <si>
    <t>Operating Cash Flow</t>
  </si>
  <si>
    <t>Cash from operations</t>
  </si>
  <si>
    <t>Free Cash Flow</t>
  </si>
  <si>
    <t>OCF minus CapEx</t>
  </si>
  <si>
    <t>Executive Dashboard</t>
  </si>
  <si>
    <t>Current Period: December 2024</t>
  </si>
  <si>
    <t>Generated: December 05, 2025 | Version 1.1.0</t>
  </si>
  <si>
    <t>LIQUIDITY METRICS</t>
  </si>
  <si>
    <t>KPI</t>
  </si>
  <si>
    <t>Current</t>
  </si>
  <si>
    <t>Status</t>
  </si>
  <si>
    <t>Trend</t>
  </si>
  <si>
    <t>EFFICIENCY METRICS</t>
  </si>
  <si>
    <t>LEVERAGE METRICS</t>
  </si>
  <si>
    <t>CASH FLOW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</si>
</sst>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2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28"/>
      <color rgb="FF16213E"/>
      <name val="Calibri Light"/>
      <family val="2"/>
    </font>
    <font>
      <sz val="16"/>
      <color rgb="FF808080"/>
      <name val="Calibri Light"/>
      <family val="2"/>
    </font>
    <font>
      <b/>
      <sz val="12"/>
      <color theme="1"/>
      <name val="Calibri Light"/>
      <family val="2"/>
    </font>
    <font>
      <b/>
      <sz val="12"/>
      <color rgb="FF16213E"/>
      <name val="Calibri Light"/>
      <family val="2"/>
    </font>
    <font>
      <b/>
      <sz val="11"/>
      <color rgb="FFFFFFFF"/>
      <name val="Calibri Light"/>
      <family val="2"/>
    </font>
    <font>
      <sz val="9"/>
      <color theme="1"/>
      <name val="Calibri Light"/>
      <family val="2"/>
    </font>
    <font>
      <sz val="9"/>
      <color rgb="FF808080"/>
      <name val="Calibri Light"/>
      <family val="2"/>
    </font>
    <font>
      <sz val="10"/>
      <color rgb="FF808080"/>
      <name val="Calibri Light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Calibri Light"/>
      <family val="2"/>
    </font>
    <font>
      <b/>
      <sz val="9"/>
      <color theme="1"/>
      <name val="Calibri Light"/>
      <family val="2"/>
    </font>
    <font>
      <b/>
      <sz val="10"/>
      <color rgb="FF16213E"/>
      <name val="Calibri Light"/>
      <family val="2"/>
    </font>
    <font>
      <b/>
      <sz val="24"/>
      <color rgb="FF16213E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9"/>
      <color rgb="FF646464"/>
      <name val="Aptos Narrow"/>
      <family val="2"/>
      <scheme val="minor"/>
    </font>
    <font>
      <b/>
      <sz val="28"/>
      <color rgb="FF16213E"/>
      <name val="Aptos Narrow"/>
      <family val="2"/>
      <scheme val="minor"/>
    </font>
    <font>
      <sz val="16"/>
      <color rgb="FF7F8C8D"/>
      <name val="Aptos Narrow"/>
      <family val="2"/>
      <scheme val="minor"/>
    </font>
    <font>
      <sz val="9"/>
      <color rgb="FF969696"/>
      <name val="Aptos Narrow"/>
      <family val="2"/>
      <scheme val="minor"/>
    </font>
    <font>
      <b/>
      <sz val="10"/>
      <color rgb="FF7F8C8D"/>
      <name val="Aptos Narrow"/>
      <family val="2"/>
      <scheme val="minor"/>
    </font>
    <font>
      <b/>
      <sz val="14"/>
      <color rgb="FF7F8C8D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0"/>
      <color rgb="FF2C3E50"/>
      <name val="Aptos Narrow"/>
      <family val="2"/>
      <scheme val="minor"/>
    </font>
    <font>
      <b/>
      <sz val="11"/>
      <color rgb="FF2C3E5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A1A1A"/>
        <bgColor indexed="64"/>
      </patternFill>
    </fill>
    <fill>
      <patternFill patternType="solid">
        <fgColor rgb="FF16213E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8F4FD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16">
    <xf numFmtId="0" fontId="0" fillId="0" borderId="0" xfId="0"/>
    <xf numFmtId="0" fontId="3" fillId="0" borderId="0" xfId="0" applyFont="1"/>
    <xf numFmtId="0" fontId="4" fillId="0" borderId="0" xfId="0" applyFont="1"/>
    <xf numFmtId="17" fontId="4" fillId="0" borderId="0" xfId="0" applyNumberFormat="1" applyFont="1"/>
    <xf numFmtId="0" fontId="5" fillId="2" borderId="0" xfId="0" applyFont="1" applyFill="1"/>
    <xf numFmtId="17" fontId="5" fillId="2" borderId="0" xfId="0" applyNumberFormat="1" applyFont="1" applyFill="1" applyAlignment="1">
      <alignment horizontal="center"/>
    </xf>
    <xf numFmtId="3" fontId="0" fillId="0" borderId="0" xfId="0" applyNumberFormat="1"/>
    <xf numFmtId="3" fontId="3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3" borderId="0" xfId="0" applyFont="1" applyFill="1"/>
    <xf numFmtId="0" fontId="12" fillId="0" borderId="0" xfId="0" applyFont="1"/>
    <xf numFmtId="0" fontId="13" fillId="0" borderId="0" xfId="0" applyFont="1"/>
    <xf numFmtId="0" fontId="14" fillId="0" borderId="0" xfId="1"/>
    <xf numFmtId="0" fontId="15" fillId="0" borderId="0" xfId="0" applyFont="1"/>
    <xf numFmtId="0" fontId="5" fillId="3" borderId="0" xfId="0" applyFont="1" applyFill="1"/>
    <xf numFmtId="17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4" fillId="4" borderId="1" xfId="0" applyFont="1" applyFill="1" applyBorder="1" applyAlignment="1">
      <alignment vertical="center"/>
    </xf>
    <xf numFmtId="0" fontId="2" fillId="0" borderId="0" xfId="0" applyFont="1"/>
    <xf numFmtId="0" fontId="16" fillId="4" borderId="1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 wrapText="1"/>
    </xf>
    <xf numFmtId="3" fontId="2" fillId="0" borderId="2" xfId="0" applyNumberFormat="1" applyFont="1" applyBorder="1"/>
    <xf numFmtId="165" fontId="0" fillId="0" borderId="0" xfId="0" applyNumberFormat="1"/>
    <xf numFmtId="3" fontId="3" fillId="0" borderId="0" xfId="0" applyNumberFormat="1" applyFont="1" applyAlignment="1">
      <alignment horizontal="right"/>
    </xf>
    <xf numFmtId="3" fontId="4" fillId="4" borderId="1" xfId="0" applyNumberFormat="1" applyFont="1" applyFill="1" applyBorder="1" applyAlignment="1">
      <alignment horizontal="right"/>
    </xf>
    <xf numFmtId="3" fontId="4" fillId="0" borderId="2" xfId="0" applyNumberFormat="1" applyFont="1" applyBorder="1" applyAlignment="1">
      <alignment horizontal="right"/>
    </xf>
    <xf numFmtId="165" fontId="3" fillId="0" borderId="0" xfId="0" applyNumberFormat="1" applyFont="1" applyAlignment="1">
      <alignment horizontal="right"/>
    </xf>
    <xf numFmtId="165" fontId="4" fillId="4" borderId="1" xfId="0" applyNumberFormat="1" applyFont="1" applyFill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0" fontId="0" fillId="0" borderId="0" xfId="0" applyFill="1"/>
    <xf numFmtId="0" fontId="17" fillId="0" borderId="0" xfId="0" applyFont="1"/>
    <xf numFmtId="0" fontId="4" fillId="0" borderId="2" xfId="0" applyFont="1" applyBorder="1"/>
    <xf numFmtId="3" fontId="2" fillId="0" borderId="0" xfId="0" applyNumberFormat="1" applyFont="1"/>
    <xf numFmtId="0" fontId="17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9" xfId="0" applyFont="1" applyBorder="1"/>
    <xf numFmtId="3" fontId="0" fillId="0" borderId="10" xfId="0" applyNumberFormat="1" applyBorder="1"/>
    <xf numFmtId="3" fontId="0" fillId="0" borderId="11" xfId="0" applyNumberFormat="1" applyBorder="1"/>
    <xf numFmtId="0" fontId="3" fillId="0" borderId="12" xfId="0" applyFont="1" applyBorder="1"/>
    <xf numFmtId="3" fontId="0" fillId="0" borderId="13" xfId="0" applyNumberFormat="1" applyBorder="1"/>
    <xf numFmtId="3" fontId="0" fillId="0" borderId="14" xfId="0" applyNumberFormat="1" applyBorder="1"/>
    <xf numFmtId="0" fontId="3" fillId="0" borderId="15" xfId="0" applyFont="1" applyBorder="1"/>
    <xf numFmtId="3" fontId="0" fillId="0" borderId="16" xfId="0" applyNumberFormat="1" applyBorder="1"/>
    <xf numFmtId="3" fontId="0" fillId="0" borderId="17" xfId="0" applyNumberFormat="1" applyBorder="1"/>
    <xf numFmtId="0" fontId="3" fillId="0" borderId="6" xfId="0" applyFont="1" applyBorder="1"/>
    <xf numFmtId="3" fontId="0" fillId="0" borderId="7" xfId="0" applyNumberFormat="1" applyBorder="1"/>
    <xf numFmtId="3" fontId="0" fillId="0" borderId="8" xfId="0" applyNumberFormat="1" applyBorder="1"/>
    <xf numFmtId="0" fontId="4" fillId="0" borderId="3" xfId="0" applyFont="1" applyBorder="1"/>
    <xf numFmtId="3" fontId="2" fillId="0" borderId="4" xfId="0" applyNumberFormat="1" applyFont="1" applyBorder="1"/>
    <xf numFmtId="3" fontId="2" fillId="0" borderId="5" xfId="0" applyNumberFormat="1" applyFont="1" applyBorder="1"/>
    <xf numFmtId="0" fontId="4" fillId="4" borderId="1" xfId="0" applyFont="1" applyFill="1" applyBorder="1"/>
    <xf numFmtId="3" fontId="3" fillId="4" borderId="1" xfId="0" applyNumberFormat="1" applyFont="1" applyFill="1" applyBorder="1" applyAlignment="1">
      <alignment horizontal="right"/>
    </xf>
    <xf numFmtId="3" fontId="3" fillId="0" borderId="2" xfId="0" applyNumberFormat="1" applyFont="1" applyBorder="1" applyAlignment="1">
      <alignment horizontal="right"/>
    </xf>
    <xf numFmtId="0" fontId="18" fillId="0" borderId="0" xfId="0" applyFont="1"/>
    <xf numFmtId="0" fontId="19" fillId="0" borderId="0" xfId="0" applyFont="1"/>
    <xf numFmtId="0" fontId="20" fillId="5" borderId="0" xfId="0" applyFont="1" applyFill="1"/>
    <xf numFmtId="0" fontId="0" fillId="5" borderId="0" xfId="0" applyFill="1"/>
    <xf numFmtId="0" fontId="21" fillId="0" borderId="0" xfId="0" applyFont="1"/>
    <xf numFmtId="0" fontId="22" fillId="6" borderId="0" xfId="0" applyFont="1" applyFill="1" applyAlignment="1">
      <alignment horizontal="center"/>
    </xf>
    <xf numFmtId="0" fontId="23" fillId="0" borderId="0" xfId="0" applyFont="1"/>
    <xf numFmtId="3" fontId="0" fillId="7" borderId="0" xfId="0" applyNumberFormat="1" applyFill="1"/>
    <xf numFmtId="9" fontId="0" fillId="7" borderId="0" xfId="0" applyNumberFormat="1" applyFill="1"/>
    <xf numFmtId="0" fontId="0" fillId="8" borderId="0" xfId="0" applyFill="1"/>
    <xf numFmtId="0" fontId="2" fillId="8" borderId="0" xfId="0" applyFont="1" applyFill="1"/>
    <xf numFmtId="0" fontId="23" fillId="8" borderId="0" xfId="0" applyFont="1" applyFill="1"/>
    <xf numFmtId="165" fontId="0" fillId="7" borderId="0" xfId="0" applyNumberFormat="1" applyFill="1"/>
    <xf numFmtId="2" fontId="0" fillId="0" borderId="0" xfId="0" applyNumberFormat="1"/>
    <xf numFmtId="2" fontId="0" fillId="7" borderId="0" xfId="0" applyNumberFormat="1" applyFill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 applyAlignment="1">
      <alignment horizontal="center"/>
    </xf>
    <xf numFmtId="0" fontId="20" fillId="5" borderId="0" xfId="0" applyFont="1" applyFill="1" applyAlignment="1">
      <alignment horizontal="center"/>
    </xf>
    <xf numFmtId="0" fontId="27" fillId="5" borderId="0" xfId="0" applyFont="1" applyFill="1" applyAlignment="1">
      <alignment horizontal="center"/>
    </xf>
    <xf numFmtId="0" fontId="29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3" fontId="27" fillId="0" borderId="0" xfId="0" applyNumberFormat="1" applyFont="1" applyAlignment="1">
      <alignment horizontal="center"/>
    </xf>
    <xf numFmtId="3" fontId="28" fillId="0" borderId="0" xfId="0" applyNumberFormat="1" applyFont="1" applyAlignment="1">
      <alignment horizontal="center"/>
    </xf>
    <xf numFmtId="0" fontId="30" fillId="8" borderId="0" xfId="0" applyFont="1" applyFill="1" applyAlignment="1">
      <alignment horizontal="center"/>
    </xf>
    <xf numFmtId="3" fontId="28" fillId="8" borderId="0" xfId="0" applyNumberFormat="1" applyFont="1" applyFill="1" applyAlignment="1">
      <alignment horizontal="center"/>
    </xf>
    <xf numFmtId="3" fontId="27" fillId="8" borderId="0" xfId="0" applyNumberFormat="1" applyFont="1" applyFill="1" applyAlignment="1">
      <alignment horizontal="center"/>
    </xf>
    <xf numFmtId="0" fontId="27" fillId="8" borderId="0" xfId="0" applyFont="1" applyFill="1" applyAlignment="1">
      <alignment horizontal="center"/>
    </xf>
    <xf numFmtId="165" fontId="28" fillId="8" borderId="0" xfId="0" applyNumberFormat="1" applyFont="1" applyFill="1" applyAlignment="1">
      <alignment horizontal="center"/>
    </xf>
    <xf numFmtId="165" fontId="27" fillId="8" borderId="0" xfId="0" applyNumberFormat="1" applyFont="1" applyFill="1" applyAlignment="1">
      <alignment horizontal="center"/>
    </xf>
    <xf numFmtId="0" fontId="31" fillId="0" borderId="0" xfId="0" applyFont="1"/>
    <xf numFmtId="165" fontId="1" fillId="0" borderId="0" xfId="0" applyNumberFormat="1" applyFont="1"/>
    <xf numFmtId="0" fontId="0" fillId="0" borderId="0" xfId="0" applyAlignment="1">
      <alignment horizontal="center"/>
    </xf>
    <xf numFmtId="165" fontId="2" fillId="0" borderId="0" xfId="0" applyNumberFormat="1" applyFont="1"/>
    <xf numFmtId="0" fontId="31" fillId="8" borderId="0" xfId="0" applyFont="1" applyFill="1"/>
    <xf numFmtId="165" fontId="1" fillId="8" borderId="0" xfId="0" applyNumberFormat="1" applyFont="1" applyFill="1"/>
    <xf numFmtId="165" fontId="0" fillId="8" borderId="0" xfId="0" applyNumberFormat="1" applyFill="1"/>
    <xf numFmtId="0" fontId="0" fillId="8" borderId="0" xfId="0" applyFill="1" applyAlignment="1">
      <alignment horizontal="center"/>
    </xf>
    <xf numFmtId="165" fontId="2" fillId="8" borderId="0" xfId="0" applyNumberFormat="1" applyFont="1" applyFill="1"/>
    <xf numFmtId="3" fontId="1" fillId="0" borderId="0" xfId="0" applyNumberFormat="1" applyFont="1"/>
    <xf numFmtId="3" fontId="1" fillId="8" borderId="0" xfId="0" applyNumberFormat="1" applyFont="1" applyFill="1"/>
    <xf numFmtId="3" fontId="0" fillId="8" borderId="0" xfId="0" applyNumberFormat="1" applyFill="1"/>
    <xf numFmtId="3" fontId="2" fillId="8" borderId="0" xfId="0" applyNumberFormat="1" applyFont="1" applyFill="1"/>
    <xf numFmtId="2" fontId="1" fillId="0" borderId="0" xfId="0" applyNumberFormat="1" applyFont="1"/>
    <xf numFmtId="2" fontId="2" fillId="0" borderId="0" xfId="0" applyNumberFormat="1" applyFont="1"/>
    <xf numFmtId="2" fontId="1" fillId="8" borderId="0" xfId="0" applyNumberFormat="1" applyFont="1" applyFill="1"/>
    <xf numFmtId="2" fontId="0" fillId="8" borderId="0" xfId="0" applyNumberFormat="1" applyFill="1"/>
    <xf numFmtId="2" fontId="2" fillId="8" borderId="0" xfId="0" applyNumberFormat="1" applyFont="1" applyFill="1"/>
    <xf numFmtId="1" fontId="0" fillId="0" borderId="0" xfId="0" applyNumberFormat="1"/>
    <xf numFmtId="1" fontId="1" fillId="0" borderId="0" xfId="0" applyNumberFormat="1" applyFont="1"/>
    <xf numFmtId="1" fontId="2" fillId="0" borderId="0" xfId="0" applyNumberFormat="1" applyFont="1"/>
    <xf numFmtId="1" fontId="1" fillId="8" borderId="0" xfId="0" applyNumberFormat="1" applyFont="1" applyFill="1"/>
    <xf numFmtId="1" fontId="0" fillId="8" borderId="0" xfId="0" applyNumberFormat="1" applyFill="1"/>
    <xf numFmtId="1" fontId="2" fillId="8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BAEEB-D227-44AC-945E-D8F4E05CD8B2}">
  <sheetPr>
    <tabColor rgb="FF27AE60"/>
  </sheetPr>
  <dimension ref="B2:T46"/>
  <sheetViews>
    <sheetView showGridLines="0" workbookViewId="0"/>
  </sheetViews>
  <sheetFormatPr defaultRowHeight="15" x14ac:dyDescent="0.25"/>
  <cols>
    <col min="1" max="1" width="3.7109375" customWidth="1"/>
    <col min="2" max="2" width="22.7109375" customWidth="1"/>
    <col min="3" max="3" width="14.7109375" customWidth="1"/>
    <col min="4" max="4" width="12.7109375" customWidth="1"/>
    <col min="5" max="5" width="8.7109375" customWidth="1"/>
    <col min="6" max="6" width="3.7109375" customWidth="1"/>
    <col min="7" max="7" width="14.7109375" customWidth="1"/>
    <col min="8" max="8" width="12.7109375" customWidth="1"/>
    <col min="9" max="9" width="8.7109375" customWidth="1"/>
    <col min="10" max="10" width="3.7109375" customWidth="1"/>
    <col min="11" max="11" width="10.7109375" customWidth="1"/>
  </cols>
  <sheetData>
    <row r="2" spans="2:20" ht="36" x14ac:dyDescent="0.55000000000000004">
      <c r="B2" s="76" t="s">
        <v>224</v>
      </c>
      <c r="C2" s="76"/>
      <c r="D2" s="76"/>
      <c r="E2" s="76"/>
      <c r="F2" s="76"/>
      <c r="G2" s="76"/>
      <c r="H2" s="76"/>
      <c r="I2" s="76"/>
      <c r="J2" s="76"/>
      <c r="K2" s="76"/>
      <c r="L2" s="76"/>
    </row>
    <row r="3" spans="2:20" ht="21" x14ac:dyDescent="0.35">
      <c r="B3" s="77" t="s">
        <v>428</v>
      </c>
      <c r="C3" s="77"/>
      <c r="D3" s="77"/>
      <c r="E3" s="77"/>
      <c r="F3" s="77"/>
      <c r="G3" s="77"/>
      <c r="H3" s="77"/>
      <c r="I3" s="77"/>
      <c r="J3" s="77"/>
      <c r="K3" s="77"/>
      <c r="L3" s="77"/>
    </row>
    <row r="4" spans="2:20" x14ac:dyDescent="0.25">
      <c r="B4" s="78" t="s">
        <v>429</v>
      </c>
    </row>
    <row r="5" spans="2:20" x14ac:dyDescent="0.25">
      <c r="B5" s="78" t="s">
        <v>430</v>
      </c>
    </row>
    <row r="7" spans="2:20" x14ac:dyDescent="0.25">
      <c r="B7" s="79" t="s">
        <v>382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</row>
    <row r="8" spans="2:20" x14ac:dyDescent="0.25"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</row>
    <row r="9" spans="2:20" x14ac:dyDescent="0.25"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</row>
    <row r="10" spans="2:20" x14ac:dyDescent="0.25"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</row>
    <row r="11" spans="2:20" x14ac:dyDescent="0.25"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</row>
    <row r="12" spans="2:20" x14ac:dyDescent="0.25">
      <c r="B12" s="80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79"/>
      <c r="N12" s="79"/>
      <c r="O12" s="79"/>
      <c r="P12" s="79"/>
      <c r="Q12" s="79"/>
      <c r="R12" s="79"/>
      <c r="S12" s="79"/>
      <c r="T12" s="79"/>
    </row>
    <row r="13" spans="2:20" x14ac:dyDescent="0.25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79"/>
      <c r="M13" s="79"/>
      <c r="N13" s="79"/>
      <c r="O13" s="79"/>
      <c r="P13" s="79"/>
      <c r="Q13" s="79"/>
      <c r="R13" s="79"/>
      <c r="S13" s="79"/>
      <c r="T13" s="79"/>
    </row>
    <row r="14" spans="2:20" x14ac:dyDescent="0.25">
      <c r="B14" s="86"/>
      <c r="C14" s="87"/>
      <c r="D14" s="88"/>
      <c r="E14" s="89"/>
      <c r="F14" s="79"/>
      <c r="G14" s="88"/>
      <c r="H14" s="88"/>
      <c r="I14" s="89"/>
      <c r="J14" s="79"/>
      <c r="K14" s="89"/>
      <c r="L14" s="79"/>
      <c r="M14" s="79"/>
      <c r="N14" s="79"/>
      <c r="O14" s="79"/>
      <c r="P14" s="79"/>
      <c r="Q14" s="79"/>
      <c r="R14" s="79"/>
      <c r="S14" s="79"/>
      <c r="T14" s="79"/>
    </row>
    <row r="15" spans="2:20" x14ac:dyDescent="0.25">
      <c r="B15" s="83"/>
      <c r="C15" s="85"/>
      <c r="D15" s="84"/>
      <c r="E15" s="79"/>
      <c r="F15" s="79"/>
      <c r="G15" s="84"/>
      <c r="H15" s="84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</row>
    <row r="16" spans="2:20" x14ac:dyDescent="0.25">
      <c r="B16" s="86"/>
      <c r="C16" s="90"/>
      <c r="D16" s="91"/>
      <c r="E16" s="89"/>
      <c r="F16" s="79"/>
      <c r="G16" s="91"/>
      <c r="H16" s="91"/>
      <c r="I16" s="89"/>
      <c r="J16" s="79"/>
      <c r="K16" s="89"/>
      <c r="L16" s="79"/>
      <c r="M16" s="79"/>
      <c r="N16" s="79"/>
      <c r="O16" s="79"/>
      <c r="P16" s="79"/>
      <c r="Q16" s="79"/>
      <c r="R16" s="79"/>
      <c r="S16" s="79"/>
      <c r="T16" s="79"/>
    </row>
    <row r="17" spans="2:20" x14ac:dyDescent="0.25">
      <c r="B17" s="83"/>
      <c r="C17" s="85"/>
      <c r="D17" s="84"/>
      <c r="E17" s="79"/>
      <c r="F17" s="79"/>
      <c r="G17" s="84"/>
      <c r="H17" s="84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</row>
    <row r="18" spans="2:20" ht="18.75" x14ac:dyDescent="0.3">
      <c r="B18" s="96" t="s">
        <v>389</v>
      </c>
      <c r="C18" s="97">
        <f>IFERROR(SUMIF(Source_PL!$A:$A,"Net Income",Source_PL!M:M)/SUMIF(Source_PL!$A:$A,"Total for Income",Source_PL!M:M),0)</f>
        <v>-0.26569200014758376</v>
      </c>
      <c r="D18" s="98">
        <f>Dashboard_Control!E18</f>
        <v>0.1</v>
      </c>
      <c r="E18" s="99" t="str">
        <f>IF(C18&gt;=D18,"G",IF(C18&gt;=D18*0.8,"Y","R"))</f>
        <v>R</v>
      </c>
      <c r="G18" s="100">
        <f>IFERROR(SUMIF(Source_PL!$A:$A,"Net Income",Source_PL!$B:M)/SUMIF(Source_PL!$A:$A,"Total for Income",Source_PL!$B:M),0)</f>
        <v>-3.2731159509156007</v>
      </c>
      <c r="H18" s="98">
        <f>D18</f>
        <v>0.1</v>
      </c>
      <c r="I18" s="99" t="str">
        <f>IF(G18&gt;=H18,"G",IF(G18&gt;=H18*0.8,"Y","R"))</f>
        <v>R</v>
      </c>
      <c r="K18" s="99" t="str">
        <f>IF(C18&gt;G18*1.05,"UP",IF(C18&lt;G18*0.95,"DOWN","FLAT"))</f>
        <v>UP</v>
      </c>
    </row>
    <row r="19" spans="2:20" ht="18.75" x14ac:dyDescent="0.3">
      <c r="B19" s="92" t="s">
        <v>391</v>
      </c>
      <c r="C19" s="101">
        <f>SUMIF(Source_PL!$A:$A,"Net Income",Source_PL!M:M)+ABS(SUMIF(Source_PL!$A:$A,"8000 Interest Expense",Source_PL!M:M))+ABS(SUMIF(Source_PL!$A:$A,"6090 Depreciation Expense",Source_PL!M:M))</f>
        <v>60019.229999999836</v>
      </c>
      <c r="D19" s="6">
        <f>Dashboard_Control!E19</f>
        <v>0</v>
      </c>
      <c r="E19" s="94" t="str">
        <f>IF(C19&gt;=D19,"G",IF(C19&gt;=D19*0.8,"Y","R"))</f>
        <v>G</v>
      </c>
      <c r="G19" s="39">
        <f>SUMIF(Source_PL!$A:$A,"Net Income",Source_PL!$B:M)+ABS(SUMIF(Source_PL!$A:$A,"8000 Interest Expense",Source_PL!$B:M))+ABS(SUMIF(Source_PL!$A:$A,"6090 Depreciation Expense",Source_PL!$B:M))</f>
        <v>-535226.23999999987</v>
      </c>
      <c r="H19" s="6">
        <f>D19*12</f>
        <v>0</v>
      </c>
      <c r="I19" s="94" t="str">
        <f>IF(G19&gt;=H19,"G",IF(G19&gt;=H19*0.8,"Y","R"))</f>
        <v>R</v>
      </c>
      <c r="K19" s="94" t="str">
        <f>IF(C19&gt;G19*1.05,"UP",IF(C19&lt;G19*0.95,"DOWN","FLAT"))</f>
        <v>UP</v>
      </c>
    </row>
    <row r="20" spans="2:20" ht="18.75" x14ac:dyDescent="0.3">
      <c r="B20" s="96" t="s">
        <v>393</v>
      </c>
      <c r="C20" s="102">
        <f>SUMIF(Source_PL!$A:$A,"Net Operating Income",Source_PL!M:M)</f>
        <v>-118345.68000000017</v>
      </c>
      <c r="D20" s="103">
        <f>Dashboard_Control!E20</f>
        <v>0</v>
      </c>
      <c r="E20" s="99" t="str">
        <f>IF(C20&gt;=D20,"G",IF(C20&gt;=D20*0.8,"Y","R"))</f>
        <v>R</v>
      </c>
      <c r="G20" s="104">
        <f>SUMIF(Source_PL!$A:$A,"Net Operating Income",Source_PL!$B:M)</f>
        <v>-541938.17999999993</v>
      </c>
      <c r="H20" s="103">
        <f>D20*12</f>
        <v>0</v>
      </c>
      <c r="I20" s="99" t="str">
        <f>IF(G20&gt;=H20,"G",IF(G20&gt;=H20*0.8,"Y","R"))</f>
        <v>R</v>
      </c>
      <c r="K20" s="99" t="str">
        <f>IF(C20&gt;G20*1.05,"UP",IF(C20&lt;G20*0.95,"DOWN","FLAT"))</f>
        <v>UP</v>
      </c>
    </row>
    <row r="21" spans="2:20" ht="18.75" x14ac:dyDescent="0.3">
      <c r="B21" s="92" t="s">
        <v>395</v>
      </c>
      <c r="C21" s="93">
        <f>IFERROR(SUMIF(Source_PL!$A:$A,"Net Operating Income",Source_PL!M:M)/SUMIF(Source_PL!$A:$A,"Total for Income",Source_PL!M:M),0)</f>
        <v>-0.16533383082913894</v>
      </c>
      <c r="D21" s="29">
        <f>Dashboard_Control!E21</f>
        <v>0.12</v>
      </c>
      <c r="E21" s="94" t="str">
        <f>IF(C21&gt;=D21,"G",IF(C21&gt;=D21*0.8,"Y","R"))</f>
        <v>R</v>
      </c>
      <c r="G21" s="95">
        <f>IFERROR(SUMIF(Source_PL!$A:$A,"Net Operating Income",Source_PL!$B:M)/SUMIF(Source_PL!$A:$A,"Total for Income",Source_PL!$B:M),0)</f>
        <v>-3.2820123089501054</v>
      </c>
      <c r="H21" s="29">
        <f>D21</f>
        <v>0.12</v>
      </c>
      <c r="I21" s="94" t="str">
        <f>IF(G21&gt;=H21,"G",IF(G21&gt;=H21*0.8,"Y","R"))</f>
        <v>R</v>
      </c>
      <c r="K21" s="94" t="str">
        <f>IF(C21&gt;G21*1.05,"UP",IF(C21&lt;G21*0.95,"DOWN","FLAT"))</f>
        <v>UP</v>
      </c>
    </row>
    <row r="23" spans="2:20" ht="18.75" x14ac:dyDescent="0.3">
      <c r="B23" s="63" t="s">
        <v>431</v>
      </c>
      <c r="C23" s="64"/>
      <c r="D23" s="64"/>
      <c r="E23" s="64"/>
      <c r="F23" s="64"/>
      <c r="G23" s="64"/>
      <c r="H23" s="64"/>
      <c r="I23" s="64"/>
      <c r="J23" s="64"/>
      <c r="K23" s="64"/>
      <c r="L23" s="64"/>
    </row>
    <row r="24" spans="2:20" x14ac:dyDescent="0.25">
      <c r="B24" s="66" t="s">
        <v>432</v>
      </c>
      <c r="C24" s="66" t="s">
        <v>433</v>
      </c>
      <c r="D24" s="66" t="s">
        <v>377</v>
      </c>
      <c r="E24" s="66" t="s">
        <v>434</v>
      </c>
      <c r="F24" s="66"/>
      <c r="G24" s="66" t="s">
        <v>340</v>
      </c>
      <c r="H24" s="66" t="s">
        <v>377</v>
      </c>
      <c r="I24" s="66" t="s">
        <v>434</v>
      </c>
      <c r="J24" s="66"/>
      <c r="K24" s="66" t="s">
        <v>435</v>
      </c>
    </row>
    <row r="25" spans="2:20" ht="18.75" x14ac:dyDescent="0.3">
      <c r="B25" s="92" t="s">
        <v>398</v>
      </c>
      <c r="C25" s="105">
        <f>IFERROR(SUMIF(Source_BS!$A:$A,"Total for Current Assets",Source_BS!M:M)/SUMIF(Source_BS!$A:$A,"Total for Current Liabilities",Source_BS!M:M),0)</f>
        <v>0.87457812352431208</v>
      </c>
      <c r="D25" s="74">
        <f>Dashboard_Control!E22</f>
        <v>1.5</v>
      </c>
      <c r="E25" s="94" t="str">
        <f>IF(C25&gt;=D25,"G",IF(C25&gt;=D25*0.8,"Y","R"))</f>
        <v>R</v>
      </c>
      <c r="G25" s="106">
        <f>IFERROR(SUMIF(Source_BS!$A:$A,"Total for Current Assets",Source_BS!M:M)/SUMIF(Source_BS!$A:$A,"Total for Current Liabilities",Source_BS!M:M),0)</f>
        <v>0.87457812352431208</v>
      </c>
      <c r="H25" s="74">
        <f>D25</f>
        <v>1.5</v>
      </c>
      <c r="I25" s="94" t="str">
        <f>IF(G25&gt;=H25,"G",IF(G25&gt;=H25*0.8,"Y","R"))</f>
        <v>R</v>
      </c>
      <c r="K25" s="94" t="str">
        <f>IF(C25&gt;G25*1.05,"UP",IF(C25&lt;G25*0.95,"DOWN","FLAT"))</f>
        <v>FLAT</v>
      </c>
    </row>
    <row r="26" spans="2:20" ht="18.75" x14ac:dyDescent="0.3">
      <c r="B26" s="96" t="s">
        <v>400</v>
      </c>
      <c r="C26" s="107">
        <f>IFERROR(SUMIF(Source_BS!$A:$A,"Total for Current Assets",Source_BS!M:M)/SUMIF(Source_BS!$A:$A,"Total for Current Liabilities",Source_BS!M:M),0)</f>
        <v>0.87457812352431208</v>
      </c>
      <c r="D26" s="108">
        <f>Dashboard_Control!E23</f>
        <v>1</v>
      </c>
      <c r="E26" s="99" t="str">
        <f>IF(C26&gt;=D26,"G",IF(C26&gt;=D26*0.8,"Y","R"))</f>
        <v>Y</v>
      </c>
      <c r="G26" s="109">
        <f>IFERROR(SUMIF(Source_BS!$A:$A,"Total for Current Assets",Source_BS!M:M)/SUMIF(Source_BS!$A:$A,"Total for Current Liabilities",Source_BS!M:M),0)</f>
        <v>0.87457812352431208</v>
      </c>
      <c r="H26" s="108">
        <f>D26</f>
        <v>1</v>
      </c>
      <c r="I26" s="99" t="str">
        <f>IF(G26&gt;=H26,"G",IF(G26&gt;=H26*0.8,"Y","R"))</f>
        <v>Y</v>
      </c>
      <c r="K26" s="99" t="str">
        <f>IF(C26&gt;G26*1.05,"UP",IF(C26&lt;G26*0.95,"DOWN","FLAT"))</f>
        <v>FLAT</v>
      </c>
    </row>
    <row r="27" spans="2:20" ht="18.75" x14ac:dyDescent="0.3">
      <c r="B27" s="92" t="s">
        <v>402</v>
      </c>
      <c r="C27" s="105">
        <f>IFERROR(SUMIF(Source_BS!$A:$A,"Total for Bank Accounts",Source_BS!M:M)/SUMIF(Source_BS!$A:$A,"Total for Current Liabilities",Source_BS!M:M),0)</f>
        <v>0.79883263246985659</v>
      </c>
      <c r="D27" s="74">
        <f>Dashboard_Control!E24</f>
        <v>0.2</v>
      </c>
      <c r="E27" s="94" t="str">
        <f>IF(C27&gt;=D27,"G",IF(C27&gt;=D27*0.8,"Y","R"))</f>
        <v>G</v>
      </c>
      <c r="G27" s="106">
        <f>IFERROR(SUMIF(Source_BS!$A:$A,"Total for Bank Accounts",Source_BS!M:M)/SUMIF(Source_BS!$A:$A,"Total for Current Liabilities",Source_BS!M:M),0)</f>
        <v>0.79883263246985659</v>
      </c>
      <c r="H27" s="74">
        <f>D27</f>
        <v>0.2</v>
      </c>
      <c r="I27" s="94" t="str">
        <f>IF(G27&gt;=H27,"G",IF(G27&gt;=H27*0.8,"Y","R"))</f>
        <v>G</v>
      </c>
      <c r="K27" s="94" t="str">
        <f>IF(C27&gt;G27*1.05,"UP",IF(C27&lt;G27*0.95,"DOWN","FLAT"))</f>
        <v>FLAT</v>
      </c>
    </row>
    <row r="28" spans="2:20" ht="18.75" x14ac:dyDescent="0.3">
      <c r="B28" s="96" t="s">
        <v>404</v>
      </c>
      <c r="C28" s="102">
        <f>SUMIF(Source_BS!$A:$A,"Total for Current Assets",Source_BS!M:M)-SUMIF(Source_BS!$A:$A,"Total for Current Liabilities",Source_BS!M:M)</f>
        <v>-66293.87</v>
      </c>
      <c r="D28" s="103">
        <f>Dashboard_Control!E25</f>
        <v>0</v>
      </c>
      <c r="E28" s="99" t="str">
        <f>IF(C28&gt;=D28,"G",IF(C28&gt;=D28*0.8,"Y","R"))</f>
        <v>R</v>
      </c>
      <c r="G28" s="104">
        <f>SUMIF(Source_BS!$A:$A,"Total for Current Assets",Source_BS!M:M)-SUMIF(Source_BS!$A:$A,"Total for Current Liabilities",Source_BS!M:M)</f>
        <v>-66293.87</v>
      </c>
      <c r="H28" s="103">
        <f>D28*12</f>
        <v>0</v>
      </c>
      <c r="I28" s="99" t="str">
        <f>IF(G28&gt;=H28,"G",IF(G28&gt;=H28*0.8,"Y","R"))</f>
        <v>R</v>
      </c>
      <c r="K28" s="99" t="str">
        <f>IF(C28&gt;G28*1.05,"UP",IF(C28&lt;G28*0.95,"DOWN","FLAT"))</f>
        <v>UP</v>
      </c>
    </row>
    <row r="29" spans="2:20" ht="18.75" x14ac:dyDescent="0.3">
      <c r="B29" s="92" t="s">
        <v>406</v>
      </c>
      <c r="C29" s="101">
        <f>SUMIF(Source_BS!$A:$A,"Total for Bank Accounts",Source_BS!M:M)</f>
        <v>422236.60000000003</v>
      </c>
      <c r="D29" s="6">
        <f>Dashboard_Control!E26</f>
        <v>0</v>
      </c>
      <c r="E29" s="94" t="str">
        <f>IF(C29&gt;=D29,"G",IF(C29&gt;=D29*0.8,"Y","R"))</f>
        <v>G</v>
      </c>
      <c r="G29" s="39">
        <f>SUMIF(Source_BS!$A:$A,"Total for Bank Accounts",Source_BS!$B:M)</f>
        <v>313403.98</v>
      </c>
      <c r="H29" s="6">
        <f>D29*12</f>
        <v>0</v>
      </c>
      <c r="I29" s="94" t="str">
        <f>IF(G29&gt;=H29,"G",IF(G29&gt;=H29*0.8,"Y","R"))</f>
        <v>G</v>
      </c>
      <c r="K29" s="94" t="str">
        <f>IF(C29&gt;G29*1.05,"UP",IF(C29&lt;G29*0.95,"DOWN","FLAT"))</f>
        <v>UP</v>
      </c>
    </row>
    <row r="31" spans="2:20" ht="18.75" x14ac:dyDescent="0.3">
      <c r="B31" s="63" t="s">
        <v>436</v>
      </c>
      <c r="C31" s="64"/>
      <c r="D31" s="64"/>
      <c r="E31" s="64"/>
      <c r="F31" s="64"/>
      <c r="G31" s="64"/>
      <c r="H31" s="64"/>
      <c r="I31" s="64"/>
      <c r="J31" s="64"/>
      <c r="K31" s="64"/>
      <c r="L31" s="64"/>
    </row>
    <row r="32" spans="2:20" x14ac:dyDescent="0.25">
      <c r="B32" s="66" t="s">
        <v>432</v>
      </c>
      <c r="C32" s="66" t="s">
        <v>433</v>
      </c>
      <c r="D32" s="66" t="s">
        <v>377</v>
      </c>
      <c r="E32" s="66" t="s">
        <v>434</v>
      </c>
      <c r="F32" s="66"/>
      <c r="G32" s="66" t="s">
        <v>340</v>
      </c>
      <c r="H32" s="66" t="s">
        <v>377</v>
      </c>
      <c r="I32" s="66" t="s">
        <v>434</v>
      </c>
      <c r="J32" s="66"/>
      <c r="K32" s="66" t="s">
        <v>435</v>
      </c>
    </row>
    <row r="33" spans="2:12" ht="18.75" x14ac:dyDescent="0.3">
      <c r="B33" s="92" t="s">
        <v>409</v>
      </c>
      <c r="C33" s="111">
        <f>IFERROR(SUMIF(Source_BS!$A:$A,"Total for Accounts Receivable",Source_BS!M:M)/SUMIF(Source_PL!$A:$A,"Total for Income",Source_PL!M:M)*30,0)</f>
        <v>0</v>
      </c>
      <c r="D33" s="110">
        <f>Dashboard_Control!E27</f>
        <v>45</v>
      </c>
      <c r="E33" s="94" t="str">
        <f>IF(C33&lt;=D33,"G",IF(C33&lt;=D33*1.2,"Y","R"))</f>
        <v>G</v>
      </c>
      <c r="G33" s="112">
        <f>IFERROR(SUMIF(Source_BS!$A:$A,"Total for Accounts Receivable",Source_BS!M:M)/((SUMIF(Source_PL!$A:$A,"Total for Income",Source_PL!$B:M))/12)*30,0)</f>
        <v>0</v>
      </c>
      <c r="H33" s="110">
        <f>D33</f>
        <v>45</v>
      </c>
      <c r="I33" s="94" t="str">
        <f>IF(G33&lt;=H33,"G",IF(G33&lt;=H33*1.2,"Y","R"))</f>
        <v>G</v>
      </c>
      <c r="K33" s="94" t="str">
        <f>IF(C33&gt;G33*1.05,"UP",IF(C33&lt;G33*0.95,"DOWN","FLAT"))</f>
        <v>FLAT</v>
      </c>
    </row>
    <row r="34" spans="2:12" ht="18.75" x14ac:dyDescent="0.3">
      <c r="B34" s="96" t="s">
        <v>412</v>
      </c>
      <c r="C34" s="113">
        <f>IFERROR(SUMIF(Source_BS!$A:$A,"Total for Credit Cards",Source_BS!M:M)/SUMIF(Source_PL!$A:$A,"Total for Cost of Sales",Source_PL!M:M)*30,0)</f>
        <v>7.8128985507310915</v>
      </c>
      <c r="D34" s="114">
        <f>Dashboard_Control!E28</f>
        <v>30</v>
      </c>
      <c r="E34" s="99" t="str">
        <f>IF(C34&gt;=D34,"G",IF(C34&gt;=D34*0.8,"Y","R"))</f>
        <v>R</v>
      </c>
      <c r="G34" s="115">
        <f>IFERROR(SUMIF(Source_BS!$A:$A,"Total for Credit Cards",Source_BS!M:M)/((SUMIF(Source_PL!$A:$A,"Total for Cost of Sales",Source_PL!$B:M))/12)*30,0)</f>
        <v>48.717513639622737</v>
      </c>
      <c r="H34" s="114">
        <f>D34</f>
        <v>30</v>
      </c>
      <c r="I34" s="99" t="str">
        <f>IF(G34&gt;=H34,"G",IF(G34&gt;=H34*0.8,"Y","R"))</f>
        <v>G</v>
      </c>
      <c r="K34" s="99" t="str">
        <f>IF(C34&gt;G34*1.05,"UP",IF(C34&lt;G34*0.95,"DOWN","FLAT"))</f>
        <v>DOWN</v>
      </c>
    </row>
    <row r="35" spans="2:12" ht="18.75" x14ac:dyDescent="0.3">
      <c r="B35" s="92" t="s">
        <v>414</v>
      </c>
      <c r="C35" s="105">
        <f>IFERROR(SUMIF(Source_PL!$A:$A,"Total for Income",Source_PL!M:M)/SUMIF(Source_BS!$A:$A,"Total for Assets",Source_BS!M:M),0)</f>
        <v>0.46300855120185352</v>
      </c>
      <c r="D35" s="74">
        <f>Dashboard_Control!E29</f>
        <v>1</v>
      </c>
      <c r="E35" s="94" t="str">
        <f>IF(C35&gt;=D35,"G",IF(C35&gt;=D35*0.8,"Y","R"))</f>
        <v>R</v>
      </c>
      <c r="G35" s="106">
        <f>IFERROR(SUMIF(Source_PL!$A:$A,"Total for Income",Source_PL!$B:M)/SUMIF(Source_BS!$A:$A,"Total for Assets",Source_BS!M:M),0)</f>
        <v>0.10680900618546717</v>
      </c>
      <c r="H35" s="74">
        <f>D35*12</f>
        <v>12</v>
      </c>
      <c r="I35" s="94" t="str">
        <f>IF(G35&gt;=H35,"G",IF(G35&gt;=H35*0.8,"Y","R"))</f>
        <v>R</v>
      </c>
      <c r="K35" s="94" t="str">
        <f>IF(C35&gt;G35*1.05,"UP",IF(C35&lt;G35*0.95,"DOWN","FLAT"))</f>
        <v>UP</v>
      </c>
    </row>
    <row r="37" spans="2:12" ht="18.75" x14ac:dyDescent="0.3">
      <c r="B37" s="63" t="s">
        <v>437</v>
      </c>
      <c r="C37" s="64"/>
      <c r="D37" s="64"/>
      <c r="E37" s="64"/>
      <c r="F37" s="64"/>
      <c r="G37" s="64"/>
      <c r="H37" s="64"/>
      <c r="I37" s="64"/>
      <c r="J37" s="64"/>
      <c r="K37" s="64"/>
      <c r="L37" s="64"/>
    </row>
    <row r="38" spans="2:12" x14ac:dyDescent="0.25">
      <c r="B38" s="66" t="s">
        <v>432</v>
      </c>
      <c r="C38" s="66" t="s">
        <v>433</v>
      </c>
      <c r="D38" s="66" t="s">
        <v>377</v>
      </c>
      <c r="E38" s="66" t="s">
        <v>434</v>
      </c>
      <c r="F38" s="66"/>
      <c r="G38" s="66" t="s">
        <v>340</v>
      </c>
      <c r="H38" s="66" t="s">
        <v>377</v>
      </c>
      <c r="I38" s="66" t="s">
        <v>434</v>
      </c>
      <c r="J38" s="66"/>
      <c r="K38" s="66" t="s">
        <v>435</v>
      </c>
    </row>
    <row r="39" spans="2:12" ht="18.75" x14ac:dyDescent="0.3">
      <c r="B39" s="92" t="s">
        <v>417</v>
      </c>
      <c r="C39" s="105">
        <f>IFERROR(SUMIF(Source_BS!$A:$A,"Total for Liabilities",Source_BS!M:M)/SUMIF(Source_BS!$A:$A,"Total for Equity",Source_BS!M:M),0)</f>
        <v>-17.691149547511536</v>
      </c>
      <c r="D39" s="74">
        <f>Dashboard_Control!E30</f>
        <v>1</v>
      </c>
      <c r="E39" s="94" t="str">
        <f>IF(C39&lt;=D39,"G",IF(C39&lt;=D39*1.2,"Y","R"))</f>
        <v>G</v>
      </c>
      <c r="G39" s="106">
        <f>IFERROR(SUMIF(Source_BS!$A:$A,"Total for Liabilities",Source_BS!M:M)/SUMIF(Source_BS!$A:$A,"Total for Equity",Source_BS!M:M),0)</f>
        <v>-17.691149547511536</v>
      </c>
      <c r="H39" s="74">
        <f>D39</f>
        <v>1</v>
      </c>
      <c r="I39" s="94" t="str">
        <f>IF(G39&lt;=H39,"G",IF(G39&lt;=H39*1.2,"Y","R"))</f>
        <v>G</v>
      </c>
      <c r="K39" s="94" t="str">
        <f>IF(C39&gt;G39*1.05,"UP",IF(C39&lt;G39*0.95,"DOWN","FLAT"))</f>
        <v>UP</v>
      </c>
    </row>
    <row r="40" spans="2:12" ht="18.75" x14ac:dyDescent="0.3">
      <c r="B40" s="96" t="s">
        <v>419</v>
      </c>
      <c r="C40" s="97">
        <f>IFERROR(SUMIF(Source_BS!$A:$A,"Total for Liabilities",Source_BS!M:M)/SUMIF(Source_BS!$A:$A,"Total for Assets",Source_BS!M:M),0)</f>
        <v>1.0599119909119192</v>
      </c>
      <c r="D40" s="98">
        <f>Dashboard_Control!E31</f>
        <v>0.5</v>
      </c>
      <c r="E40" s="99" t="str">
        <f>IF(C40&lt;=D40,"G",IF(C40&lt;=D40*1.2,"Y","R"))</f>
        <v>R</v>
      </c>
      <c r="G40" s="100">
        <f>IFERROR(SUMIF(Source_BS!$A:$A,"Total for Liabilities",Source_BS!M:M)/SUMIF(Source_BS!$A:$A,"Total for Assets",Source_BS!M:M),0)</f>
        <v>1.0599119909119192</v>
      </c>
      <c r="H40" s="98">
        <f>D40</f>
        <v>0.5</v>
      </c>
      <c r="I40" s="99" t="str">
        <f>IF(G40&lt;=H40,"G",IF(G40&lt;=H40*1.2,"Y","R"))</f>
        <v>R</v>
      </c>
      <c r="K40" s="99" t="str">
        <f>IF(C40&gt;G40*1.05,"UP",IF(C40&lt;G40*0.95,"DOWN","FLAT"))</f>
        <v>FLAT</v>
      </c>
    </row>
    <row r="41" spans="2:12" ht="18.75" x14ac:dyDescent="0.3">
      <c r="B41" s="92" t="s">
        <v>421</v>
      </c>
      <c r="C41" s="93">
        <f>IFERROR(SUMIF(Source_BS!$A:$A,"Total for Equity",Source_BS!M:M)/SUMIF(Source_BS!$A:$A,"Total for Assets",Source_BS!M:M),0)</f>
        <v>-5.9911990911919462E-2</v>
      </c>
      <c r="D41" s="29">
        <f>Dashboard_Control!E32</f>
        <v>0.5</v>
      </c>
      <c r="E41" s="94" t="str">
        <f>IF(C41&gt;=D41,"G",IF(C41&gt;=D41*0.8,"Y","R"))</f>
        <v>R</v>
      </c>
      <c r="G41" s="95">
        <f>IFERROR(SUMIF(Source_BS!$A:$A,"Total for Equity",Source_BS!M:M)/SUMIF(Source_BS!$A:$A,"Total for Assets",Source_BS!M:M),0)</f>
        <v>-5.9911990911919462E-2</v>
      </c>
      <c r="H41" s="29">
        <f>D41</f>
        <v>0.5</v>
      </c>
      <c r="I41" s="94" t="str">
        <f>IF(G41&gt;=H41,"G",IF(G41&gt;=H41*0.8,"Y","R"))</f>
        <v>R</v>
      </c>
      <c r="K41" s="94" t="str">
        <f>IF(C41&gt;G41*1.05,"UP",IF(C41&lt;G41*0.95,"DOWN","FLAT"))</f>
        <v>UP</v>
      </c>
    </row>
    <row r="43" spans="2:12" ht="18.75" x14ac:dyDescent="0.3">
      <c r="B43" s="63" t="s">
        <v>438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25">
      <c r="B44" s="66" t="s">
        <v>432</v>
      </c>
      <c r="C44" s="66" t="s">
        <v>433</v>
      </c>
      <c r="D44" s="66" t="s">
        <v>377</v>
      </c>
      <c r="E44" s="66" t="s">
        <v>434</v>
      </c>
      <c r="F44" s="66"/>
      <c r="G44" s="66" t="s">
        <v>340</v>
      </c>
      <c r="H44" s="66" t="s">
        <v>377</v>
      </c>
      <c r="I44" s="66" t="s">
        <v>434</v>
      </c>
      <c r="J44" s="66"/>
      <c r="K44" s="66" t="s">
        <v>435</v>
      </c>
    </row>
    <row r="45" spans="2:12" ht="18.75" x14ac:dyDescent="0.3">
      <c r="B45" s="92" t="s">
        <v>424</v>
      </c>
      <c r="C45" s="101">
        <f>SUMIF(Source_PL!$A:$A,"Net Income",Source_PL!M:M)+ABS(SUMIF(Source_PL!$A:$A,"6090 Depreciation Expense",Source_PL!M:M))</f>
        <v>54320.999999999825</v>
      </c>
      <c r="D45" s="6">
        <f>Dashboard_Control!E33</f>
        <v>0</v>
      </c>
      <c r="E45" s="94" t="str">
        <f>IF(C45&gt;=D45,"G",IF(C45&gt;=D45*0.8,"Y","R"))</f>
        <v>G</v>
      </c>
      <c r="G45" s="39">
        <f>SUMIF(Source_PL!$A:$A,"Net Income",Source_PL!$B:M)+ABS(SUMIF(Source_PL!$A:$A,"6090 Depreciation Expense",Source_PL!$B:M))</f>
        <v>-540314.37999999989</v>
      </c>
      <c r="H45" s="6">
        <f>D45*12</f>
        <v>0</v>
      </c>
      <c r="I45" s="94" t="str">
        <f>IF(G45&gt;=H45,"G",IF(G45&gt;=H45*0.8,"Y","R"))</f>
        <v>R</v>
      </c>
      <c r="K45" s="94" t="str">
        <f>IF(C45&gt;G45*1.05,"UP",IF(C45&lt;G45*0.95,"DOWN","FLAT"))</f>
        <v>UP</v>
      </c>
    </row>
    <row r="46" spans="2:12" ht="18.75" x14ac:dyDescent="0.3">
      <c r="B46" s="96" t="s">
        <v>426</v>
      </c>
      <c r="C46" s="102">
        <f>SUMIF(Source_PL!$A:$A,"Net Income",Source_PL!M:M)+ABS(SUMIF(Source_PL!$A:$A,"6090 Depreciation Expense",Source_PL!M:M))</f>
        <v>54320.999999999825</v>
      </c>
      <c r="D46" s="103">
        <f>Dashboard_Control!E34</f>
        <v>0</v>
      </c>
      <c r="E46" s="99" t="str">
        <f>IF(C46&gt;=D46,"G",IF(C46&gt;=D46*0.8,"Y","R"))</f>
        <v>G</v>
      </c>
      <c r="G46" s="104">
        <f>SUMIF(Source_PL!$A:$A,"Net Income",Source_PL!$B:M)+ABS(SUMIF(Source_PL!$A:$A,"6090 Depreciation Expense",Source_PL!$B:M))</f>
        <v>-540314.37999999989</v>
      </c>
      <c r="H46" s="103">
        <f>D46*12</f>
        <v>0</v>
      </c>
      <c r="I46" s="99" t="str">
        <f>IF(G46&gt;=H46,"G",IF(G46&gt;=H46*0.8,"Y","R"))</f>
        <v>R</v>
      </c>
      <c r="K46" s="99" t="str">
        <f>IF(C46&gt;G46*1.05,"UP",IF(C46&lt;G46*0.95,"DOWN","FLAT"))</f>
        <v>UP</v>
      </c>
    </row>
  </sheetData>
  <mergeCells count="3">
    <mergeCell ref="B2:L2"/>
    <mergeCell ref="B3:L3"/>
    <mergeCell ref="B7:T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0758-ECE4-40A6-A6D6-9FA10CCB57B4}">
  <sheetPr codeName="Sheet1"/>
  <dimension ref="B2:C34"/>
  <sheetViews>
    <sheetView tabSelected="1" workbookViewId="0"/>
  </sheetViews>
  <sheetFormatPr defaultRowHeight="15" x14ac:dyDescent="0.25"/>
  <cols>
    <col min="1" max="1" width="3.7109375" customWidth="1"/>
    <col min="2" max="2" width="30.7109375" customWidth="1"/>
    <col min="3" max="3" width="40.7109375" customWidth="1"/>
  </cols>
  <sheetData>
    <row r="2" spans="2:3" ht="36" x14ac:dyDescent="0.55000000000000004">
      <c r="B2" s="8" t="s">
        <v>224</v>
      </c>
    </row>
    <row r="3" spans="2:3" ht="21" x14ac:dyDescent="0.35">
      <c r="B3" s="9" t="s">
        <v>1</v>
      </c>
    </row>
    <row r="5" spans="2:3" ht="15.75" x14ac:dyDescent="0.25">
      <c r="B5" s="11" t="s">
        <v>225</v>
      </c>
    </row>
    <row r="6" spans="2:3" x14ac:dyDescent="0.25">
      <c r="B6" s="1" t="s">
        <v>226</v>
      </c>
      <c r="C6" s="2" t="s">
        <v>224</v>
      </c>
    </row>
    <row r="7" spans="2:3" x14ac:dyDescent="0.25">
      <c r="B7" s="1" t="s">
        <v>227</v>
      </c>
      <c r="C7" s="3">
        <v>45627</v>
      </c>
    </row>
    <row r="8" spans="2:3" x14ac:dyDescent="0.25">
      <c r="B8" s="1" t="s">
        <v>228</v>
      </c>
      <c r="C8" s="2" t="s">
        <v>229</v>
      </c>
    </row>
    <row r="9" spans="2:3" x14ac:dyDescent="0.25">
      <c r="B9" s="1" t="s">
        <v>230</v>
      </c>
      <c r="C9" s="2">
        <v>12</v>
      </c>
    </row>
    <row r="11" spans="2:3" ht="15.75" x14ac:dyDescent="0.25">
      <c r="B11" s="11" t="s">
        <v>231</v>
      </c>
    </row>
    <row r="13" spans="2:3" x14ac:dyDescent="0.25">
      <c r="B13" s="12" t="s">
        <v>232</v>
      </c>
      <c r="C13" s="13" t="s">
        <v>233</v>
      </c>
    </row>
    <row r="14" spans="2:3" x14ac:dyDescent="0.25">
      <c r="C14" s="13"/>
    </row>
    <row r="15" spans="2:3" x14ac:dyDescent="0.25">
      <c r="B15" s="12" t="s">
        <v>234</v>
      </c>
      <c r="C15" s="13" t="s">
        <v>235</v>
      </c>
    </row>
    <row r="16" spans="2:3" x14ac:dyDescent="0.25">
      <c r="C16" s="13"/>
    </row>
    <row r="17" spans="2:3" x14ac:dyDescent="0.25">
      <c r="B17" s="12" t="s">
        <v>236</v>
      </c>
      <c r="C17" s="13" t="s">
        <v>237</v>
      </c>
    </row>
    <row r="18" spans="2:3" x14ac:dyDescent="0.25">
      <c r="C18" s="13"/>
    </row>
    <row r="19" spans="2:3" x14ac:dyDescent="0.25">
      <c r="B19" s="12" t="s">
        <v>238</v>
      </c>
      <c r="C19" s="13" t="s">
        <v>239</v>
      </c>
    </row>
    <row r="22" spans="2:3" ht="15.75" x14ac:dyDescent="0.25">
      <c r="B22" s="11" t="s">
        <v>240</v>
      </c>
    </row>
    <row r="23" spans="2:3" x14ac:dyDescent="0.25">
      <c r="B23" s="14" t="s">
        <v>241</v>
      </c>
    </row>
    <row r="24" spans="2:3" x14ac:dyDescent="0.25">
      <c r="B24" s="14" t="s">
        <v>242</v>
      </c>
    </row>
    <row r="25" spans="2:3" x14ac:dyDescent="0.25">
      <c r="B25" s="14" t="s">
        <v>243</v>
      </c>
    </row>
    <row r="26" spans="2:3" x14ac:dyDescent="0.25">
      <c r="B26" s="14" t="s">
        <v>244</v>
      </c>
    </row>
    <row r="28" spans="2:3" ht="15.75" x14ac:dyDescent="0.25">
      <c r="B28" s="11" t="s">
        <v>245</v>
      </c>
    </row>
    <row r="29" spans="2:3" x14ac:dyDescent="0.25">
      <c r="B29" s="15" t="s">
        <v>246</v>
      </c>
    </row>
    <row r="30" spans="2:3" x14ac:dyDescent="0.25">
      <c r="B30" s="15" t="s">
        <v>247</v>
      </c>
    </row>
    <row r="31" spans="2:3" x14ac:dyDescent="0.25">
      <c r="B31" s="15" t="s">
        <v>248</v>
      </c>
    </row>
    <row r="32" spans="2:3" x14ac:dyDescent="0.25">
      <c r="B32" s="15" t="s">
        <v>249</v>
      </c>
    </row>
    <row r="33" spans="2:2" x14ac:dyDescent="0.25">
      <c r="B33" s="15" t="s">
        <v>250</v>
      </c>
    </row>
    <row r="34" spans="2:2" x14ac:dyDescent="0.25">
      <c r="B34" s="15" t="s">
        <v>251</v>
      </c>
    </row>
  </sheetData>
  <dataValidations count="1">
    <dataValidation type="list" allowBlank="1" showInputMessage="1" showErrorMessage="1" sqref="C7" xr:uid="{90C33152-4EF1-46B5-8741-D4F7057C41CD}">
      <formula1>"Jan-2024,Feb-2024,Mar-2024,Apr-2024,May-2024,Jun-2024,Jul-2024,Aug-2024,Sep-2024,Oct-2024,Nov-2024,Dec-2024"</formula1>
    </dataValidation>
  </dataValidations>
  <hyperlinks>
    <hyperlink ref="B29" location="PL!A1" tooltip="#PL!A1 - Click once to follow. Click and hold to select this cell." display="#PL!A1" xr:uid="{02179977-3EAD-4106-8EEF-4628D573E363}"/>
    <hyperlink ref="B30" location="Balance_Sheet!A1" tooltip="#Balance_Sheet!A1 - Click once to follow. Click and hold to select this cell." display="#Balance_Sheet!A1" xr:uid="{48CA074D-8E51-4A1A-9C01-362CAFAD4F66}"/>
    <hyperlink ref="B31" location="Cash_Flow!A1" tooltip="#Cash_Flow!A1 - Click once to follow. Click and hold to select this cell." display="#Cash_Flow!A1" xr:uid="{6CEF2BA0-3F28-4706-9AEA-79B2650A315F}"/>
    <hyperlink ref="B32" location="Notes!A1" tooltip="#Notes!A1 - Click once to follow. Click and hold to select this cell." display="#Notes!A1" xr:uid="{4BCD6B24-F946-4B90-99BD-6EF2A30A8A42}"/>
    <hyperlink ref="B33" location="Source_PL!A1" tooltip="#Source_PL!A1 - Click once to follow. Click and hold to select this cell." display="#Source_PL!A1" xr:uid="{A2667DE3-38F6-469D-B655-EC638282D62D}"/>
    <hyperlink ref="B34" location="Source_BS!A1" tooltip="#Source_BS!A1 - Click once to follow. Click and hold to select this cell." display="#Source_BS!A1" xr:uid="{2A79D848-900D-4465-B3D8-D2ED4BBFC72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448A-DE6A-4958-8F9F-24FF2F7712D2}">
  <sheetPr codeName="Sheet4"/>
  <dimension ref="A1:U156"/>
  <sheetViews>
    <sheetView workbookViewId="0"/>
  </sheetViews>
  <sheetFormatPr defaultRowHeight="15" outlineLevelRow="1" x14ac:dyDescent="0.25"/>
  <cols>
    <col min="1" max="1" width="38" bestFit="1" customWidth="1"/>
    <col min="2" max="3" width="9.140625" bestFit="1" customWidth="1"/>
    <col min="4" max="12" width="8.42578125" bestFit="1" customWidth="1"/>
    <col min="13" max="13" width="9.140625" bestFit="1" customWidth="1"/>
    <col min="14" max="14" width="30.7109375" customWidth="1"/>
    <col min="15" max="15" width="3.7109375" customWidth="1"/>
    <col min="16" max="19" width="12.7109375" customWidth="1"/>
    <col min="20" max="20" width="3.7109375" customWidth="1"/>
    <col min="21" max="21" width="12.7109375" customWidth="1"/>
  </cols>
  <sheetData>
    <row r="1" spans="1:21" ht="18.75" x14ac:dyDescent="0.3">
      <c r="A1" s="16" t="s">
        <v>224</v>
      </c>
      <c r="O1" s="36"/>
      <c r="T1" s="36"/>
    </row>
    <row r="2" spans="1:21" ht="15.75" x14ac:dyDescent="0.25">
      <c r="A2" s="10" t="s">
        <v>2</v>
      </c>
      <c r="O2" s="36"/>
      <c r="T2" s="36"/>
    </row>
    <row r="3" spans="1:21" x14ac:dyDescent="0.25">
      <c r="O3" s="36"/>
      <c r="T3" s="36"/>
    </row>
    <row r="4" spans="1:21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 t="s">
        <v>252</v>
      </c>
      <c r="O4" s="36"/>
      <c r="P4" s="19" t="s">
        <v>253</v>
      </c>
      <c r="Q4" s="19" t="s">
        <v>254</v>
      </c>
      <c r="R4" s="19" t="s">
        <v>255</v>
      </c>
      <c r="S4" s="19" t="s">
        <v>256</v>
      </c>
      <c r="T4" s="36"/>
      <c r="U4" s="19">
        <v>2024</v>
      </c>
    </row>
    <row r="5" spans="1:21" x14ac:dyDescent="0.25">
      <c r="A5" s="21" t="s">
        <v>6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O5" s="36"/>
      <c r="P5" s="30"/>
      <c r="Q5" s="30"/>
      <c r="R5" s="30"/>
      <c r="S5" s="33"/>
      <c r="T5" s="36"/>
      <c r="U5" s="30"/>
    </row>
    <row r="6" spans="1:21" x14ac:dyDescent="0.25">
      <c r="A6" s="20" t="s">
        <v>257</v>
      </c>
      <c r="B6" s="30">
        <f>SUMIF(Source_PL!$A:$A,"4000 Service Revenue",Source_PL!B:B)</f>
        <v>161373.18</v>
      </c>
      <c r="C6" s="30">
        <f>SUMIF(Source_PL!$A:$A,"4000 Service Revenue",Source_PL!C:C)</f>
        <v>121704</v>
      </c>
      <c r="D6" s="30">
        <f>SUMIF(Source_PL!$A:$A,"4000 Service Revenue",Source_PL!D:D)</f>
        <v>711615.3</v>
      </c>
      <c r="E6" s="30">
        <f>SUMIF(Source_PL!$A:$A,"4000 Service Revenue",Source_PL!E:E)</f>
        <v>184733.67</v>
      </c>
      <c r="F6" s="30">
        <f>SUMIF(Source_PL!$A:$A,"4000 Service Revenue",Source_PL!F:F)</f>
        <v>64915.92</v>
      </c>
      <c r="G6" s="30">
        <f>SUMIF(Source_PL!$A:$A,"4000 Service Revenue",Source_PL!G:G)</f>
        <v>26798</v>
      </c>
      <c r="H6" s="30">
        <f>SUMIF(Source_PL!$A:$A,"4000 Service Revenue",Source_PL!H:H)</f>
        <v>0</v>
      </c>
      <c r="I6" s="30">
        <f>SUMIF(Source_PL!$A:$A,"4000 Service Revenue",Source_PL!I:I)</f>
        <v>0</v>
      </c>
      <c r="J6" s="30">
        <f>SUMIF(Source_PL!$A:$A,"4000 Service Revenue",Source_PL!J:J)</f>
        <v>0</v>
      </c>
      <c r="K6" s="30">
        <f>SUMIF(Source_PL!$A:$A,"4000 Service Revenue",Source_PL!K:K)</f>
        <v>22701.33</v>
      </c>
      <c r="L6" s="30">
        <f>SUMIF(Source_PL!$A:$A,"4000 Service Revenue",Source_PL!L:L)</f>
        <v>0</v>
      </c>
      <c r="M6" s="30">
        <f>SUMIF(Source_PL!$A:$A,"4000 Service Revenue",Source_PL!M:M)</f>
        <v>0</v>
      </c>
      <c r="N6" s="22" t="str">
        <f>IFERROR(LOOKUP(2,1/((Notes!$A$2:$A$100=TRIM($A6))*(Notes!$B$2:$B$100=Menu!$C$7)),Notes!$C$2:$C$100),"")</f>
        <v/>
      </c>
      <c r="O6" s="36"/>
      <c r="P6" s="30">
        <v>0</v>
      </c>
      <c r="Q6" s="30">
        <f>SUM(B6:M6)</f>
        <v>1293841.3999999999</v>
      </c>
      <c r="R6" s="30">
        <f>Q6-P6</f>
        <v>1293841.3999999999</v>
      </c>
      <c r="S6" s="33">
        <f>IFERROR(R6/P6,0)</f>
        <v>0</v>
      </c>
      <c r="T6" s="36"/>
      <c r="U6" s="30">
        <f>B6+C6+D6+E6+F6+G6+H6+I6+J6+K6+L6+M6</f>
        <v>1293841.3999999999</v>
      </c>
    </row>
    <row r="7" spans="1:21" x14ac:dyDescent="0.25">
      <c r="A7" s="20" t="s">
        <v>258</v>
      </c>
      <c r="B7" s="30">
        <f>SUMIF(Source_PL!$A:$A,"4001 Quoted Revenue",Source_PL!B:B)</f>
        <v>0</v>
      </c>
      <c r="C7" s="30">
        <f>SUMIF(Source_PL!$A:$A,"4001 Quoted Revenue",Source_PL!C:C)</f>
        <v>0</v>
      </c>
      <c r="D7" s="30">
        <f>SUMIF(Source_PL!$A:$A,"4001 Quoted Revenue",Source_PL!D:D)</f>
        <v>0</v>
      </c>
      <c r="E7" s="30">
        <f>SUMIF(Source_PL!$A:$A,"4001 Quoted Revenue",Source_PL!E:E)</f>
        <v>31071</v>
      </c>
      <c r="F7" s="30">
        <f>SUMIF(Source_PL!$A:$A,"4001 Quoted Revenue",Source_PL!F:F)</f>
        <v>325952.78000000003</v>
      </c>
      <c r="G7" s="30">
        <f>SUMIF(Source_PL!$A:$A,"4001 Quoted Revenue",Source_PL!G:G)</f>
        <v>112476.44</v>
      </c>
      <c r="H7" s="30">
        <f>SUMIF(Source_PL!$A:$A,"4001 Quoted Revenue",Source_PL!H:H)</f>
        <v>319502.03000000003</v>
      </c>
      <c r="I7" s="30">
        <f>SUMIF(Source_PL!$A:$A,"4001 Quoted Revenue",Source_PL!I:I)</f>
        <v>520745.67</v>
      </c>
      <c r="J7" s="30">
        <f>SUMIF(Source_PL!$A:$A,"4001 Quoted Revenue",Source_PL!J:J)</f>
        <v>191940.76</v>
      </c>
      <c r="K7" s="30">
        <f>SUMIF(Source_PL!$A:$A,"4001 Quoted Revenue",Source_PL!K:K)</f>
        <v>151783.79999999999</v>
      </c>
      <c r="L7" s="30">
        <f>SUMIF(Source_PL!$A:$A,"4001 Quoted Revenue",Source_PL!L:L)</f>
        <v>445540.71</v>
      </c>
      <c r="M7" s="30">
        <f>SUMIF(Source_PL!$A:$A,"4001 Quoted Revenue",Source_PL!M:M)</f>
        <v>536248.32999999996</v>
      </c>
      <c r="N7" s="22" t="str">
        <f>IFERROR(LOOKUP(2,1/((Notes!$A$2:$A$100=TRIM($A7))*(Notes!$B$2:$B$100=Menu!$C$7)),Notes!$C$2:$C$100),"")</f>
        <v/>
      </c>
      <c r="O7" s="36"/>
      <c r="P7" s="30">
        <v>0</v>
      </c>
      <c r="Q7" s="30">
        <f>SUM(B7:M7)</f>
        <v>2635261.52</v>
      </c>
      <c r="R7" s="30">
        <f>Q7-P7</f>
        <v>2635261.52</v>
      </c>
      <c r="S7" s="33">
        <f>IFERROR(R7/P7,0)</f>
        <v>0</v>
      </c>
      <c r="T7" s="36"/>
      <c r="U7" s="30">
        <f>B7+C7+D7+E7+F7+G7+H7+I7+J7+K7+L7+M7</f>
        <v>2635261.52</v>
      </c>
    </row>
    <row r="8" spans="1:21" x14ac:dyDescent="0.25">
      <c r="A8" s="20" t="s">
        <v>259</v>
      </c>
      <c r="B8" s="30">
        <f>SUMIF(Source_PL!$A:$A,"4002 T&amp;M Revenue",Source_PL!B:B)</f>
        <v>0</v>
      </c>
      <c r="C8" s="30">
        <f>SUMIF(Source_PL!$A:$A,"4002 T&amp;M Revenue",Source_PL!C:C)</f>
        <v>0</v>
      </c>
      <c r="D8" s="30">
        <f>SUMIF(Source_PL!$A:$A,"4002 T&amp;M Revenue",Source_PL!D:D)</f>
        <v>0</v>
      </c>
      <c r="E8" s="30">
        <f>SUMIF(Source_PL!$A:$A,"4002 T&amp;M Revenue",Source_PL!E:E)</f>
        <v>0</v>
      </c>
      <c r="F8" s="30">
        <f>SUMIF(Source_PL!$A:$A,"4002 T&amp;M Revenue",Source_PL!F:F)</f>
        <v>1660</v>
      </c>
      <c r="G8" s="30">
        <f>SUMIF(Source_PL!$A:$A,"4002 T&amp;M Revenue",Source_PL!G:G)</f>
        <v>116167.77</v>
      </c>
      <c r="H8" s="30">
        <f>SUMIF(Source_PL!$A:$A,"4002 T&amp;M Revenue",Source_PL!H:H)</f>
        <v>115009.68</v>
      </c>
      <c r="I8" s="30">
        <f>SUMIF(Source_PL!$A:$A,"4002 T&amp;M Revenue",Source_PL!I:I)</f>
        <v>48829.04</v>
      </c>
      <c r="J8" s="30">
        <f>SUMIF(Source_PL!$A:$A,"4002 T&amp;M Revenue",Source_PL!J:J)</f>
        <v>246378.58</v>
      </c>
      <c r="K8" s="30">
        <f>SUMIF(Source_PL!$A:$A,"4002 T&amp;M Revenue",Source_PL!K:K)</f>
        <v>147682.63</v>
      </c>
      <c r="L8" s="30">
        <f>SUMIF(Source_PL!$A:$A,"4002 T&amp;M Revenue",Source_PL!L:L)</f>
        <v>147019.51999999999</v>
      </c>
      <c r="M8" s="30">
        <f>SUMIF(Source_PL!$A:$A,"4002 T&amp;M Revenue",Source_PL!M:M)</f>
        <v>179550</v>
      </c>
      <c r="N8" s="22" t="str">
        <f>IFERROR(LOOKUP(2,1/((Notes!$A$2:$A$100=TRIM($A8))*(Notes!$B$2:$B$100=Menu!$C$7)),Notes!$C$2:$C$100),"")</f>
        <v/>
      </c>
      <c r="O8" s="36"/>
      <c r="P8" s="30">
        <v>0</v>
      </c>
      <c r="Q8" s="30">
        <f>SUM(B8:M8)</f>
        <v>1002297.22</v>
      </c>
      <c r="R8" s="30">
        <f>Q8-P8</f>
        <v>1002297.22</v>
      </c>
      <c r="S8" s="33">
        <f>IFERROR(R8/P8,0)</f>
        <v>0</v>
      </c>
      <c r="T8" s="36"/>
      <c r="U8" s="30">
        <f>B8+C8+D8+E8+F8+G8+H8+I8+J8+K8+L8+M8</f>
        <v>1002297.22</v>
      </c>
    </row>
    <row r="9" spans="1:21" x14ac:dyDescent="0.25">
      <c r="A9" s="20" t="s">
        <v>260</v>
      </c>
      <c r="B9" s="30">
        <f>SUMIF(Source_PL!$A:$A,"4003 Rental Revenue",Source_PL!B:B)</f>
        <v>4575</v>
      </c>
      <c r="C9" s="30">
        <f>SUMIF(Source_PL!$A:$A,"4003 Rental Revenue",Source_PL!C:C)</f>
        <v>0</v>
      </c>
      <c r="D9" s="30">
        <f>SUMIF(Source_PL!$A:$A,"4003 Rental Revenue",Source_PL!D:D)</f>
        <v>0</v>
      </c>
      <c r="E9" s="30">
        <f>SUMIF(Source_PL!$A:$A,"4003 Rental Revenue",Source_PL!E:E)</f>
        <v>0</v>
      </c>
      <c r="F9" s="30">
        <f>SUMIF(Source_PL!$A:$A,"4003 Rental Revenue",Source_PL!F:F)</f>
        <v>0</v>
      </c>
      <c r="G9" s="30">
        <f>SUMIF(Source_PL!$A:$A,"4003 Rental Revenue",Source_PL!G:G)</f>
        <v>9000</v>
      </c>
      <c r="H9" s="30">
        <f>SUMIF(Source_PL!$A:$A,"4003 Rental Revenue",Source_PL!H:H)</f>
        <v>0</v>
      </c>
      <c r="I9" s="30">
        <f>SUMIF(Source_PL!$A:$A,"4003 Rental Revenue",Source_PL!I:I)</f>
        <v>1607.77</v>
      </c>
      <c r="J9" s="30">
        <f>SUMIF(Source_PL!$A:$A,"4003 Rental Revenue",Source_PL!J:J)</f>
        <v>0</v>
      </c>
      <c r="K9" s="30">
        <f>SUMIF(Source_PL!$A:$A,"4003 Rental Revenue",Source_PL!K:K)</f>
        <v>0</v>
      </c>
      <c r="L9" s="30">
        <f>SUMIF(Source_PL!$A:$A,"4003 Rental Revenue",Source_PL!L:L)</f>
        <v>0</v>
      </c>
      <c r="M9" s="30">
        <f>SUMIF(Source_PL!$A:$A,"4003 Rental Revenue",Source_PL!M:M)</f>
        <v>0</v>
      </c>
      <c r="N9" s="22" t="str">
        <f>IFERROR(LOOKUP(2,1/((Notes!$A$2:$A$100=TRIM($A9))*(Notes!$B$2:$B$100=Menu!$C$7)),Notes!$C$2:$C$100),"")</f>
        <v/>
      </c>
      <c r="O9" s="36"/>
      <c r="P9" s="30">
        <v>0</v>
      </c>
      <c r="Q9" s="30">
        <f>SUM(B9:M9)</f>
        <v>15182.77</v>
      </c>
      <c r="R9" s="30">
        <f>Q9-P9</f>
        <v>15182.77</v>
      </c>
      <c r="S9" s="33">
        <f>IFERROR(R9/P9,0)</f>
        <v>0</v>
      </c>
      <c r="T9" s="36"/>
      <c r="U9" s="30">
        <f>B9+C9+D9+E9+F9+G9+H9+I9+J9+K9+L9+M9</f>
        <v>15182.77</v>
      </c>
    </row>
    <row r="10" spans="1:21" x14ac:dyDescent="0.25">
      <c r="A10" s="20" t="s">
        <v>261</v>
      </c>
      <c r="B10" s="30">
        <f>SUMIF(Source_PL!$A:$A,"4004 Late Fee Income",Source_PL!B:B)</f>
        <v>2.2200000000000002</v>
      </c>
      <c r="C10" s="30">
        <f>SUMIF(Source_PL!$A:$A,"4004 Late Fee Income",Source_PL!C:C)</f>
        <v>156.22</v>
      </c>
      <c r="D10" s="30">
        <f>SUMIF(Source_PL!$A:$A,"4004 Late Fee Income",Source_PL!D:D)</f>
        <v>214.52</v>
      </c>
      <c r="E10" s="30">
        <f>SUMIF(Source_PL!$A:$A,"4004 Late Fee Income",Source_PL!E:E)</f>
        <v>97.66</v>
      </c>
      <c r="F10" s="30">
        <f>SUMIF(Source_PL!$A:$A,"4004 Late Fee Income",Source_PL!F:F)</f>
        <v>111.99</v>
      </c>
      <c r="G10" s="30">
        <f>SUMIF(Source_PL!$A:$A,"4004 Late Fee Income",Source_PL!G:G)</f>
        <v>401.97</v>
      </c>
      <c r="H10" s="30">
        <f>SUMIF(Source_PL!$A:$A,"4004 Late Fee Income",Source_PL!H:H)</f>
        <v>40.5</v>
      </c>
      <c r="I10" s="30">
        <f>SUMIF(Source_PL!$A:$A,"4004 Late Fee Income",Source_PL!I:I)</f>
        <v>241.12</v>
      </c>
      <c r="J10" s="30">
        <f>SUMIF(Source_PL!$A:$A,"4004 Late Fee Income",Source_PL!J:J)</f>
        <v>0</v>
      </c>
      <c r="K10" s="30">
        <f>SUMIF(Source_PL!$A:$A,"4004 Late Fee Income",Source_PL!K:K)</f>
        <v>0</v>
      </c>
      <c r="L10" s="30">
        <f>SUMIF(Source_PL!$A:$A,"4004 Late Fee Income",Source_PL!L:L)</f>
        <v>485.92</v>
      </c>
      <c r="M10" s="30">
        <f>SUMIF(Source_PL!$A:$A,"4004 Late Fee Income",Source_PL!M:M)</f>
        <v>0</v>
      </c>
      <c r="N10" s="22" t="str">
        <f>IFERROR(LOOKUP(2,1/((Notes!$A$2:$A$100=TRIM($A10))*(Notes!$B$2:$B$100=Menu!$C$7)),Notes!$C$2:$C$100),"")</f>
        <v/>
      </c>
      <c r="O10" s="36"/>
      <c r="P10" s="30">
        <v>0</v>
      </c>
      <c r="Q10" s="30">
        <f>SUM(B10:M10)</f>
        <v>1752.12</v>
      </c>
      <c r="R10" s="30">
        <f>Q10-P10</f>
        <v>1752.12</v>
      </c>
      <c r="S10" s="33">
        <f>IFERROR(R10/P10,0)</f>
        <v>0</v>
      </c>
      <c r="T10" s="36"/>
      <c r="U10" s="30">
        <f>B10+C10+D10+E10+F10+G10+H10+I10+J10+K10+L10+M10</f>
        <v>1752.12</v>
      </c>
    </row>
    <row r="11" spans="1:21" x14ac:dyDescent="0.25">
      <c r="A11" s="20" t="s">
        <v>262</v>
      </c>
      <c r="B11" s="30">
        <f>SUMIF(Source_PL!$A:$A,"4005 Discounts given",Source_PL!B:B)</f>
        <v>-826.65</v>
      </c>
      <c r="C11" s="30">
        <f>SUMIF(Source_PL!$A:$A,"4005 Discounts given",Source_PL!C:C)</f>
        <v>-101.12</v>
      </c>
      <c r="D11" s="30">
        <f>SUMIF(Source_PL!$A:$A,"4005 Discounts given",Source_PL!D:D)</f>
        <v>-438.4</v>
      </c>
      <c r="E11" s="30">
        <f>SUMIF(Source_PL!$A:$A,"4005 Discounts given",Source_PL!E:E)</f>
        <v>-623.87</v>
      </c>
      <c r="F11" s="30">
        <f>SUMIF(Source_PL!$A:$A,"4005 Discounts given",Source_PL!F:F)</f>
        <v>-1056.2</v>
      </c>
      <c r="G11" s="30">
        <f>SUMIF(Source_PL!$A:$A,"4005 Discounts given",Source_PL!G:G)</f>
        <v>-22.2</v>
      </c>
      <c r="H11" s="30">
        <f>SUMIF(Source_PL!$A:$A,"4005 Discounts given",Source_PL!H:H)</f>
        <v>-846.7</v>
      </c>
      <c r="I11" s="30">
        <f>SUMIF(Source_PL!$A:$A,"4005 Discounts given",Source_PL!I:I)</f>
        <v>-419.42</v>
      </c>
      <c r="J11" s="30">
        <f>SUMIF(Source_PL!$A:$A,"4005 Discounts given",Source_PL!J:J)</f>
        <v>-392.82</v>
      </c>
      <c r="K11" s="30">
        <f>SUMIF(Source_PL!$A:$A,"4005 Discounts given",Source_PL!K:K)</f>
        <v>0</v>
      </c>
      <c r="L11" s="30">
        <f>SUMIF(Source_PL!$A:$A,"4005 Discounts given",Source_PL!L:L)</f>
        <v>-1824.96</v>
      </c>
      <c r="M11" s="30">
        <f>SUMIF(Source_PL!$A:$A,"4005 Discounts given",Source_PL!M:M)</f>
        <v>0</v>
      </c>
      <c r="N11" s="22" t="str">
        <f>IFERROR(LOOKUP(2,1/((Notes!$A$2:$A$100=TRIM($A11))*(Notes!$B$2:$B$100=Menu!$C$7)),Notes!$C$2:$C$100),"")</f>
        <v/>
      </c>
      <c r="O11" s="36"/>
      <c r="P11" s="30">
        <v>0</v>
      </c>
      <c r="Q11" s="30">
        <f>SUM(B11:M11)</f>
        <v>-6552.3399999999992</v>
      </c>
      <c r="R11" s="30">
        <f>Q11-P11</f>
        <v>-6552.3399999999992</v>
      </c>
      <c r="S11" s="33">
        <f>IFERROR(R11/P11,0)</f>
        <v>0</v>
      </c>
      <c r="T11" s="36"/>
      <c r="U11" s="30">
        <f>B11+C11+D11+E11+F11+G11+H11+I11+J11+K11+L11+M11</f>
        <v>-6552.3399999999992</v>
      </c>
    </row>
    <row r="12" spans="1:21" x14ac:dyDescent="0.25">
      <c r="A12" s="20" t="s">
        <v>263</v>
      </c>
      <c r="B12" s="30">
        <f>SUMIF(Source_PL!$A:$A,"4006 Sales Income",Source_PL!B:B)</f>
        <v>0</v>
      </c>
      <c r="C12" s="30">
        <f>SUMIF(Source_PL!$A:$A,"4006 Sales Income",Source_PL!C:C)</f>
        <v>0</v>
      </c>
      <c r="D12" s="30">
        <f>SUMIF(Source_PL!$A:$A,"4006 Sales Income",Source_PL!D:D)</f>
        <v>0</v>
      </c>
      <c r="E12" s="30">
        <f>SUMIF(Source_PL!$A:$A,"4006 Sales Income",Source_PL!E:E)</f>
        <v>0</v>
      </c>
      <c r="F12" s="30">
        <f>SUMIF(Source_PL!$A:$A,"4006 Sales Income",Source_PL!F:F)</f>
        <v>0</v>
      </c>
      <c r="G12" s="30">
        <f>SUMIF(Source_PL!$A:$A,"4006 Sales Income",Source_PL!G:G)</f>
        <v>7000</v>
      </c>
      <c r="H12" s="30">
        <f>SUMIF(Source_PL!$A:$A,"4006 Sales Income",Source_PL!H:H)</f>
        <v>0</v>
      </c>
      <c r="I12" s="30">
        <f>SUMIF(Source_PL!$A:$A,"4006 Sales Income",Source_PL!I:I)</f>
        <v>0</v>
      </c>
      <c r="J12" s="30">
        <f>SUMIF(Source_PL!$A:$A,"4006 Sales Income",Source_PL!J:J)</f>
        <v>0</v>
      </c>
      <c r="K12" s="30">
        <f>SUMIF(Source_PL!$A:$A,"4006 Sales Income",Source_PL!K:K)</f>
        <v>0</v>
      </c>
      <c r="L12" s="30">
        <f>SUMIF(Source_PL!$A:$A,"4006 Sales Income",Source_PL!L:L)</f>
        <v>0</v>
      </c>
      <c r="M12" s="30">
        <f>SUMIF(Source_PL!$A:$A,"4006 Sales Income",Source_PL!M:M)</f>
        <v>0</v>
      </c>
      <c r="N12" s="22" t="str">
        <f>IFERROR(LOOKUP(2,1/((Notes!$A$2:$A$100=TRIM($A12))*(Notes!$B$2:$B$100=Menu!$C$7)),Notes!$C$2:$C$100),"")</f>
        <v/>
      </c>
      <c r="O12" s="36"/>
      <c r="P12" s="30">
        <v>0</v>
      </c>
      <c r="Q12" s="30">
        <f>SUM(B12:M12)</f>
        <v>7000</v>
      </c>
      <c r="R12" s="30">
        <f>Q12-P12</f>
        <v>7000</v>
      </c>
      <c r="S12" s="33">
        <f>IFERROR(R12/P12,0)</f>
        <v>0</v>
      </c>
      <c r="T12" s="36"/>
      <c r="U12" s="30">
        <f>B12+C12+D12+E12+F12+G12+H12+I12+J12+K12+L12+M12</f>
        <v>7000</v>
      </c>
    </row>
    <row r="13" spans="1:21" x14ac:dyDescent="0.25">
      <c r="A13" s="20" t="s">
        <v>264</v>
      </c>
      <c r="B13" s="30">
        <f>SUMIF(Source_PL!$A:$A,"4007 Training Classes Revenue",Source_PL!B:B)</f>
        <v>0</v>
      </c>
      <c r="C13" s="30">
        <f>SUMIF(Source_PL!$A:$A,"4007 Training Classes Revenue",Source_PL!C:C)</f>
        <v>0</v>
      </c>
      <c r="D13" s="30">
        <f>SUMIF(Source_PL!$A:$A,"4007 Training Classes Revenue",Source_PL!D:D)</f>
        <v>0</v>
      </c>
      <c r="E13" s="30">
        <f>SUMIF(Source_PL!$A:$A,"4007 Training Classes Revenue",Source_PL!E:E)</f>
        <v>0</v>
      </c>
      <c r="F13" s="30">
        <f>SUMIF(Source_PL!$A:$A,"4007 Training Classes Revenue",Source_PL!F:F)</f>
        <v>0</v>
      </c>
      <c r="G13" s="30">
        <f>SUMIF(Source_PL!$A:$A,"4007 Training Classes Revenue",Source_PL!G:G)</f>
        <v>0</v>
      </c>
      <c r="H13" s="30">
        <f>SUMIF(Source_PL!$A:$A,"4007 Training Classes Revenue",Source_PL!H:H)</f>
        <v>5600</v>
      </c>
      <c r="I13" s="30">
        <f>SUMIF(Source_PL!$A:$A,"4007 Training Classes Revenue",Source_PL!I:I)</f>
        <v>5500</v>
      </c>
      <c r="J13" s="30">
        <f>SUMIF(Source_PL!$A:$A,"4007 Training Classes Revenue",Source_PL!J:J)</f>
        <v>0</v>
      </c>
      <c r="K13" s="30">
        <f>SUMIF(Source_PL!$A:$A,"4007 Training Classes Revenue",Source_PL!K:K)</f>
        <v>0</v>
      </c>
      <c r="L13" s="30">
        <f>SUMIF(Source_PL!$A:$A,"4007 Training Classes Revenue",Source_PL!L:L)</f>
        <v>4500</v>
      </c>
      <c r="M13" s="30">
        <f>SUMIF(Source_PL!$A:$A,"4007 Training Classes Revenue",Source_PL!M:M)</f>
        <v>0</v>
      </c>
      <c r="N13" s="22" t="str">
        <f>IFERROR(LOOKUP(2,1/((Notes!$A$2:$A$100=TRIM($A13))*(Notes!$B$2:$B$100=Menu!$C$7)),Notes!$C$2:$C$100),"")</f>
        <v/>
      </c>
      <c r="O13" s="36"/>
      <c r="P13" s="30">
        <v>0</v>
      </c>
      <c r="Q13" s="30">
        <f>SUM(B13:M13)</f>
        <v>15600</v>
      </c>
      <c r="R13" s="30">
        <f>Q13-P13</f>
        <v>15600</v>
      </c>
      <c r="S13" s="33">
        <f>IFERROR(R13/P13,0)</f>
        <v>0</v>
      </c>
      <c r="T13" s="36"/>
      <c r="U13" s="30">
        <f>B13+C13+D13+E13+F13+G13+H13+I13+J13+K13+L13+M13</f>
        <v>15600</v>
      </c>
    </row>
    <row r="14" spans="1:21" x14ac:dyDescent="0.25">
      <c r="A14" s="23" t="s">
        <v>15</v>
      </c>
      <c r="B14" s="31">
        <f>SUMIF(Source_PL!$A:$A,"Total for 4000 Service Revenue",Source_PL!B:B)</f>
        <v>165123.75</v>
      </c>
      <c r="C14" s="31">
        <f>SUMIF(Source_PL!$A:$A,"Total for 4000 Service Revenue",Source_PL!C:C)</f>
        <v>121759.1</v>
      </c>
      <c r="D14" s="31">
        <f>SUMIF(Source_PL!$A:$A,"Total for 4000 Service Revenue",Source_PL!D:D)</f>
        <v>711391.42</v>
      </c>
      <c r="E14" s="31">
        <f>SUMIF(Source_PL!$A:$A,"Total for 4000 Service Revenue",Source_PL!E:E)</f>
        <v>215278.46000000002</v>
      </c>
      <c r="F14" s="31">
        <f>SUMIF(Source_PL!$A:$A,"Total for 4000 Service Revenue",Source_PL!F:F)</f>
        <v>391584.49</v>
      </c>
      <c r="G14" s="31">
        <f>SUMIF(Source_PL!$A:$A,"Total for 4000 Service Revenue",Source_PL!G:G)</f>
        <v>271821.98</v>
      </c>
      <c r="H14" s="31">
        <f>SUMIF(Source_PL!$A:$A,"Total for 4000 Service Revenue",Source_PL!H:H)</f>
        <v>439305.51</v>
      </c>
      <c r="I14" s="31">
        <f>SUMIF(Source_PL!$A:$A,"Total for 4000 Service Revenue",Source_PL!I:I)</f>
        <v>576504.17999999993</v>
      </c>
      <c r="J14" s="31">
        <f>SUMIF(Source_PL!$A:$A,"Total for 4000 Service Revenue",Source_PL!J:J)</f>
        <v>437926.51999999996</v>
      </c>
      <c r="K14" s="31">
        <f>SUMIF(Source_PL!$A:$A,"Total for 4000 Service Revenue",Source_PL!K:K)</f>
        <v>322167.76</v>
      </c>
      <c r="L14" s="31">
        <f>SUMIF(Source_PL!$A:$A,"Total for 4000 Service Revenue",Source_PL!L:L)</f>
        <v>595721.19000000006</v>
      </c>
      <c r="M14" s="31">
        <f>SUMIF(Source_PL!$A:$A,"Total for 4000 Service Revenue",Source_PL!M:M)</f>
        <v>715798.33</v>
      </c>
      <c r="N14" s="25" t="str">
        <f>IFERROR(LOOKUP(2,1/((Notes!$A$2:$A$100=TRIM($A14))*(Notes!$B$2:$B$100=Menu!$C$7)),Notes!$C$2:$C$100),"")</f>
        <v/>
      </c>
      <c r="O14" s="36"/>
      <c r="P14" s="31">
        <v>0</v>
      </c>
      <c r="Q14" s="31">
        <f>SUM(B14:M14)</f>
        <v>4964382.6900000004</v>
      </c>
      <c r="R14" s="31">
        <f>Q14-P14</f>
        <v>4964382.6900000004</v>
      </c>
      <c r="S14" s="34">
        <f>IFERROR(R14/P14,0)</f>
        <v>0</v>
      </c>
      <c r="T14" s="36"/>
      <c r="U14" s="31">
        <f>B14+C14+D14+E14+F14+G14+H14+I14+J14+K14+L14+M14</f>
        <v>4964382.6900000004</v>
      </c>
    </row>
    <row r="15" spans="1:21" x14ac:dyDescent="0.25">
      <c r="A15" s="20" t="s">
        <v>16</v>
      </c>
      <c r="B15" s="30">
        <f>SUMIF(Source_PL!$A:$A,"4050 Dividend Income",Source_PL!B:B)</f>
        <v>0</v>
      </c>
      <c r="C15" s="30">
        <f>SUMIF(Source_PL!$A:$A,"4050 Dividend Income",Source_PL!C:C)</f>
        <v>0</v>
      </c>
      <c r="D15" s="30">
        <f>SUMIF(Source_PL!$A:$A,"4050 Dividend Income",Source_PL!D:D)</f>
        <v>0</v>
      </c>
      <c r="E15" s="30">
        <f>SUMIF(Source_PL!$A:$A,"4050 Dividend Income",Source_PL!E:E)</f>
        <v>1755.1</v>
      </c>
      <c r="F15" s="30">
        <f>SUMIF(Source_PL!$A:$A,"4050 Dividend Income",Source_PL!F:F)</f>
        <v>0</v>
      </c>
      <c r="G15" s="30">
        <f>SUMIF(Source_PL!$A:$A,"4050 Dividend Income",Source_PL!G:G)</f>
        <v>0</v>
      </c>
      <c r="H15" s="30">
        <f>SUMIF(Source_PL!$A:$A,"4050 Dividend Income",Source_PL!H:H)</f>
        <v>0</v>
      </c>
      <c r="I15" s="30">
        <f>SUMIF(Source_PL!$A:$A,"4050 Dividend Income",Source_PL!I:I)</f>
        <v>0</v>
      </c>
      <c r="J15" s="30">
        <f>SUMIF(Source_PL!$A:$A,"4050 Dividend Income",Source_PL!J:J)</f>
        <v>0</v>
      </c>
      <c r="K15" s="30">
        <f>SUMIF(Source_PL!$A:$A,"4050 Dividend Income",Source_PL!K:K)</f>
        <v>0</v>
      </c>
      <c r="L15" s="30">
        <f>SUMIF(Source_PL!$A:$A,"4050 Dividend Income",Source_PL!L:L)</f>
        <v>0</v>
      </c>
      <c r="M15" s="30">
        <f>SUMIF(Source_PL!$A:$A,"4050 Dividend Income",Source_PL!M:M)</f>
        <v>0</v>
      </c>
      <c r="N15" s="22" t="str">
        <f>IFERROR(LOOKUP(2,1/((Notes!$A$2:$A$100=TRIM($A15))*(Notes!$B$2:$B$100=Menu!$C$7)),Notes!$C$2:$C$100),"")</f>
        <v/>
      </c>
      <c r="O15" s="36"/>
      <c r="P15" s="30">
        <v>0</v>
      </c>
      <c r="Q15" s="30">
        <f>SUM(B15:M15)</f>
        <v>1755.1</v>
      </c>
      <c r="R15" s="30">
        <f>Q15-P15</f>
        <v>1755.1</v>
      </c>
      <c r="S15" s="33">
        <f>IFERROR(R15/P15,0)</f>
        <v>0</v>
      </c>
      <c r="T15" s="36"/>
      <c r="U15" s="30">
        <f>B15+C15+D15+E15+F15+G15+H15+I15+J15+K15+L15+M15</f>
        <v>1755.1</v>
      </c>
    </row>
    <row r="16" spans="1:21" x14ac:dyDescent="0.25">
      <c r="A16" s="20" t="s">
        <v>17</v>
      </c>
      <c r="B16" s="30">
        <f>SUMIF(Source_PL!$A:$A,"4990 Unapplied Cash Payment Income",Source_PL!B:B)</f>
        <v>0</v>
      </c>
      <c r="C16" s="30">
        <f>SUMIF(Source_PL!$A:$A,"4990 Unapplied Cash Payment Income",Source_PL!C:C)</f>
        <v>0</v>
      </c>
      <c r="D16" s="30">
        <f>SUMIF(Source_PL!$A:$A,"4990 Unapplied Cash Payment Income",Source_PL!D:D)</f>
        <v>0</v>
      </c>
      <c r="E16" s="30">
        <f>SUMIF(Source_PL!$A:$A,"4990 Unapplied Cash Payment Income",Source_PL!E:E)</f>
        <v>0</v>
      </c>
      <c r="F16" s="30">
        <f>SUMIF(Source_PL!$A:$A,"4990 Unapplied Cash Payment Income",Source_PL!F:F)</f>
        <v>0</v>
      </c>
      <c r="G16" s="30">
        <f>SUMIF(Source_PL!$A:$A,"4990 Unapplied Cash Payment Income",Source_PL!G:G)</f>
        <v>0</v>
      </c>
      <c r="H16" s="30">
        <f>SUMIF(Source_PL!$A:$A,"4990 Unapplied Cash Payment Income",Source_PL!H:H)</f>
        <v>1607.77</v>
      </c>
      <c r="I16" s="30">
        <f>SUMIF(Source_PL!$A:$A,"4990 Unapplied Cash Payment Income",Source_PL!I:I)</f>
        <v>-1607.77</v>
      </c>
      <c r="J16" s="30">
        <f>SUMIF(Source_PL!$A:$A,"4990 Unapplied Cash Payment Income",Source_PL!J:J)</f>
        <v>18338.400000000001</v>
      </c>
      <c r="K16" s="30">
        <f>SUMIF(Source_PL!$A:$A,"4990 Unapplied Cash Payment Income",Source_PL!K:K)</f>
        <v>0</v>
      </c>
      <c r="L16" s="30">
        <f>SUMIF(Source_PL!$A:$A,"4990 Unapplied Cash Payment Income",Source_PL!L:L)</f>
        <v>0</v>
      </c>
      <c r="M16" s="30">
        <f>SUMIF(Source_PL!$A:$A,"4990 Unapplied Cash Payment Income",Source_PL!M:M)</f>
        <v>0</v>
      </c>
      <c r="N16" s="22" t="str">
        <f>IFERROR(LOOKUP(2,1/((Notes!$A$2:$A$100=TRIM($A16))*(Notes!$B$2:$B$100=Menu!$C$7)),Notes!$C$2:$C$100),"")</f>
        <v/>
      </c>
      <c r="O16" s="36"/>
      <c r="P16" s="30">
        <v>0</v>
      </c>
      <c r="Q16" s="30">
        <f>SUM(B16:M16)</f>
        <v>18338.400000000001</v>
      </c>
      <c r="R16" s="30">
        <f>Q16-P16</f>
        <v>18338.400000000001</v>
      </c>
      <c r="S16" s="33">
        <f>IFERROR(R16/P16,0)</f>
        <v>0</v>
      </c>
      <c r="T16" s="36"/>
      <c r="U16" s="30">
        <f>B16+C16+D16+E16+F16+G16+H16+I16+J16+K16+L16+M16</f>
        <v>18338.400000000001</v>
      </c>
    </row>
    <row r="17" spans="1:21" x14ac:dyDescent="0.25">
      <c r="A17" s="23" t="s">
        <v>18</v>
      </c>
      <c r="B17" s="31">
        <f>SUMIF(Source_PL!$A:$A,"Total for Income",Source_PL!B:B)</f>
        <v>165123.75</v>
      </c>
      <c r="C17" s="31">
        <f>SUMIF(Source_PL!$A:$A,"Total for Income",Source_PL!C:C)</f>
        <v>121759.1</v>
      </c>
      <c r="D17" s="31">
        <f>SUMIF(Source_PL!$A:$A,"Total for Income",Source_PL!D:D)</f>
        <v>711391.42</v>
      </c>
      <c r="E17" s="31">
        <f>SUMIF(Source_PL!$A:$A,"Total for Income",Source_PL!E:E)</f>
        <v>217033.56000000003</v>
      </c>
      <c r="F17" s="31">
        <f>SUMIF(Source_PL!$A:$A,"Total for Income",Source_PL!F:F)</f>
        <v>391584.49</v>
      </c>
      <c r="G17" s="31">
        <f>SUMIF(Source_PL!$A:$A,"Total for Income",Source_PL!G:G)</f>
        <v>271821.98</v>
      </c>
      <c r="H17" s="31">
        <f>SUMIF(Source_PL!$A:$A,"Total for Income",Source_PL!H:H)</f>
        <v>440913.28</v>
      </c>
      <c r="I17" s="31">
        <f>SUMIF(Source_PL!$A:$A,"Total for Income",Source_PL!I:I)</f>
        <v>574896.40999999992</v>
      </c>
      <c r="J17" s="31">
        <f>SUMIF(Source_PL!$A:$A,"Total for Income",Source_PL!J:J)</f>
        <v>456264.92</v>
      </c>
      <c r="K17" s="31">
        <f>SUMIF(Source_PL!$A:$A,"Total for Income",Source_PL!K:K)</f>
        <v>322167.76</v>
      </c>
      <c r="L17" s="31">
        <f>SUMIF(Source_PL!$A:$A,"Total for Income",Source_PL!L:L)</f>
        <v>595721.19000000006</v>
      </c>
      <c r="M17" s="31">
        <f>SUMIF(Source_PL!$A:$A,"Total for Income",Source_PL!M:M)</f>
        <v>715798.33</v>
      </c>
      <c r="N17" s="25" t="str">
        <f>IFERROR(LOOKUP(2,1/((Notes!$A$2:$A$100=TRIM($A17))*(Notes!$B$2:$B$100=Menu!$C$7)),Notes!$C$2:$C$100),"")</f>
        <v/>
      </c>
      <c r="O17" s="36"/>
      <c r="P17" s="31">
        <v>0</v>
      </c>
      <c r="Q17" s="31">
        <f>SUM(B17:M17)</f>
        <v>4984476.1900000004</v>
      </c>
      <c r="R17" s="31">
        <f>Q17-P17</f>
        <v>4984476.1900000004</v>
      </c>
      <c r="S17" s="34">
        <f>IFERROR(R17/P17,0)</f>
        <v>0</v>
      </c>
      <c r="T17" s="36"/>
      <c r="U17" s="31">
        <f>B17+C17+D17+E17+F17+G17+H17+I17+J17+K17+L17+M17</f>
        <v>4984476.1900000004</v>
      </c>
    </row>
    <row r="18" spans="1:21" x14ac:dyDescent="0.25">
      <c r="A18" s="21" t="s">
        <v>19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O18" s="36"/>
      <c r="P18" s="30"/>
      <c r="Q18" s="30"/>
      <c r="R18" s="30"/>
      <c r="S18" s="33"/>
      <c r="T18" s="36"/>
      <c r="U18" s="30"/>
    </row>
    <row r="19" spans="1:21" x14ac:dyDescent="0.25">
      <c r="A19" s="20" t="s">
        <v>265</v>
      </c>
      <c r="B19" s="30">
        <f>SUMIF(Source_PL!$A:$A,"5000 Cost of Goods Sold",Source_PL!B:B)</f>
        <v>0</v>
      </c>
      <c r="C19" s="30">
        <f>SUMIF(Source_PL!$A:$A,"5000 Cost of Goods Sold",Source_PL!C:C)</f>
        <v>0</v>
      </c>
      <c r="D19" s="30">
        <f>SUMIF(Source_PL!$A:$A,"5000 Cost of Goods Sold",Source_PL!D:D)</f>
        <v>0</v>
      </c>
      <c r="E19" s="30">
        <f>SUMIF(Source_PL!$A:$A,"5000 Cost of Goods Sold",Source_PL!E:E)</f>
        <v>0</v>
      </c>
      <c r="F19" s="30">
        <f>SUMIF(Source_PL!$A:$A,"5000 Cost of Goods Sold",Source_PL!F:F)</f>
        <v>0</v>
      </c>
      <c r="G19" s="30">
        <f>SUMIF(Source_PL!$A:$A,"5000 Cost of Goods Sold",Source_PL!G:G)</f>
        <v>0</v>
      </c>
      <c r="H19" s="30">
        <f>SUMIF(Source_PL!$A:$A,"5000 Cost of Goods Sold",Source_PL!H:H)</f>
        <v>0</v>
      </c>
      <c r="I19" s="30">
        <f>SUMIF(Source_PL!$A:$A,"5000 Cost of Goods Sold",Source_PL!I:I)</f>
        <v>0</v>
      </c>
      <c r="J19" s="30">
        <f>SUMIF(Source_PL!$A:$A,"5000 Cost of Goods Sold",Source_PL!J:J)</f>
        <v>0</v>
      </c>
      <c r="K19" s="30">
        <f>SUMIF(Source_PL!$A:$A,"5000 Cost of Goods Sold",Source_PL!K:K)</f>
        <v>0</v>
      </c>
      <c r="L19" s="30">
        <f>SUMIF(Source_PL!$A:$A,"5000 Cost of Goods Sold",Source_PL!L:L)</f>
        <v>0</v>
      </c>
      <c r="M19" s="30">
        <f>SUMIF(Source_PL!$A:$A,"5000 Cost of Goods Sold",Source_PL!M:M)</f>
        <v>0</v>
      </c>
      <c r="N19" s="22" t="str">
        <f>IFERROR(LOOKUP(2,1/((Notes!$A$2:$A$100=TRIM($A19))*(Notes!$B$2:$B$100=Menu!$C$7)),Notes!$C$2:$C$100),"")</f>
        <v/>
      </c>
      <c r="O19" s="36"/>
      <c r="P19" s="30">
        <v>0</v>
      </c>
      <c r="Q19" s="30">
        <f>SUM(B19:M19)</f>
        <v>0</v>
      </c>
      <c r="R19" s="30">
        <f>Q19-P19</f>
        <v>0</v>
      </c>
      <c r="S19" s="33">
        <f>IFERROR(R19/P19,0)</f>
        <v>0</v>
      </c>
      <c r="T19" s="36"/>
      <c r="U19" s="30">
        <f>B19+C19+D19+E19+F19+G19+H19+I19+J19+K19+L19+M19</f>
        <v>0</v>
      </c>
    </row>
    <row r="20" spans="1:21" x14ac:dyDescent="0.25">
      <c r="A20" s="20" t="s">
        <v>266</v>
      </c>
      <c r="B20" s="30">
        <f>SUMIF(Source_PL!$A:$A,"5001 Direct Costs - Job Materials",Source_PL!B:B)</f>
        <v>401918.85</v>
      </c>
      <c r="C20" s="30">
        <f>SUMIF(Source_PL!$A:$A,"5001 Direct Costs - Job Materials",Source_PL!C:C)</f>
        <v>31195.59</v>
      </c>
      <c r="D20" s="30">
        <f>SUMIF(Source_PL!$A:$A,"5001 Direct Costs - Job Materials",Source_PL!D:D)</f>
        <v>3264.86</v>
      </c>
      <c r="E20" s="30">
        <f>SUMIF(Source_PL!$A:$A,"5001 Direct Costs - Job Materials",Source_PL!E:E)</f>
        <v>1202.5899999999999</v>
      </c>
      <c r="F20" s="30">
        <f>SUMIF(Source_PL!$A:$A,"5001 Direct Costs - Job Materials",Source_PL!F:F)</f>
        <v>26179.84</v>
      </c>
      <c r="G20" s="30">
        <f>SUMIF(Source_PL!$A:$A,"5001 Direct Costs - Job Materials",Source_PL!G:G)</f>
        <v>2183.17</v>
      </c>
      <c r="H20" s="30">
        <f>SUMIF(Source_PL!$A:$A,"5001 Direct Costs - Job Materials",Source_PL!H:H)</f>
        <v>86573.09</v>
      </c>
      <c r="I20" s="30">
        <f>SUMIF(Source_PL!$A:$A,"5001 Direct Costs - Job Materials",Source_PL!I:I)</f>
        <v>181803.62</v>
      </c>
      <c r="J20" s="30">
        <f>SUMIF(Source_PL!$A:$A,"5001 Direct Costs - Job Materials",Source_PL!J:J)</f>
        <v>31916.93</v>
      </c>
      <c r="K20" s="30">
        <f>SUMIF(Source_PL!$A:$A,"5001 Direct Costs - Job Materials",Source_PL!K:K)</f>
        <v>55094.11</v>
      </c>
      <c r="L20" s="30">
        <f>SUMIF(Source_PL!$A:$A,"5001 Direct Costs - Job Materials",Source_PL!L:L)</f>
        <v>8163.62</v>
      </c>
      <c r="M20" s="30">
        <f>SUMIF(Source_PL!$A:$A,"5001 Direct Costs - Job Materials",Source_PL!M:M)</f>
        <v>9893.92</v>
      </c>
      <c r="N20" s="22" t="str">
        <f>IFERROR(LOOKUP(2,1/((Notes!$A$2:$A$100=TRIM($A20))*(Notes!$B$2:$B$100=Menu!$C$7)),Notes!$C$2:$C$100),"")</f>
        <v/>
      </c>
      <c r="O20" s="36"/>
      <c r="P20" s="30">
        <v>0</v>
      </c>
      <c r="Q20" s="30">
        <f>SUM(B20:M20)</f>
        <v>839390.19000000006</v>
      </c>
      <c r="R20" s="30">
        <f>Q20-P20</f>
        <v>839390.19000000006</v>
      </c>
      <c r="S20" s="33">
        <f>IFERROR(R20/P20,0)</f>
        <v>0</v>
      </c>
      <c r="T20" s="36"/>
      <c r="U20" s="30">
        <f>B20+C20+D20+E20+F20+G20+H20+I20+J20+K20+L20+M20</f>
        <v>839390.19000000006</v>
      </c>
    </row>
    <row r="21" spans="1:21" x14ac:dyDescent="0.25">
      <c r="A21" s="20" t="s">
        <v>267</v>
      </c>
      <c r="B21" s="30">
        <f>SUMIF(Source_PL!$A:$A,"5002 Direct Cost- Fuel",Source_PL!B:B)</f>
        <v>0</v>
      </c>
      <c r="C21" s="30">
        <f>SUMIF(Source_PL!$A:$A,"5002 Direct Cost- Fuel",Source_PL!C:C)</f>
        <v>0</v>
      </c>
      <c r="D21" s="30">
        <f>SUMIF(Source_PL!$A:$A,"5002 Direct Cost- Fuel",Source_PL!D:D)</f>
        <v>0</v>
      </c>
      <c r="E21" s="30">
        <f>SUMIF(Source_PL!$A:$A,"5002 Direct Cost- Fuel",Source_PL!E:E)</f>
        <v>0</v>
      </c>
      <c r="F21" s="30">
        <f>SUMIF(Source_PL!$A:$A,"5002 Direct Cost- Fuel",Source_PL!F:F)</f>
        <v>302.47000000000003</v>
      </c>
      <c r="G21" s="30">
        <f>SUMIF(Source_PL!$A:$A,"5002 Direct Cost- Fuel",Source_PL!G:G)</f>
        <v>241.17</v>
      </c>
      <c r="H21" s="30">
        <f>SUMIF(Source_PL!$A:$A,"5002 Direct Cost- Fuel",Source_PL!H:H)</f>
        <v>30.68</v>
      </c>
      <c r="I21" s="30">
        <f>SUMIF(Source_PL!$A:$A,"5002 Direct Cost- Fuel",Source_PL!I:I)</f>
        <v>3923.93</v>
      </c>
      <c r="J21" s="30">
        <f>SUMIF(Source_PL!$A:$A,"5002 Direct Cost- Fuel",Source_PL!J:J)</f>
        <v>2356.0300000000002</v>
      </c>
      <c r="K21" s="30">
        <f>SUMIF(Source_PL!$A:$A,"5002 Direct Cost- Fuel",Source_PL!K:K)</f>
        <v>4023.39</v>
      </c>
      <c r="L21" s="30">
        <f>SUMIF(Source_PL!$A:$A,"5002 Direct Cost- Fuel",Source_PL!L:L)</f>
        <v>4053.9</v>
      </c>
      <c r="M21" s="30">
        <f>SUMIF(Source_PL!$A:$A,"5002 Direct Cost- Fuel",Source_PL!M:M)</f>
        <v>4508.6400000000003</v>
      </c>
      <c r="N21" s="22" t="str">
        <f>IFERROR(LOOKUP(2,1/((Notes!$A$2:$A$100=TRIM($A21))*(Notes!$B$2:$B$100=Menu!$C$7)),Notes!$C$2:$C$100),"")</f>
        <v/>
      </c>
      <c r="O21" s="36"/>
      <c r="P21" s="30">
        <v>0</v>
      </c>
      <c r="Q21" s="30">
        <f>SUM(B21:M21)</f>
        <v>19440.21</v>
      </c>
      <c r="R21" s="30">
        <f>Q21-P21</f>
        <v>19440.21</v>
      </c>
      <c r="S21" s="33">
        <f>IFERROR(R21/P21,0)</f>
        <v>0</v>
      </c>
      <c r="T21" s="36"/>
      <c r="U21" s="30">
        <f>B21+C21+D21+E21+F21+G21+H21+I21+J21+K21+L21+M21</f>
        <v>19440.21</v>
      </c>
    </row>
    <row r="22" spans="1:21" x14ac:dyDescent="0.25">
      <c r="A22" s="20" t="s">
        <v>268</v>
      </c>
      <c r="B22" s="30">
        <f>SUMIF(Source_PL!$A:$A,"5003 Direct Cost- Meals",Source_PL!B:B)</f>
        <v>0</v>
      </c>
      <c r="C22" s="30">
        <f>SUMIF(Source_PL!$A:$A,"5003 Direct Cost- Meals",Source_PL!C:C)</f>
        <v>0</v>
      </c>
      <c r="D22" s="30">
        <f>SUMIF(Source_PL!$A:$A,"5003 Direct Cost- Meals",Source_PL!D:D)</f>
        <v>0</v>
      </c>
      <c r="E22" s="30">
        <f>SUMIF(Source_PL!$A:$A,"5003 Direct Cost- Meals",Source_PL!E:E)</f>
        <v>0</v>
      </c>
      <c r="F22" s="30">
        <f>SUMIF(Source_PL!$A:$A,"5003 Direct Cost- Meals",Source_PL!F:F)</f>
        <v>185.84</v>
      </c>
      <c r="G22" s="30">
        <f>SUMIF(Source_PL!$A:$A,"5003 Direct Cost- Meals",Source_PL!G:G)</f>
        <v>324.89</v>
      </c>
      <c r="H22" s="30">
        <f>SUMIF(Source_PL!$A:$A,"5003 Direct Cost- Meals",Source_PL!H:H)</f>
        <v>0</v>
      </c>
      <c r="I22" s="30">
        <f>SUMIF(Source_PL!$A:$A,"5003 Direct Cost- Meals",Source_PL!I:I)</f>
        <v>494.4</v>
      </c>
      <c r="J22" s="30">
        <f>SUMIF(Source_PL!$A:$A,"5003 Direct Cost- Meals",Source_PL!J:J)</f>
        <v>468.35</v>
      </c>
      <c r="K22" s="30">
        <f>SUMIF(Source_PL!$A:$A,"5003 Direct Cost- Meals",Source_PL!K:K)</f>
        <v>1434.67</v>
      </c>
      <c r="L22" s="30">
        <f>SUMIF(Source_PL!$A:$A,"5003 Direct Cost- Meals",Source_PL!L:L)</f>
        <v>542.66999999999996</v>
      </c>
      <c r="M22" s="30">
        <f>SUMIF(Source_PL!$A:$A,"5003 Direct Cost- Meals",Source_PL!M:M)</f>
        <v>283.56</v>
      </c>
      <c r="N22" s="22" t="str">
        <f>IFERROR(LOOKUP(2,1/((Notes!$A$2:$A$100=TRIM($A22))*(Notes!$B$2:$B$100=Menu!$C$7)),Notes!$C$2:$C$100),"")</f>
        <v/>
      </c>
      <c r="O22" s="36"/>
      <c r="P22" s="30">
        <v>0</v>
      </c>
      <c r="Q22" s="30">
        <f>SUM(B22:M22)</f>
        <v>3734.38</v>
      </c>
      <c r="R22" s="30">
        <f>Q22-P22</f>
        <v>3734.38</v>
      </c>
      <c r="S22" s="33">
        <f>IFERROR(R22/P22,0)</f>
        <v>0</v>
      </c>
      <c r="T22" s="36"/>
      <c r="U22" s="30">
        <f>B22+C22+D22+E22+F22+G22+H22+I22+J22+K22+L22+M22</f>
        <v>3734.38</v>
      </c>
    </row>
    <row r="23" spans="1:21" x14ac:dyDescent="0.25">
      <c r="A23" s="20" t="s">
        <v>269</v>
      </c>
      <c r="B23" s="30">
        <f>SUMIF(Source_PL!$A:$A,"5004 Direct Cost- Travel &amp; Lodging",Source_PL!B:B)</f>
        <v>5182.87</v>
      </c>
      <c r="C23" s="30">
        <f>SUMIF(Source_PL!$A:$A,"5004 Direct Cost- Travel &amp; Lodging",Source_PL!C:C)</f>
        <v>0</v>
      </c>
      <c r="D23" s="30">
        <f>SUMIF(Source_PL!$A:$A,"5004 Direct Cost- Travel &amp; Lodging",Source_PL!D:D)</f>
        <v>0</v>
      </c>
      <c r="E23" s="30">
        <f>SUMIF(Source_PL!$A:$A,"5004 Direct Cost- Travel &amp; Lodging",Source_PL!E:E)</f>
        <v>0</v>
      </c>
      <c r="F23" s="30">
        <f>SUMIF(Source_PL!$A:$A,"5004 Direct Cost- Travel &amp; Lodging",Source_PL!F:F)</f>
        <v>2767.82</v>
      </c>
      <c r="G23" s="30">
        <f>SUMIF(Source_PL!$A:$A,"5004 Direct Cost- Travel &amp; Lodging",Source_PL!G:G)</f>
        <v>3881.24</v>
      </c>
      <c r="H23" s="30">
        <f>SUMIF(Source_PL!$A:$A,"5004 Direct Cost- Travel &amp; Lodging",Source_PL!H:H)</f>
        <v>-36.33</v>
      </c>
      <c r="I23" s="30">
        <f>SUMIF(Source_PL!$A:$A,"5004 Direct Cost- Travel &amp; Lodging",Source_PL!I:I)</f>
        <v>37151.33</v>
      </c>
      <c r="J23" s="30">
        <f>SUMIF(Source_PL!$A:$A,"5004 Direct Cost- Travel &amp; Lodging",Source_PL!J:J)</f>
        <v>17953.62</v>
      </c>
      <c r="K23" s="30">
        <f>SUMIF(Source_PL!$A:$A,"5004 Direct Cost- Travel &amp; Lodging",Source_PL!K:K)</f>
        <v>11235.63</v>
      </c>
      <c r="L23" s="30">
        <f>SUMIF(Source_PL!$A:$A,"5004 Direct Cost- Travel &amp; Lodging",Source_PL!L:L)</f>
        <v>9555.0300000000007</v>
      </c>
      <c r="M23" s="30">
        <f>SUMIF(Source_PL!$A:$A,"5004 Direct Cost- Travel &amp; Lodging",Source_PL!M:M)</f>
        <v>7321.74</v>
      </c>
      <c r="N23" s="22" t="str">
        <f>IFERROR(LOOKUP(2,1/((Notes!$A$2:$A$100=TRIM($A23))*(Notes!$B$2:$B$100=Menu!$C$7)),Notes!$C$2:$C$100),"")</f>
        <v/>
      </c>
      <c r="O23" s="36"/>
      <c r="P23" s="30">
        <v>0</v>
      </c>
      <c r="Q23" s="30">
        <f>SUM(B23:M23)</f>
        <v>95012.950000000012</v>
      </c>
      <c r="R23" s="30">
        <f>Q23-P23</f>
        <v>95012.950000000012</v>
      </c>
      <c r="S23" s="33">
        <f>IFERROR(R23/P23,0)</f>
        <v>0</v>
      </c>
      <c r="T23" s="36"/>
      <c r="U23" s="30">
        <f>B23+C23+D23+E23+F23+G23+H23+I23+J23+K23+L23+M23</f>
        <v>95012.950000000012</v>
      </c>
    </row>
    <row r="24" spans="1:21" x14ac:dyDescent="0.25">
      <c r="A24" s="20" t="s">
        <v>270</v>
      </c>
      <c r="B24" s="30">
        <f>SUMIF(Source_PL!$A:$A,"5005 Direct Cost- Postage &amp; Delivery",Source_PL!B:B)</f>
        <v>0</v>
      </c>
      <c r="C24" s="30">
        <f>SUMIF(Source_PL!$A:$A,"5005 Direct Cost- Postage &amp; Delivery",Source_PL!C:C)</f>
        <v>0</v>
      </c>
      <c r="D24" s="30">
        <f>SUMIF(Source_PL!$A:$A,"5005 Direct Cost- Postage &amp; Delivery",Source_PL!D:D)</f>
        <v>0</v>
      </c>
      <c r="E24" s="30">
        <f>SUMIF(Source_PL!$A:$A,"5005 Direct Cost- Postage &amp; Delivery",Source_PL!E:E)</f>
        <v>0</v>
      </c>
      <c r="F24" s="30">
        <f>SUMIF(Source_PL!$A:$A,"5005 Direct Cost- Postage &amp; Delivery",Source_PL!F:F)</f>
        <v>0</v>
      </c>
      <c r="G24" s="30">
        <f>SUMIF(Source_PL!$A:$A,"5005 Direct Cost- Postage &amp; Delivery",Source_PL!G:G)</f>
        <v>0</v>
      </c>
      <c r="H24" s="30">
        <f>SUMIF(Source_PL!$A:$A,"5005 Direct Cost- Postage &amp; Delivery",Source_PL!H:H)</f>
        <v>0</v>
      </c>
      <c r="I24" s="30">
        <f>SUMIF(Source_PL!$A:$A,"5005 Direct Cost- Postage &amp; Delivery",Source_PL!I:I)</f>
        <v>229.83</v>
      </c>
      <c r="J24" s="30">
        <f>SUMIF(Source_PL!$A:$A,"5005 Direct Cost- Postage &amp; Delivery",Source_PL!J:J)</f>
        <v>0</v>
      </c>
      <c r="K24" s="30">
        <f>SUMIF(Source_PL!$A:$A,"5005 Direct Cost- Postage &amp; Delivery",Source_PL!K:K)</f>
        <v>0</v>
      </c>
      <c r="L24" s="30">
        <f>SUMIF(Source_PL!$A:$A,"5005 Direct Cost- Postage &amp; Delivery",Source_PL!L:L)</f>
        <v>187</v>
      </c>
      <c r="M24" s="30">
        <f>SUMIF(Source_PL!$A:$A,"5005 Direct Cost- Postage &amp; Delivery",Source_PL!M:M)</f>
        <v>518.41</v>
      </c>
      <c r="N24" s="22" t="str">
        <f>IFERROR(LOOKUP(2,1/((Notes!$A$2:$A$100=TRIM($A24))*(Notes!$B$2:$B$100=Menu!$C$7)),Notes!$C$2:$C$100),"")</f>
        <v/>
      </c>
      <c r="O24" s="36"/>
      <c r="P24" s="30">
        <v>0</v>
      </c>
      <c r="Q24" s="30">
        <f>SUM(B24:M24)</f>
        <v>935.24</v>
      </c>
      <c r="R24" s="30">
        <f>Q24-P24</f>
        <v>935.24</v>
      </c>
      <c r="S24" s="33">
        <f>IFERROR(R24/P24,0)</f>
        <v>0</v>
      </c>
      <c r="T24" s="36"/>
      <c r="U24" s="30">
        <f>B24+C24+D24+E24+F24+G24+H24+I24+J24+K24+L24+M24</f>
        <v>935.24</v>
      </c>
    </row>
    <row r="25" spans="1:21" x14ac:dyDescent="0.25">
      <c r="A25" s="20" t="s">
        <v>271</v>
      </c>
      <c r="B25" s="30">
        <f>SUMIF(Source_PL!$A:$A,"5006 Direct Cost- Wages",Source_PL!B:B)</f>
        <v>0</v>
      </c>
      <c r="C25" s="30">
        <f>SUMIF(Source_PL!$A:$A,"5006 Direct Cost- Wages",Source_PL!C:C)</f>
        <v>0</v>
      </c>
      <c r="D25" s="30">
        <f>SUMIF(Source_PL!$A:$A,"5006 Direct Cost- Wages",Source_PL!D:D)</f>
        <v>0</v>
      </c>
      <c r="E25" s="30">
        <f>SUMIF(Source_PL!$A:$A,"5006 Direct Cost- Wages",Source_PL!E:E)</f>
        <v>0</v>
      </c>
      <c r="F25" s="30">
        <f>SUMIF(Source_PL!$A:$A,"5006 Direct Cost- Wages",Source_PL!F:F)</f>
        <v>0</v>
      </c>
      <c r="G25" s="30">
        <f>SUMIF(Source_PL!$A:$A,"5006 Direct Cost- Wages",Source_PL!G:G)</f>
        <v>0</v>
      </c>
      <c r="H25" s="30">
        <f>SUMIF(Source_PL!$A:$A,"5006 Direct Cost- Wages",Source_PL!H:H)</f>
        <v>0</v>
      </c>
      <c r="I25" s="30">
        <f>SUMIF(Source_PL!$A:$A,"5006 Direct Cost- Wages",Source_PL!I:I)</f>
        <v>36895.97</v>
      </c>
      <c r="J25" s="30">
        <f>SUMIF(Source_PL!$A:$A,"5006 Direct Cost- Wages",Source_PL!J:J)</f>
        <v>82264.639999999999</v>
      </c>
      <c r="K25" s="30">
        <f>SUMIF(Source_PL!$A:$A,"5006 Direct Cost- Wages",Source_PL!K:K)</f>
        <v>91277.73</v>
      </c>
      <c r="L25" s="30">
        <f>SUMIF(Source_PL!$A:$A,"5006 Direct Cost- Wages",Source_PL!L:L)</f>
        <v>107220.78</v>
      </c>
      <c r="M25" s="30">
        <f>SUMIF(Source_PL!$A:$A,"5006 Direct Cost- Wages",Source_PL!M:M)</f>
        <v>92045.01</v>
      </c>
      <c r="N25" s="22" t="str">
        <f>IFERROR(LOOKUP(2,1/((Notes!$A$2:$A$100=TRIM($A25))*(Notes!$B$2:$B$100=Menu!$C$7)),Notes!$C$2:$C$100),"")</f>
        <v/>
      </c>
      <c r="O25" s="36"/>
      <c r="P25" s="30">
        <v>0</v>
      </c>
      <c r="Q25" s="30">
        <f>SUM(B25:M25)</f>
        <v>409704.13</v>
      </c>
      <c r="R25" s="30">
        <f>Q25-P25</f>
        <v>409704.13</v>
      </c>
      <c r="S25" s="33">
        <f>IFERROR(R25/P25,0)</f>
        <v>0</v>
      </c>
      <c r="T25" s="36"/>
      <c r="U25" s="30">
        <f>B25+C25+D25+E25+F25+G25+H25+I25+J25+K25+L25+M25</f>
        <v>409704.13</v>
      </c>
    </row>
    <row r="26" spans="1:21" x14ac:dyDescent="0.25">
      <c r="A26" s="20" t="s">
        <v>272</v>
      </c>
      <c r="B26" s="30">
        <f>SUMIF(Source_PL!$A:$A,"5007 Direct Costs - Rental Equipment",Source_PL!B:B)</f>
        <v>0</v>
      </c>
      <c r="C26" s="30">
        <f>SUMIF(Source_PL!$A:$A,"5007 Direct Costs - Rental Equipment",Source_PL!C:C)</f>
        <v>0</v>
      </c>
      <c r="D26" s="30">
        <f>SUMIF(Source_PL!$A:$A,"5007 Direct Costs - Rental Equipment",Source_PL!D:D)</f>
        <v>0</v>
      </c>
      <c r="E26" s="30">
        <f>SUMIF(Source_PL!$A:$A,"5007 Direct Costs - Rental Equipment",Source_PL!E:E)</f>
        <v>0</v>
      </c>
      <c r="F26" s="30">
        <f>SUMIF(Source_PL!$A:$A,"5007 Direct Costs - Rental Equipment",Source_PL!F:F)</f>
        <v>0</v>
      </c>
      <c r="G26" s="30">
        <f>SUMIF(Source_PL!$A:$A,"5007 Direct Costs - Rental Equipment",Source_PL!G:G)</f>
        <v>0</v>
      </c>
      <c r="H26" s="30">
        <f>SUMIF(Source_PL!$A:$A,"5007 Direct Costs - Rental Equipment",Source_PL!H:H)</f>
        <v>0</v>
      </c>
      <c r="I26" s="30">
        <f>SUMIF(Source_PL!$A:$A,"5007 Direct Costs - Rental Equipment",Source_PL!I:I)</f>
        <v>1624.16</v>
      </c>
      <c r="J26" s="30">
        <f>SUMIF(Source_PL!$A:$A,"5007 Direct Costs - Rental Equipment",Source_PL!J:J)</f>
        <v>0</v>
      </c>
      <c r="K26" s="30">
        <f>SUMIF(Source_PL!$A:$A,"5007 Direct Costs - Rental Equipment",Source_PL!K:K)</f>
        <v>0</v>
      </c>
      <c r="L26" s="30">
        <f>SUMIF(Source_PL!$A:$A,"5007 Direct Costs - Rental Equipment",Source_PL!L:L)</f>
        <v>3860.32</v>
      </c>
      <c r="M26" s="30">
        <f>SUMIF(Source_PL!$A:$A,"5007 Direct Costs - Rental Equipment",Source_PL!M:M)</f>
        <v>14913.4</v>
      </c>
      <c r="N26" s="22" t="str">
        <f>IFERROR(LOOKUP(2,1/((Notes!$A$2:$A$100=TRIM($A26))*(Notes!$B$2:$B$100=Menu!$C$7)),Notes!$C$2:$C$100),"")</f>
        <v/>
      </c>
      <c r="O26" s="36"/>
      <c r="P26" s="30">
        <v>0</v>
      </c>
      <c r="Q26" s="30">
        <f>SUM(B26:M26)</f>
        <v>20397.88</v>
      </c>
      <c r="R26" s="30">
        <f>Q26-P26</f>
        <v>20397.88</v>
      </c>
      <c r="S26" s="33">
        <f>IFERROR(R26/P26,0)</f>
        <v>0</v>
      </c>
      <c r="T26" s="36"/>
      <c r="U26" s="30">
        <f>B26+C26+D26+E26+F26+G26+H26+I26+J26+K26+L26+M26</f>
        <v>20397.88</v>
      </c>
    </row>
    <row r="27" spans="1:21" x14ac:dyDescent="0.25">
      <c r="A27" s="20" t="s">
        <v>273</v>
      </c>
      <c r="B27" s="30">
        <f>SUMIF(Source_PL!$A:$A,"5008 Direct Costs - Contract Labor",Source_PL!B:B)</f>
        <v>25016.17</v>
      </c>
      <c r="C27" s="30">
        <f>SUMIF(Source_PL!$A:$A,"5008 Direct Costs - Contract Labor",Source_PL!C:C)</f>
        <v>10828.69</v>
      </c>
      <c r="D27" s="30">
        <f>SUMIF(Source_PL!$A:$A,"5008 Direct Costs - Contract Labor",Source_PL!D:D)</f>
        <v>46382.95</v>
      </c>
      <c r="E27" s="30">
        <f>SUMIF(Source_PL!$A:$A,"5008 Direct Costs - Contract Labor",Source_PL!E:E)</f>
        <v>2355.8200000000002</v>
      </c>
      <c r="F27" s="30">
        <f>SUMIF(Source_PL!$A:$A,"5008 Direct Costs - Contract Labor",Source_PL!F:F)</f>
        <v>3706</v>
      </c>
      <c r="G27" s="30">
        <f>SUMIF(Source_PL!$A:$A,"5008 Direct Costs - Contract Labor",Source_PL!G:G)</f>
        <v>0</v>
      </c>
      <c r="H27" s="30">
        <f>SUMIF(Source_PL!$A:$A,"5008 Direct Costs - Contract Labor",Source_PL!H:H)</f>
        <v>37406.730000000003</v>
      </c>
      <c r="I27" s="30">
        <f>SUMIF(Source_PL!$A:$A,"5008 Direct Costs - Contract Labor",Source_PL!I:I)</f>
        <v>46830.06</v>
      </c>
      <c r="J27" s="30">
        <f>SUMIF(Source_PL!$A:$A,"5008 Direct Costs - Contract Labor",Source_PL!J:J)</f>
        <v>16346.46</v>
      </c>
      <c r="K27" s="30">
        <f>SUMIF(Source_PL!$A:$A,"5008 Direct Costs - Contract Labor",Source_PL!K:K)</f>
        <v>26496.23</v>
      </c>
      <c r="L27" s="30">
        <f>SUMIF(Source_PL!$A:$A,"5008 Direct Costs - Contract Labor",Source_PL!L:L)</f>
        <v>71496.83</v>
      </c>
      <c r="M27" s="30">
        <f>SUMIF(Source_PL!$A:$A,"5008 Direct Costs - Contract Labor",Source_PL!M:M)</f>
        <v>95055.43</v>
      </c>
      <c r="N27" s="22" t="str">
        <f>IFERROR(LOOKUP(2,1/((Notes!$A$2:$A$100=TRIM($A27))*(Notes!$B$2:$B$100=Menu!$C$7)),Notes!$C$2:$C$100),"")</f>
        <v/>
      </c>
      <c r="O27" s="36"/>
      <c r="P27" s="30">
        <v>0</v>
      </c>
      <c r="Q27" s="30">
        <f>SUM(B27:M27)</f>
        <v>381921.37</v>
      </c>
      <c r="R27" s="30">
        <f>Q27-P27</f>
        <v>381921.37</v>
      </c>
      <c r="S27" s="33">
        <f>IFERROR(R27/P27,0)</f>
        <v>0</v>
      </c>
      <c r="T27" s="36"/>
      <c r="U27" s="30">
        <f>B27+C27+D27+E27+F27+G27+H27+I27+J27+K27+L27+M27</f>
        <v>381921.37</v>
      </c>
    </row>
    <row r="28" spans="1:21" x14ac:dyDescent="0.25">
      <c r="A28" s="20" t="s">
        <v>274</v>
      </c>
      <c r="B28" s="30">
        <f>SUMIF(Source_PL!$A:$A,"5009 Direct Cost - Third Party Testing",Source_PL!B:B)</f>
        <v>0</v>
      </c>
      <c r="C28" s="30">
        <f>SUMIF(Source_PL!$A:$A,"5009 Direct Cost - Third Party Testing",Source_PL!C:C)</f>
        <v>0</v>
      </c>
      <c r="D28" s="30">
        <f>SUMIF(Source_PL!$A:$A,"5009 Direct Cost - Third Party Testing",Source_PL!D:D)</f>
        <v>0</v>
      </c>
      <c r="E28" s="30">
        <f>SUMIF(Source_PL!$A:$A,"5009 Direct Cost - Third Party Testing",Source_PL!E:E)</f>
        <v>0</v>
      </c>
      <c r="F28" s="30">
        <f>SUMIF(Source_PL!$A:$A,"5009 Direct Cost - Third Party Testing",Source_PL!F:F)</f>
        <v>300</v>
      </c>
      <c r="G28" s="30">
        <f>SUMIF(Source_PL!$A:$A,"5009 Direct Cost - Third Party Testing",Source_PL!G:G)</f>
        <v>300</v>
      </c>
      <c r="H28" s="30">
        <f>SUMIF(Source_PL!$A:$A,"5009 Direct Cost - Third Party Testing",Source_PL!H:H)</f>
        <v>0</v>
      </c>
      <c r="I28" s="30">
        <f>SUMIF(Source_PL!$A:$A,"5009 Direct Cost - Third Party Testing",Source_PL!I:I)</f>
        <v>0</v>
      </c>
      <c r="J28" s="30">
        <f>SUMIF(Source_PL!$A:$A,"5009 Direct Cost - Third Party Testing",Source_PL!J:J)</f>
        <v>0</v>
      </c>
      <c r="K28" s="30">
        <f>SUMIF(Source_PL!$A:$A,"5009 Direct Cost - Third Party Testing",Source_PL!K:K)</f>
        <v>0</v>
      </c>
      <c r="L28" s="30">
        <f>SUMIF(Source_PL!$A:$A,"5009 Direct Cost - Third Party Testing",Source_PL!L:L)</f>
        <v>5700</v>
      </c>
      <c r="M28" s="30">
        <f>SUMIF(Source_PL!$A:$A,"5009 Direct Cost - Third Party Testing",Source_PL!M:M)</f>
        <v>0</v>
      </c>
      <c r="N28" s="22" t="str">
        <f>IFERROR(LOOKUP(2,1/((Notes!$A$2:$A$100=TRIM($A28))*(Notes!$B$2:$B$100=Menu!$C$7)),Notes!$C$2:$C$100),"")</f>
        <v/>
      </c>
      <c r="O28" s="36"/>
      <c r="P28" s="30">
        <v>0</v>
      </c>
      <c r="Q28" s="30">
        <f>SUM(B28:M28)</f>
        <v>6300</v>
      </c>
      <c r="R28" s="30">
        <f>Q28-P28</f>
        <v>6300</v>
      </c>
      <c r="S28" s="33">
        <f>IFERROR(R28/P28,0)</f>
        <v>0</v>
      </c>
      <c r="T28" s="36"/>
      <c r="U28" s="30">
        <f>B28+C28+D28+E28+F28+G28+H28+I28+J28+K28+L28+M28</f>
        <v>6300</v>
      </c>
    </row>
    <row r="29" spans="1:21" x14ac:dyDescent="0.25">
      <c r="A29" s="20" t="s">
        <v>275</v>
      </c>
      <c r="B29" s="30">
        <f>SUMIF(Source_PL!$A:$A,"5050 Direct Costs - Insurance",Source_PL!B:B)</f>
        <v>0</v>
      </c>
      <c r="C29" s="30">
        <f>SUMIF(Source_PL!$A:$A,"5050 Direct Costs - Insurance",Source_PL!C:C)</f>
        <v>0</v>
      </c>
      <c r="D29" s="30">
        <f>SUMIF(Source_PL!$A:$A,"5050 Direct Costs - Insurance",Source_PL!D:D)</f>
        <v>0</v>
      </c>
      <c r="E29" s="30">
        <f>SUMIF(Source_PL!$A:$A,"5050 Direct Costs - Insurance",Source_PL!E:E)</f>
        <v>0</v>
      </c>
      <c r="F29" s="30">
        <f>SUMIF(Source_PL!$A:$A,"5050 Direct Costs - Insurance",Source_PL!F:F)</f>
        <v>0</v>
      </c>
      <c r="G29" s="30">
        <f>SUMIF(Source_PL!$A:$A,"5050 Direct Costs - Insurance",Source_PL!G:G)</f>
        <v>0</v>
      </c>
      <c r="H29" s="30">
        <f>SUMIF(Source_PL!$A:$A,"5050 Direct Costs - Insurance",Source_PL!H:H)</f>
        <v>5167.5</v>
      </c>
      <c r="I29" s="30">
        <f>SUMIF(Source_PL!$A:$A,"5050 Direct Costs - Insurance",Source_PL!I:I)</f>
        <v>0</v>
      </c>
      <c r="J29" s="30">
        <f>SUMIF(Source_PL!$A:$A,"5050 Direct Costs - Insurance",Source_PL!J:J)</f>
        <v>0</v>
      </c>
      <c r="K29" s="30">
        <f>SUMIF(Source_PL!$A:$A,"5050 Direct Costs - Insurance",Source_PL!K:K)</f>
        <v>0</v>
      </c>
      <c r="L29" s="30">
        <f>SUMIF(Source_PL!$A:$A,"5050 Direct Costs - Insurance",Source_PL!L:L)</f>
        <v>0</v>
      </c>
      <c r="M29" s="30">
        <f>SUMIF(Source_PL!$A:$A,"5050 Direct Costs - Insurance",Source_PL!M:M)</f>
        <v>0</v>
      </c>
      <c r="N29" s="22" t="str">
        <f>IFERROR(LOOKUP(2,1/((Notes!$A$2:$A$100=TRIM($A29))*(Notes!$B$2:$B$100=Menu!$C$7)),Notes!$C$2:$C$100),"")</f>
        <v/>
      </c>
      <c r="O29" s="36"/>
      <c r="P29" s="30">
        <v>0</v>
      </c>
      <c r="Q29" s="30">
        <f>SUM(B29:M29)</f>
        <v>5167.5</v>
      </c>
      <c r="R29" s="30">
        <f>Q29-P29</f>
        <v>5167.5</v>
      </c>
      <c r="S29" s="33">
        <f>IFERROR(R29/P29,0)</f>
        <v>0</v>
      </c>
      <c r="T29" s="36"/>
      <c r="U29" s="30">
        <f>B29+C29+D29+E29+F29+G29+H29+I29+J29+K29+L29+M29</f>
        <v>5167.5</v>
      </c>
    </row>
    <row r="30" spans="1:21" x14ac:dyDescent="0.25">
      <c r="A30" s="23" t="s">
        <v>31</v>
      </c>
      <c r="B30" s="31">
        <f>SUMIF(Source_PL!$A:$A,"Total for 5000 Cost of Goods Sold",Source_PL!B:B)</f>
        <v>432117.88999999996</v>
      </c>
      <c r="C30" s="31">
        <f>SUMIF(Source_PL!$A:$A,"Total for 5000 Cost of Goods Sold",Source_PL!C:C)</f>
        <v>42024.28</v>
      </c>
      <c r="D30" s="31">
        <f>SUMIF(Source_PL!$A:$A,"Total for 5000 Cost of Goods Sold",Source_PL!D:D)</f>
        <v>49647.81</v>
      </c>
      <c r="E30" s="31">
        <f>SUMIF(Source_PL!$A:$A,"Total for 5000 Cost of Goods Sold",Source_PL!E:E)</f>
        <v>3558.41</v>
      </c>
      <c r="F30" s="31">
        <f>SUMIF(Source_PL!$A:$A,"Total for 5000 Cost of Goods Sold",Source_PL!F:F)</f>
        <v>33441.97</v>
      </c>
      <c r="G30" s="31">
        <f>SUMIF(Source_PL!$A:$A,"Total for 5000 Cost of Goods Sold",Source_PL!G:G)</f>
        <v>6930.4699999999993</v>
      </c>
      <c r="H30" s="31">
        <f>SUMIF(Source_PL!$A:$A,"Total for 5000 Cost of Goods Sold",Source_PL!H:H)</f>
        <v>129141.66999999998</v>
      </c>
      <c r="I30" s="31">
        <f>SUMIF(Source_PL!$A:$A,"Total for 5000 Cost of Goods Sold",Source_PL!I:I)</f>
        <v>308953.29999999993</v>
      </c>
      <c r="J30" s="31">
        <f>SUMIF(Source_PL!$A:$A,"Total for 5000 Cost of Goods Sold",Source_PL!J:J)</f>
        <v>151306.03</v>
      </c>
      <c r="K30" s="31">
        <f>SUMIF(Source_PL!$A:$A,"Total for 5000 Cost of Goods Sold",Source_PL!K:K)</f>
        <v>189561.76</v>
      </c>
      <c r="L30" s="31">
        <f>SUMIF(Source_PL!$A:$A,"Total for 5000 Cost of Goods Sold",Source_PL!L:L)</f>
        <v>210780.15000000002</v>
      </c>
      <c r="M30" s="31">
        <f>SUMIF(Source_PL!$A:$A,"Total for 5000 Cost of Goods Sold",Source_PL!M:M)</f>
        <v>224540.11</v>
      </c>
      <c r="N30" s="25" t="str">
        <f>IFERROR(LOOKUP(2,1/((Notes!$A$2:$A$100=TRIM($A30))*(Notes!$B$2:$B$100=Menu!$C$7)),Notes!$C$2:$C$100),"")</f>
        <v/>
      </c>
      <c r="O30" s="36"/>
      <c r="P30" s="31">
        <v>0</v>
      </c>
      <c r="Q30" s="31">
        <f>SUM(B30:M30)</f>
        <v>1782003.8499999996</v>
      </c>
      <c r="R30" s="31">
        <f>Q30-P30</f>
        <v>1782003.8499999996</v>
      </c>
      <c r="S30" s="34">
        <f>IFERROR(R30/P30,0)</f>
        <v>0</v>
      </c>
      <c r="T30" s="36"/>
      <c r="U30" s="31">
        <f>B30+C30+D30+E30+F30+G30+H30+I30+J30+K30+L30+M30</f>
        <v>1782003.8499999996</v>
      </c>
    </row>
    <row r="31" spans="1:21" x14ac:dyDescent="0.25">
      <c r="A31" s="23" t="s">
        <v>32</v>
      </c>
      <c r="B31" s="31">
        <f>SUMIF(Source_PL!$A:$A,"Total for Cost of Sales",Source_PL!B:B)</f>
        <v>432117.88999999996</v>
      </c>
      <c r="C31" s="31">
        <f>SUMIF(Source_PL!$A:$A,"Total for Cost of Sales",Source_PL!C:C)</f>
        <v>42024.28</v>
      </c>
      <c r="D31" s="31">
        <f>SUMIF(Source_PL!$A:$A,"Total for Cost of Sales",Source_PL!D:D)</f>
        <v>49647.81</v>
      </c>
      <c r="E31" s="31">
        <f>SUMIF(Source_PL!$A:$A,"Total for Cost of Sales",Source_PL!E:E)</f>
        <v>3558.41</v>
      </c>
      <c r="F31" s="31">
        <f>SUMIF(Source_PL!$A:$A,"Total for Cost of Sales",Source_PL!F:F)</f>
        <v>33441.97</v>
      </c>
      <c r="G31" s="31">
        <f>SUMIF(Source_PL!$A:$A,"Total for Cost of Sales",Source_PL!G:G)</f>
        <v>6930.4699999999993</v>
      </c>
      <c r="H31" s="31">
        <f>SUMIF(Source_PL!$A:$A,"Total for Cost of Sales",Source_PL!H:H)</f>
        <v>129141.66999999998</v>
      </c>
      <c r="I31" s="31">
        <f>SUMIF(Source_PL!$A:$A,"Total for Cost of Sales",Source_PL!I:I)</f>
        <v>308953.29999999993</v>
      </c>
      <c r="J31" s="31">
        <f>SUMIF(Source_PL!$A:$A,"Total for Cost of Sales",Source_PL!J:J)</f>
        <v>151306.03</v>
      </c>
      <c r="K31" s="31">
        <f>SUMIF(Source_PL!$A:$A,"Total for Cost of Sales",Source_PL!K:K)</f>
        <v>189561.76</v>
      </c>
      <c r="L31" s="31">
        <f>SUMIF(Source_PL!$A:$A,"Total for Cost of Sales",Source_PL!L:L)</f>
        <v>210780.15000000002</v>
      </c>
      <c r="M31" s="31">
        <f>SUMIF(Source_PL!$A:$A,"Total for Cost of Sales",Source_PL!M:M)</f>
        <v>224540.11</v>
      </c>
      <c r="N31" s="25" t="str">
        <f>IFERROR(LOOKUP(2,1/((Notes!$A$2:$A$100=TRIM($A31))*(Notes!$B$2:$B$100=Menu!$C$7)),Notes!$C$2:$C$100),"")</f>
        <v/>
      </c>
      <c r="O31" s="36"/>
      <c r="P31" s="31">
        <v>0</v>
      </c>
      <c r="Q31" s="31">
        <f>SUM(B31:M31)</f>
        <v>1782003.8499999996</v>
      </c>
      <c r="R31" s="31">
        <f>Q31-P31</f>
        <v>1782003.8499999996</v>
      </c>
      <c r="S31" s="34">
        <f>IFERROR(R31/P31,0)</f>
        <v>0</v>
      </c>
      <c r="T31" s="36"/>
      <c r="U31" s="31">
        <f>B31+C31+D31+E31+F31+G31+H31+I31+J31+K31+L31+M31</f>
        <v>1782003.8499999996</v>
      </c>
    </row>
    <row r="32" spans="1:21" x14ac:dyDescent="0.25">
      <c r="A32" s="23" t="s">
        <v>276</v>
      </c>
      <c r="B32" s="31">
        <f>SUMIF(Source_PL!$A:$A,"Gross Profit",Source_PL!B:B)</f>
        <v>-266994.13999999996</v>
      </c>
      <c r="C32" s="31">
        <f>SUMIF(Source_PL!$A:$A,"Gross Profit",Source_PL!C:C)</f>
        <v>79734.820000000007</v>
      </c>
      <c r="D32" s="31">
        <f>SUMIF(Source_PL!$A:$A,"Gross Profit",Source_PL!D:D)</f>
        <v>661743.6100000001</v>
      </c>
      <c r="E32" s="31">
        <f>SUMIF(Source_PL!$A:$A,"Gross Profit",Source_PL!E:E)</f>
        <v>213475.15000000002</v>
      </c>
      <c r="F32" s="31">
        <f>SUMIF(Source_PL!$A:$A,"Gross Profit",Source_PL!F:F)</f>
        <v>358142.52</v>
      </c>
      <c r="G32" s="31">
        <f>SUMIF(Source_PL!$A:$A,"Gross Profit",Source_PL!G:G)</f>
        <v>264891.51</v>
      </c>
      <c r="H32" s="31">
        <f>SUMIF(Source_PL!$A:$A,"Gross Profit",Source_PL!H:H)</f>
        <v>311771.61000000004</v>
      </c>
      <c r="I32" s="31">
        <f>SUMIF(Source_PL!$A:$A,"Gross Profit",Source_PL!I:I)</f>
        <v>265943.11</v>
      </c>
      <c r="J32" s="31">
        <f>SUMIF(Source_PL!$A:$A,"Gross Profit",Source_PL!J:J)</f>
        <v>304958.89</v>
      </c>
      <c r="K32" s="31">
        <f>SUMIF(Source_PL!$A:$A,"Gross Profit",Source_PL!K:K)</f>
        <v>132606</v>
      </c>
      <c r="L32" s="31">
        <f>SUMIF(Source_PL!$A:$A,"Gross Profit",Source_PL!L:L)</f>
        <v>384941.04000000004</v>
      </c>
      <c r="M32" s="31">
        <f>SUMIF(Source_PL!$A:$A,"Gross Profit",Source_PL!M:M)</f>
        <v>491258.22</v>
      </c>
      <c r="N32" s="25" t="str">
        <f>IFERROR(LOOKUP(2,1/((Notes!$A$2:$A$100=TRIM($A32))*(Notes!$B$2:$B$100=Menu!$C$7)),Notes!$C$2:$C$100),"")</f>
        <v/>
      </c>
      <c r="O32" s="36"/>
      <c r="P32" s="31">
        <v>0</v>
      </c>
      <c r="Q32" s="31">
        <f>SUM(B32:M32)</f>
        <v>3202472.3400000008</v>
      </c>
      <c r="R32" s="31">
        <f>Q32-P32</f>
        <v>3202472.3400000008</v>
      </c>
      <c r="S32" s="34">
        <f>IFERROR(R32/P32,0)</f>
        <v>0</v>
      </c>
      <c r="T32" s="36"/>
      <c r="U32" s="31">
        <f>B32+C32+D32+E32+F32+G32+H32+I32+J32+K32+L32+M32</f>
        <v>3202472.3400000008</v>
      </c>
    </row>
    <row r="33" spans="1:21" x14ac:dyDescent="0.25">
      <c r="A33" s="21" t="s">
        <v>34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O33" s="36"/>
      <c r="P33" s="30"/>
      <c r="Q33" s="30"/>
      <c r="R33" s="30"/>
      <c r="S33" s="33"/>
      <c r="T33" s="36"/>
      <c r="U33" s="30"/>
    </row>
    <row r="34" spans="1:21" x14ac:dyDescent="0.25">
      <c r="A34" s="20" t="s">
        <v>277</v>
      </c>
      <c r="B34" s="30">
        <f>SUMIF(Source_PL!$A:$A,"6000 Payroll Expenses",Source_PL!B:B)</f>
        <v>0</v>
      </c>
      <c r="C34" s="30">
        <f>SUMIF(Source_PL!$A:$A,"6000 Payroll Expenses",Source_PL!C:C)</f>
        <v>0</v>
      </c>
      <c r="D34" s="30">
        <f>SUMIF(Source_PL!$A:$A,"6000 Payroll Expenses",Source_PL!D:D)</f>
        <v>0</v>
      </c>
      <c r="E34" s="30">
        <f>SUMIF(Source_PL!$A:$A,"6000 Payroll Expenses",Source_PL!E:E)</f>
        <v>0</v>
      </c>
      <c r="F34" s="30">
        <f>SUMIF(Source_PL!$A:$A,"6000 Payroll Expenses",Source_PL!F:F)</f>
        <v>0</v>
      </c>
      <c r="G34" s="30">
        <f>SUMIF(Source_PL!$A:$A,"6000 Payroll Expenses",Source_PL!G:G)</f>
        <v>0</v>
      </c>
      <c r="H34" s="30">
        <f>SUMIF(Source_PL!$A:$A,"6000 Payroll Expenses",Source_PL!H:H)</f>
        <v>0</v>
      </c>
      <c r="I34" s="30">
        <f>SUMIF(Source_PL!$A:$A,"6000 Payroll Expenses",Source_PL!I:I)</f>
        <v>0</v>
      </c>
      <c r="J34" s="30">
        <f>SUMIF(Source_PL!$A:$A,"6000 Payroll Expenses",Source_PL!J:J)</f>
        <v>0</v>
      </c>
      <c r="K34" s="30">
        <f>SUMIF(Source_PL!$A:$A,"6000 Payroll Expenses",Source_PL!K:K)</f>
        <v>0</v>
      </c>
      <c r="L34" s="30">
        <f>SUMIF(Source_PL!$A:$A,"6000 Payroll Expenses",Source_PL!L:L)</f>
        <v>0</v>
      </c>
      <c r="M34" s="30">
        <f>SUMIF(Source_PL!$A:$A,"6000 Payroll Expenses",Source_PL!M:M)</f>
        <v>0</v>
      </c>
      <c r="N34" s="22" t="str">
        <f>IFERROR(LOOKUP(2,1/((Notes!$A$2:$A$100=TRIM($A34))*(Notes!$B$2:$B$100=Menu!$C$7)),Notes!$C$2:$C$100),"")</f>
        <v/>
      </c>
      <c r="O34" s="36"/>
      <c r="P34" s="30">
        <v>0</v>
      </c>
      <c r="Q34" s="30">
        <f>SUM(B34:M34)</f>
        <v>0</v>
      </c>
      <c r="R34" s="30">
        <f>Q34-P34</f>
        <v>0</v>
      </c>
      <c r="S34" s="33">
        <f>IFERROR(R34/P34,0)</f>
        <v>0</v>
      </c>
      <c r="T34" s="36"/>
      <c r="U34" s="30">
        <f>B34+C34+D34+E34+F34+G34+H34+I34+J34+K34+L34+M34</f>
        <v>0</v>
      </c>
    </row>
    <row r="35" spans="1:21" x14ac:dyDescent="0.25">
      <c r="A35" s="20" t="s">
        <v>278</v>
      </c>
      <c r="B35" s="30">
        <f>SUMIF(Source_PL!$A:$A,"6001 Wages",Source_PL!B:B)</f>
        <v>146082.88</v>
      </c>
      <c r="C35" s="30">
        <f>SUMIF(Source_PL!$A:$A,"6001 Wages",Source_PL!C:C)</f>
        <v>149263.07</v>
      </c>
      <c r="D35" s="30">
        <f>SUMIF(Source_PL!$A:$A,"6001 Wages",Source_PL!D:D)</f>
        <v>213768.73</v>
      </c>
      <c r="E35" s="30">
        <f>SUMIF(Source_PL!$A:$A,"6001 Wages",Source_PL!E:E)</f>
        <v>145277.29</v>
      </c>
      <c r="F35" s="30">
        <f>SUMIF(Source_PL!$A:$A,"6001 Wages",Source_PL!F:F)</f>
        <v>150187.51</v>
      </c>
      <c r="G35" s="30">
        <f>SUMIF(Source_PL!$A:$A,"6001 Wages",Source_PL!G:G)</f>
        <v>157126.6</v>
      </c>
      <c r="H35" s="30">
        <f>SUMIF(Source_PL!$A:$A,"6001 Wages",Source_PL!H:H)</f>
        <v>155057.94</v>
      </c>
      <c r="I35" s="30">
        <f>SUMIF(Source_PL!$A:$A,"6001 Wages",Source_PL!I:I)</f>
        <v>223896.87</v>
      </c>
      <c r="J35" s="30">
        <f>SUMIF(Source_PL!$A:$A,"6001 Wages",Source_PL!J:J)</f>
        <v>92240.98</v>
      </c>
      <c r="K35" s="30">
        <f>SUMIF(Source_PL!$A:$A,"6001 Wages",Source_PL!K:K)</f>
        <v>112836.98</v>
      </c>
      <c r="L35" s="30">
        <f>SUMIF(Source_PL!$A:$A,"6001 Wages",Source_PL!L:L)</f>
        <v>137107.73000000001</v>
      </c>
      <c r="M35" s="30">
        <f>SUMIF(Source_PL!$A:$A,"6001 Wages",Source_PL!M:M)</f>
        <v>149071.01999999999</v>
      </c>
      <c r="N35" s="22" t="str">
        <f>IFERROR(LOOKUP(2,1/((Notes!$A$2:$A$100=TRIM($A35))*(Notes!$B$2:$B$100=Menu!$C$7)),Notes!$C$2:$C$100),"")</f>
        <v/>
      </c>
      <c r="O35" s="36"/>
      <c r="P35" s="30">
        <v>0</v>
      </c>
      <c r="Q35" s="30">
        <f>SUM(B35:M35)</f>
        <v>1831917.6</v>
      </c>
      <c r="R35" s="30">
        <f>Q35-P35</f>
        <v>1831917.6</v>
      </c>
      <c r="S35" s="33">
        <f>IFERROR(R35/P35,0)</f>
        <v>0</v>
      </c>
      <c r="T35" s="36"/>
      <c r="U35" s="30">
        <f>B35+C35+D35+E35+F35+G35+H35+I35+J35+K35+L35+M35</f>
        <v>1831917.6</v>
      </c>
    </row>
    <row r="36" spans="1:21" x14ac:dyDescent="0.25">
      <c r="A36" s="20" t="s">
        <v>279</v>
      </c>
      <c r="B36" s="30">
        <f>SUMIF(Source_PL!$A:$A,"6003 Taxes",Source_PL!B:B)</f>
        <v>12735.11</v>
      </c>
      <c r="C36" s="30">
        <f>SUMIF(Source_PL!$A:$A,"6003 Taxes",Source_PL!C:C)</f>
        <v>12183.34</v>
      </c>
      <c r="D36" s="30">
        <f>SUMIF(Source_PL!$A:$A,"6003 Taxes",Source_PL!D:D)</f>
        <v>16909.5</v>
      </c>
      <c r="E36" s="30">
        <f>SUMIF(Source_PL!$A:$A,"6003 Taxes",Source_PL!E:E)</f>
        <v>10988.34</v>
      </c>
      <c r="F36" s="30">
        <f>SUMIF(Source_PL!$A:$A,"6003 Taxes",Source_PL!F:F)</f>
        <v>11314.49</v>
      </c>
      <c r="G36" s="30">
        <f>SUMIF(Source_PL!$A:$A,"6003 Taxes",Source_PL!G:G)</f>
        <v>10040.07</v>
      </c>
      <c r="H36" s="30">
        <f>SUMIF(Source_PL!$A:$A,"6003 Taxes",Source_PL!H:H)</f>
        <v>11910</v>
      </c>
      <c r="I36" s="30">
        <f>SUMIF(Source_PL!$A:$A,"6003 Taxes",Source_PL!I:I)</f>
        <v>19724.400000000001</v>
      </c>
      <c r="J36" s="30">
        <f>SUMIF(Source_PL!$A:$A,"6003 Taxes",Source_PL!J:J)</f>
        <v>13216.04</v>
      </c>
      <c r="K36" s="30">
        <f>SUMIF(Source_PL!$A:$A,"6003 Taxes",Source_PL!K:K)</f>
        <v>15698.18</v>
      </c>
      <c r="L36" s="30">
        <f>SUMIF(Source_PL!$A:$A,"6003 Taxes",Source_PL!L:L)</f>
        <v>19095.63</v>
      </c>
      <c r="M36" s="30">
        <f>SUMIF(Source_PL!$A:$A,"6003 Taxes",Source_PL!M:M)</f>
        <v>9683.64</v>
      </c>
      <c r="N36" s="22" t="str">
        <f>IFERROR(LOOKUP(2,1/((Notes!$A$2:$A$100=TRIM($A36))*(Notes!$B$2:$B$100=Menu!$C$7)),Notes!$C$2:$C$100),"")</f>
        <v/>
      </c>
      <c r="O36" s="36"/>
      <c r="P36" s="30">
        <v>0</v>
      </c>
      <c r="Q36" s="30">
        <f>SUM(B36:M36)</f>
        <v>163498.74</v>
      </c>
      <c r="R36" s="30">
        <f>Q36-P36</f>
        <v>163498.74</v>
      </c>
      <c r="S36" s="33">
        <f>IFERROR(R36/P36,0)</f>
        <v>0</v>
      </c>
      <c r="T36" s="36"/>
      <c r="U36" s="30">
        <f>B36+C36+D36+E36+F36+G36+H36+I36+J36+K36+L36+M36</f>
        <v>163498.74</v>
      </c>
    </row>
    <row r="37" spans="1:21" x14ac:dyDescent="0.25">
      <c r="A37" s="20" t="s">
        <v>280</v>
      </c>
      <c r="B37" s="30">
        <f>SUMIF(Source_PL!$A:$A,"6005 Payroll Reimbursement from Calibration",Source_PL!B:B)</f>
        <v>-15782.81</v>
      </c>
      <c r="C37" s="30">
        <f>SUMIF(Source_PL!$A:$A,"6005 Payroll Reimbursement from Calibration",Source_PL!C:C)</f>
        <v>-38525.99</v>
      </c>
      <c r="D37" s="30">
        <f>SUMIF(Source_PL!$A:$A,"6005 Payroll Reimbursement from Calibration",Source_PL!D:D)</f>
        <v>-17689.62</v>
      </c>
      <c r="E37" s="30">
        <f>SUMIF(Source_PL!$A:$A,"6005 Payroll Reimbursement from Calibration",Source_PL!E:E)</f>
        <v>-8311.52</v>
      </c>
      <c r="F37" s="30">
        <f>SUMIF(Source_PL!$A:$A,"6005 Payroll Reimbursement from Calibration",Source_PL!F:F)</f>
        <v>-22842.75</v>
      </c>
      <c r="G37" s="30">
        <f>SUMIF(Source_PL!$A:$A,"6005 Payroll Reimbursement from Calibration",Source_PL!G:G)</f>
        <v>-16798.86</v>
      </c>
      <c r="H37" s="30">
        <f>SUMIF(Source_PL!$A:$A,"6005 Payroll Reimbursement from Calibration",Source_PL!H:H)</f>
        <v>-18488.16</v>
      </c>
      <c r="I37" s="30">
        <f>SUMIF(Source_PL!$A:$A,"6005 Payroll Reimbursement from Calibration",Source_PL!I:I)</f>
        <v>-27246</v>
      </c>
      <c r="J37" s="30">
        <f>SUMIF(Source_PL!$A:$A,"6005 Payroll Reimbursement from Calibration",Source_PL!J:J)</f>
        <v>-20338.669999999998</v>
      </c>
      <c r="K37" s="30">
        <f>SUMIF(Source_PL!$A:$A,"6005 Payroll Reimbursement from Calibration",Source_PL!K:K)</f>
        <v>-39237.9</v>
      </c>
      <c r="L37" s="30">
        <f>SUMIF(Source_PL!$A:$A,"6005 Payroll Reimbursement from Calibration",Source_PL!L:L)</f>
        <v>-25510.25</v>
      </c>
      <c r="M37" s="30">
        <f>SUMIF(Source_PL!$A:$A,"6005 Payroll Reimbursement from Calibration",Source_PL!M:M)</f>
        <v>-33244.04</v>
      </c>
      <c r="N37" s="22" t="str">
        <f>IFERROR(LOOKUP(2,1/((Notes!$A$2:$A$100=TRIM($A37))*(Notes!$B$2:$B$100=Menu!$C$7)),Notes!$C$2:$C$100),"")</f>
        <v/>
      </c>
      <c r="O37" s="36"/>
      <c r="P37" s="30">
        <v>0</v>
      </c>
      <c r="Q37" s="30">
        <f>SUM(B37:M37)</f>
        <v>-284016.57</v>
      </c>
      <c r="R37" s="30">
        <f>Q37-P37</f>
        <v>-284016.57</v>
      </c>
      <c r="S37" s="33">
        <f>IFERROR(R37/P37,0)</f>
        <v>0</v>
      </c>
      <c r="T37" s="36"/>
      <c r="U37" s="30">
        <f>B37+C37+D37+E37+F37+G37+H37+I37+J37+K37+L37+M37</f>
        <v>-284016.57</v>
      </c>
    </row>
    <row r="38" spans="1:21" x14ac:dyDescent="0.25">
      <c r="A38" s="23" t="s">
        <v>39</v>
      </c>
      <c r="B38" s="31">
        <f>SUMIF(Source_PL!$A:$A,"Total for 6000 Payroll Expenses",Source_PL!B:B)</f>
        <v>143035.18</v>
      </c>
      <c r="C38" s="31">
        <f>SUMIF(Source_PL!$A:$A,"Total for 6000 Payroll Expenses",Source_PL!C:C)</f>
        <v>122920.42000000001</v>
      </c>
      <c r="D38" s="31">
        <f>SUMIF(Source_PL!$A:$A,"Total for 6000 Payroll Expenses",Source_PL!D:D)</f>
        <v>212988.61000000002</v>
      </c>
      <c r="E38" s="31">
        <f>SUMIF(Source_PL!$A:$A,"Total for 6000 Payroll Expenses",Source_PL!E:E)</f>
        <v>147954.11000000002</v>
      </c>
      <c r="F38" s="31">
        <f>SUMIF(Source_PL!$A:$A,"Total for 6000 Payroll Expenses",Source_PL!F:F)</f>
        <v>138659.25</v>
      </c>
      <c r="G38" s="31">
        <f>SUMIF(Source_PL!$A:$A,"Total for 6000 Payroll Expenses",Source_PL!G:G)</f>
        <v>150367.81</v>
      </c>
      <c r="H38" s="31">
        <f>SUMIF(Source_PL!$A:$A,"Total for 6000 Payroll Expenses",Source_PL!H:H)</f>
        <v>148479.78</v>
      </c>
      <c r="I38" s="31">
        <f>SUMIF(Source_PL!$A:$A,"Total for 6000 Payroll Expenses",Source_PL!I:I)</f>
        <v>216375.27</v>
      </c>
      <c r="J38" s="31">
        <f>SUMIF(Source_PL!$A:$A,"Total for 6000 Payroll Expenses",Source_PL!J:J)</f>
        <v>85118.349999999991</v>
      </c>
      <c r="K38" s="31">
        <f>SUMIF(Source_PL!$A:$A,"Total for 6000 Payroll Expenses",Source_PL!K:K)</f>
        <v>89297.260000000009</v>
      </c>
      <c r="L38" s="31">
        <f>SUMIF(Source_PL!$A:$A,"Total for 6000 Payroll Expenses",Source_PL!L:L)</f>
        <v>130693.11000000002</v>
      </c>
      <c r="M38" s="31">
        <f>SUMIF(Source_PL!$A:$A,"Total for 6000 Payroll Expenses",Source_PL!M:M)</f>
        <v>125510.61999999997</v>
      </c>
      <c r="N38" s="25" t="str">
        <f>IFERROR(LOOKUP(2,1/((Notes!$A$2:$A$100=TRIM($A38))*(Notes!$B$2:$B$100=Menu!$C$7)),Notes!$C$2:$C$100),"")</f>
        <v/>
      </c>
      <c r="O38" s="36"/>
      <c r="P38" s="31">
        <v>0</v>
      </c>
      <c r="Q38" s="31">
        <f>SUM(B38:M38)</f>
        <v>1711399.77</v>
      </c>
      <c r="R38" s="31">
        <f>Q38-P38</f>
        <v>1711399.77</v>
      </c>
      <c r="S38" s="34">
        <f>IFERROR(R38/P38,0)</f>
        <v>0</v>
      </c>
      <c r="T38" s="36"/>
      <c r="U38" s="31">
        <f>B38+C38+D38+E38+F38+G38+H38+I38+J38+K38+L38+M38</f>
        <v>1711399.77</v>
      </c>
    </row>
    <row r="39" spans="1:21" x14ac:dyDescent="0.25">
      <c r="A39" s="20" t="s">
        <v>40</v>
      </c>
      <c r="B39" s="30">
        <f>SUMIF(Source_PL!$A:$A,"6020 Automobile Expense",Source_PL!B:B)</f>
        <v>-6700.45</v>
      </c>
      <c r="C39" s="30">
        <f>SUMIF(Source_PL!$A:$A,"6020 Automobile Expense",Source_PL!C:C)</f>
        <v>2037.86</v>
      </c>
      <c r="D39" s="30">
        <f>SUMIF(Source_PL!$A:$A,"6020 Automobile Expense",Source_PL!D:D)</f>
        <v>7569.33</v>
      </c>
      <c r="E39" s="30">
        <f>SUMIF(Source_PL!$A:$A,"6020 Automobile Expense",Source_PL!E:E)</f>
        <v>7198.68</v>
      </c>
      <c r="F39" s="30">
        <f>SUMIF(Source_PL!$A:$A,"6020 Automobile Expense",Source_PL!F:F)</f>
        <v>8348.51</v>
      </c>
      <c r="G39" s="30">
        <f>SUMIF(Source_PL!$A:$A,"6020 Automobile Expense",Source_PL!G:G)</f>
        <v>6059.83</v>
      </c>
      <c r="H39" s="30">
        <f>SUMIF(Source_PL!$A:$A,"6020 Automobile Expense",Source_PL!H:H)</f>
        <v>5952.81</v>
      </c>
      <c r="I39" s="30">
        <f>SUMIF(Source_PL!$A:$A,"6020 Automobile Expense",Source_PL!I:I)</f>
        <v>2034.48</v>
      </c>
      <c r="J39" s="30">
        <f>SUMIF(Source_PL!$A:$A,"6020 Automobile Expense",Source_PL!J:J)</f>
        <v>1012.02</v>
      </c>
      <c r="K39" s="30">
        <f>SUMIF(Source_PL!$A:$A,"6020 Automobile Expense",Source_PL!K:K)</f>
        <v>3656.46</v>
      </c>
      <c r="L39" s="30">
        <f>SUMIF(Source_PL!$A:$A,"6020 Automobile Expense",Source_PL!L:L)</f>
        <v>10555.38</v>
      </c>
      <c r="M39" s="30">
        <f>SUMIF(Source_PL!$A:$A,"6020 Automobile Expense",Source_PL!M:M)</f>
        <v>6934.66</v>
      </c>
      <c r="N39" s="22" t="str">
        <f>IFERROR(LOOKUP(2,1/((Notes!$A$2:$A$100=TRIM($A39))*(Notes!$B$2:$B$100=Menu!$C$7)),Notes!$C$2:$C$100),"")</f>
        <v/>
      </c>
      <c r="O39" s="36"/>
      <c r="P39" s="30">
        <v>0</v>
      </c>
      <c r="Q39" s="30">
        <f>SUM(B39:M39)</f>
        <v>54659.569999999992</v>
      </c>
      <c r="R39" s="30">
        <f>Q39-P39</f>
        <v>54659.569999999992</v>
      </c>
      <c r="S39" s="33">
        <f>IFERROR(R39/P39,0)</f>
        <v>0</v>
      </c>
      <c r="T39" s="36"/>
      <c r="U39" s="30">
        <f>B39+C39+D39+E39+F39+G39+H39+I39+J39+K39+L39+M39</f>
        <v>54659.569999999992</v>
      </c>
    </row>
    <row r="40" spans="1:21" x14ac:dyDescent="0.25">
      <c r="A40" s="20" t="s">
        <v>41</v>
      </c>
      <c r="B40" s="30">
        <f>SUMIF(Source_PL!$A:$A,"6040 Bank Service Charges",Source_PL!B:B)</f>
        <v>-1.05</v>
      </c>
      <c r="C40" s="30">
        <f>SUMIF(Source_PL!$A:$A,"6040 Bank Service Charges",Source_PL!C:C)</f>
        <v>-1.05</v>
      </c>
      <c r="D40" s="30">
        <f>SUMIF(Source_PL!$A:$A,"6040 Bank Service Charges",Source_PL!D:D)</f>
        <v>0</v>
      </c>
      <c r="E40" s="30">
        <f>SUMIF(Source_PL!$A:$A,"6040 Bank Service Charges",Source_PL!E:E)</f>
        <v>30</v>
      </c>
      <c r="F40" s="30">
        <f>SUMIF(Source_PL!$A:$A,"6040 Bank Service Charges",Source_PL!F:F)</f>
        <v>0</v>
      </c>
      <c r="G40" s="30">
        <f>SUMIF(Source_PL!$A:$A,"6040 Bank Service Charges",Source_PL!G:G)</f>
        <v>0</v>
      </c>
      <c r="H40" s="30">
        <f>SUMIF(Source_PL!$A:$A,"6040 Bank Service Charges",Source_PL!H:H)</f>
        <v>45.95</v>
      </c>
      <c r="I40" s="30">
        <f>SUMIF(Source_PL!$A:$A,"6040 Bank Service Charges",Source_PL!I:I)</f>
        <v>118.01</v>
      </c>
      <c r="J40" s="30">
        <f>SUMIF(Source_PL!$A:$A,"6040 Bank Service Charges",Source_PL!J:J)</f>
        <v>363.25</v>
      </c>
      <c r="K40" s="30">
        <f>SUMIF(Source_PL!$A:$A,"6040 Bank Service Charges",Source_PL!K:K)</f>
        <v>0</v>
      </c>
      <c r="L40" s="30">
        <f>SUMIF(Source_PL!$A:$A,"6040 Bank Service Charges",Source_PL!L:L)</f>
        <v>446.5</v>
      </c>
      <c r="M40" s="30">
        <f>SUMIF(Source_PL!$A:$A,"6040 Bank Service Charges",Source_PL!M:M)</f>
        <v>50</v>
      </c>
      <c r="N40" s="22" t="str">
        <f>IFERROR(LOOKUP(2,1/((Notes!$A$2:$A$100=TRIM($A40))*(Notes!$B$2:$B$100=Menu!$C$7)),Notes!$C$2:$C$100),"")</f>
        <v/>
      </c>
      <c r="O40" s="36"/>
      <c r="P40" s="30">
        <v>0</v>
      </c>
      <c r="Q40" s="30">
        <f>SUM(B40:M40)</f>
        <v>1051.6100000000001</v>
      </c>
      <c r="R40" s="30">
        <f>Q40-P40</f>
        <v>1051.6100000000001</v>
      </c>
      <c r="S40" s="33">
        <f>IFERROR(R40/P40,0)</f>
        <v>0</v>
      </c>
      <c r="T40" s="36"/>
      <c r="U40" s="30">
        <f>B40+C40+D40+E40+F40+G40+H40+I40+J40+K40+L40+M40</f>
        <v>1051.6100000000001</v>
      </c>
    </row>
    <row r="41" spans="1:21" x14ac:dyDescent="0.25">
      <c r="A41" s="20" t="s">
        <v>42</v>
      </c>
      <c r="B41" s="30">
        <f>SUMIF(Source_PL!$A:$A,"6041 Credit Card Processing Fees",Source_PL!B:B)</f>
        <v>17.09</v>
      </c>
      <c r="C41" s="30">
        <f>SUMIF(Source_PL!$A:$A,"6041 Credit Card Processing Fees",Source_PL!C:C)</f>
        <v>452.9</v>
      </c>
      <c r="D41" s="30">
        <f>SUMIF(Source_PL!$A:$A,"6041 Credit Card Processing Fees",Source_PL!D:D)</f>
        <v>445.76</v>
      </c>
      <c r="E41" s="30">
        <f>SUMIF(Source_PL!$A:$A,"6041 Credit Card Processing Fees",Source_PL!E:E)</f>
        <v>362.2</v>
      </c>
      <c r="F41" s="30">
        <f>SUMIF(Source_PL!$A:$A,"6041 Credit Card Processing Fees",Source_PL!F:F)</f>
        <v>62.14</v>
      </c>
      <c r="G41" s="30">
        <f>SUMIF(Source_PL!$A:$A,"6041 Credit Card Processing Fees",Source_PL!G:G)</f>
        <v>157.86000000000001</v>
      </c>
      <c r="H41" s="30">
        <f>SUMIF(Source_PL!$A:$A,"6041 Credit Card Processing Fees",Source_PL!H:H)</f>
        <v>208.53</v>
      </c>
      <c r="I41" s="30">
        <f>SUMIF(Source_PL!$A:$A,"6041 Credit Card Processing Fees",Source_PL!I:I)</f>
        <v>354.96</v>
      </c>
      <c r="J41" s="30">
        <f>SUMIF(Source_PL!$A:$A,"6041 Credit Card Processing Fees",Source_PL!J:J)</f>
        <v>2789.9</v>
      </c>
      <c r="K41" s="30">
        <f>SUMIF(Source_PL!$A:$A,"6041 Credit Card Processing Fees",Source_PL!K:K)</f>
        <v>456.74</v>
      </c>
      <c r="L41" s="30">
        <f>SUMIF(Source_PL!$A:$A,"6041 Credit Card Processing Fees",Source_PL!L:L)</f>
        <v>2481.6999999999998</v>
      </c>
      <c r="M41" s="30">
        <f>SUMIF(Source_PL!$A:$A,"6041 Credit Card Processing Fees",Source_PL!M:M)</f>
        <v>68.17</v>
      </c>
      <c r="N41" s="22" t="str">
        <f>IFERROR(LOOKUP(2,1/((Notes!$A$2:$A$100=TRIM($A41))*(Notes!$B$2:$B$100=Menu!$C$7)),Notes!$C$2:$C$100),"")</f>
        <v/>
      </c>
      <c r="O41" s="36"/>
      <c r="P41" s="30">
        <v>0</v>
      </c>
      <c r="Q41" s="30">
        <f>SUM(B41:M41)</f>
        <v>7857.95</v>
      </c>
      <c r="R41" s="30">
        <f>Q41-P41</f>
        <v>7857.95</v>
      </c>
      <c r="S41" s="33">
        <f>IFERROR(R41/P41,0)</f>
        <v>0</v>
      </c>
      <c r="T41" s="36"/>
      <c r="U41" s="30">
        <f>B41+C41+D41+E41+F41+G41+H41+I41+J41+K41+L41+M41</f>
        <v>7857.95</v>
      </c>
    </row>
    <row r="42" spans="1:21" x14ac:dyDescent="0.25">
      <c r="A42" s="20" t="s">
        <v>43</v>
      </c>
      <c r="B42" s="30">
        <f>SUMIF(Source_PL!$A:$A,"6050 Charitable Donations",Source_PL!B:B)</f>
        <v>0</v>
      </c>
      <c r="C42" s="30">
        <f>SUMIF(Source_PL!$A:$A,"6050 Charitable Donations",Source_PL!C:C)</f>
        <v>0</v>
      </c>
      <c r="D42" s="30">
        <f>SUMIF(Source_PL!$A:$A,"6050 Charitable Donations",Source_PL!D:D)</f>
        <v>0</v>
      </c>
      <c r="E42" s="30">
        <f>SUMIF(Source_PL!$A:$A,"6050 Charitable Donations",Source_PL!E:E)</f>
        <v>5000</v>
      </c>
      <c r="F42" s="30">
        <f>SUMIF(Source_PL!$A:$A,"6050 Charitable Donations",Source_PL!F:F)</f>
        <v>0</v>
      </c>
      <c r="G42" s="30">
        <f>SUMIF(Source_PL!$A:$A,"6050 Charitable Donations",Source_PL!G:G)</f>
        <v>0</v>
      </c>
      <c r="H42" s="30">
        <f>SUMIF(Source_PL!$A:$A,"6050 Charitable Donations",Source_PL!H:H)</f>
        <v>0</v>
      </c>
      <c r="I42" s="30">
        <f>SUMIF(Source_PL!$A:$A,"6050 Charitable Donations",Source_PL!I:I)</f>
        <v>105</v>
      </c>
      <c r="J42" s="30">
        <f>SUMIF(Source_PL!$A:$A,"6050 Charitable Donations",Source_PL!J:J)</f>
        <v>0</v>
      </c>
      <c r="K42" s="30">
        <f>SUMIF(Source_PL!$A:$A,"6050 Charitable Donations",Source_PL!K:K)</f>
        <v>232.92</v>
      </c>
      <c r="L42" s="30">
        <f>SUMIF(Source_PL!$A:$A,"6050 Charitable Donations",Source_PL!L:L)</f>
        <v>250</v>
      </c>
      <c r="M42" s="30">
        <f>SUMIF(Source_PL!$A:$A,"6050 Charitable Donations",Source_PL!M:M)</f>
        <v>450</v>
      </c>
      <c r="N42" s="22" t="str">
        <f>IFERROR(LOOKUP(2,1/((Notes!$A$2:$A$100=TRIM($A42))*(Notes!$B$2:$B$100=Menu!$C$7)),Notes!$C$2:$C$100),"")</f>
        <v/>
      </c>
      <c r="O42" s="36"/>
      <c r="P42" s="30">
        <v>0</v>
      </c>
      <c r="Q42" s="30">
        <f>SUM(B42:M42)</f>
        <v>6037.92</v>
      </c>
      <c r="R42" s="30">
        <f>Q42-P42</f>
        <v>6037.92</v>
      </c>
      <c r="S42" s="33">
        <f>IFERROR(R42/P42,0)</f>
        <v>0</v>
      </c>
      <c r="T42" s="36"/>
      <c r="U42" s="30">
        <f>B42+C42+D42+E42+F42+G42+H42+I42+J42+K42+L42+M42</f>
        <v>6037.92</v>
      </c>
    </row>
    <row r="43" spans="1:21" x14ac:dyDescent="0.25">
      <c r="A43" s="20" t="s">
        <v>44</v>
      </c>
      <c r="B43" s="30">
        <f>SUMIF(Source_PL!$A:$A,"6051 Quarterly Charitable Giving",Source_PL!B:B)</f>
        <v>4000</v>
      </c>
      <c r="C43" s="30">
        <f>SUMIF(Source_PL!$A:$A,"6051 Quarterly Charitable Giving",Source_PL!C:C)</f>
        <v>0</v>
      </c>
      <c r="D43" s="30">
        <f>SUMIF(Source_PL!$A:$A,"6051 Quarterly Charitable Giving",Source_PL!D:D)</f>
        <v>0</v>
      </c>
      <c r="E43" s="30">
        <f>SUMIF(Source_PL!$A:$A,"6051 Quarterly Charitable Giving",Source_PL!E:E)</f>
        <v>0</v>
      </c>
      <c r="F43" s="30">
        <f>SUMIF(Source_PL!$A:$A,"6051 Quarterly Charitable Giving",Source_PL!F:F)</f>
        <v>0</v>
      </c>
      <c r="G43" s="30">
        <f>SUMIF(Source_PL!$A:$A,"6051 Quarterly Charitable Giving",Source_PL!G:G)</f>
        <v>0</v>
      </c>
      <c r="H43" s="30">
        <f>SUMIF(Source_PL!$A:$A,"6051 Quarterly Charitable Giving",Source_PL!H:H)</f>
        <v>0</v>
      </c>
      <c r="I43" s="30">
        <f>SUMIF(Source_PL!$A:$A,"6051 Quarterly Charitable Giving",Source_PL!I:I)</f>
        <v>0</v>
      </c>
      <c r="J43" s="30">
        <f>SUMIF(Source_PL!$A:$A,"6051 Quarterly Charitable Giving",Source_PL!J:J)</f>
        <v>0</v>
      </c>
      <c r="K43" s="30">
        <f>SUMIF(Source_PL!$A:$A,"6051 Quarterly Charitable Giving",Source_PL!K:K)</f>
        <v>0</v>
      </c>
      <c r="L43" s="30">
        <f>SUMIF(Source_PL!$A:$A,"6051 Quarterly Charitable Giving",Source_PL!L:L)</f>
        <v>0</v>
      </c>
      <c r="M43" s="30">
        <f>SUMIF(Source_PL!$A:$A,"6051 Quarterly Charitable Giving",Source_PL!M:M)</f>
        <v>0</v>
      </c>
      <c r="N43" s="22" t="str">
        <f>IFERROR(LOOKUP(2,1/((Notes!$A$2:$A$100=TRIM($A43))*(Notes!$B$2:$B$100=Menu!$C$7)),Notes!$C$2:$C$100),"")</f>
        <v/>
      </c>
      <c r="O43" s="36"/>
      <c r="P43" s="30">
        <v>0</v>
      </c>
      <c r="Q43" s="30">
        <f>SUM(B43:M43)</f>
        <v>4000</v>
      </c>
      <c r="R43" s="30">
        <f>Q43-P43</f>
        <v>4000</v>
      </c>
      <c r="S43" s="33">
        <f>IFERROR(R43/P43,0)</f>
        <v>0</v>
      </c>
      <c r="T43" s="36"/>
      <c r="U43" s="30">
        <f>B43+C43+D43+E43+F43+G43+H43+I43+J43+K43+L43+M43</f>
        <v>4000</v>
      </c>
    </row>
    <row r="44" spans="1:21" x14ac:dyDescent="0.25">
      <c r="A44" s="20" t="s">
        <v>45</v>
      </c>
      <c r="B44" s="30">
        <f>SUMIF(Source_PL!$A:$A,"6052 Quarterly Employee Giving",Source_PL!B:B)</f>
        <v>4500</v>
      </c>
      <c r="C44" s="30">
        <f>SUMIF(Source_PL!$A:$A,"6052 Quarterly Employee Giving",Source_PL!C:C)</f>
        <v>0</v>
      </c>
      <c r="D44" s="30">
        <f>SUMIF(Source_PL!$A:$A,"6052 Quarterly Employee Giving",Source_PL!D:D)</f>
        <v>0</v>
      </c>
      <c r="E44" s="30">
        <f>SUMIF(Source_PL!$A:$A,"6052 Quarterly Employee Giving",Source_PL!E:E)</f>
        <v>0</v>
      </c>
      <c r="F44" s="30">
        <f>SUMIF(Source_PL!$A:$A,"6052 Quarterly Employee Giving",Source_PL!F:F)</f>
        <v>0</v>
      </c>
      <c r="G44" s="30">
        <f>SUMIF(Source_PL!$A:$A,"6052 Quarterly Employee Giving",Source_PL!G:G)</f>
        <v>0</v>
      </c>
      <c r="H44" s="30">
        <f>SUMIF(Source_PL!$A:$A,"6052 Quarterly Employee Giving",Source_PL!H:H)</f>
        <v>0</v>
      </c>
      <c r="I44" s="30">
        <f>SUMIF(Source_PL!$A:$A,"6052 Quarterly Employee Giving",Source_PL!I:I)</f>
        <v>0</v>
      </c>
      <c r="J44" s="30">
        <f>SUMIF(Source_PL!$A:$A,"6052 Quarterly Employee Giving",Source_PL!J:J)</f>
        <v>0</v>
      </c>
      <c r="K44" s="30">
        <f>SUMIF(Source_PL!$A:$A,"6052 Quarterly Employee Giving",Source_PL!K:K)</f>
        <v>0</v>
      </c>
      <c r="L44" s="30">
        <f>SUMIF(Source_PL!$A:$A,"6052 Quarterly Employee Giving",Source_PL!L:L)</f>
        <v>0</v>
      </c>
      <c r="M44" s="30">
        <f>SUMIF(Source_PL!$A:$A,"6052 Quarterly Employee Giving",Source_PL!M:M)</f>
        <v>0</v>
      </c>
      <c r="N44" s="22" t="str">
        <f>IFERROR(LOOKUP(2,1/((Notes!$A$2:$A$100=TRIM($A44))*(Notes!$B$2:$B$100=Menu!$C$7)),Notes!$C$2:$C$100),"")</f>
        <v/>
      </c>
      <c r="O44" s="36"/>
      <c r="P44" s="30">
        <v>0</v>
      </c>
      <c r="Q44" s="30">
        <f>SUM(B44:M44)</f>
        <v>4500</v>
      </c>
      <c r="R44" s="30">
        <f>Q44-P44</f>
        <v>4500</v>
      </c>
      <c r="S44" s="33">
        <f>IFERROR(R44/P44,0)</f>
        <v>0</v>
      </c>
      <c r="T44" s="36"/>
      <c r="U44" s="30">
        <f>B44+C44+D44+E44+F44+G44+H44+I44+J44+K44+L44+M44</f>
        <v>4500</v>
      </c>
    </row>
    <row r="45" spans="1:21" x14ac:dyDescent="0.25">
      <c r="A45" s="20" t="s">
        <v>46</v>
      </c>
      <c r="B45" s="30">
        <f>SUMIF(Source_PL!$A:$A,"6060 Advertising and Promotion",Source_PL!B:B)</f>
        <v>1063.5</v>
      </c>
      <c r="C45" s="30">
        <f>SUMIF(Source_PL!$A:$A,"6060 Advertising and Promotion",Source_PL!C:C)</f>
        <v>663.32</v>
      </c>
      <c r="D45" s="30">
        <f>SUMIF(Source_PL!$A:$A,"6060 Advertising and Promotion",Source_PL!D:D)</f>
        <v>975</v>
      </c>
      <c r="E45" s="30">
        <f>SUMIF(Source_PL!$A:$A,"6060 Advertising and Promotion",Source_PL!E:E)</f>
        <v>389.32</v>
      </c>
      <c r="F45" s="30">
        <f>SUMIF(Source_PL!$A:$A,"6060 Advertising and Promotion",Source_PL!F:F)</f>
        <v>1266.47</v>
      </c>
      <c r="G45" s="30">
        <f>SUMIF(Source_PL!$A:$A,"6060 Advertising and Promotion",Source_PL!G:G)</f>
        <v>2844.46</v>
      </c>
      <c r="H45" s="30">
        <f>SUMIF(Source_PL!$A:$A,"6060 Advertising and Promotion",Source_PL!H:H)</f>
        <v>0</v>
      </c>
      <c r="I45" s="30">
        <f>SUMIF(Source_PL!$A:$A,"6060 Advertising and Promotion",Source_PL!I:I)</f>
        <v>315.39999999999998</v>
      </c>
      <c r="J45" s="30">
        <f>SUMIF(Source_PL!$A:$A,"6060 Advertising and Promotion",Source_PL!J:J)</f>
        <v>1185.8599999999999</v>
      </c>
      <c r="K45" s="30">
        <f>SUMIF(Source_PL!$A:$A,"6060 Advertising and Promotion",Source_PL!K:K)</f>
        <v>305.33999999999997</v>
      </c>
      <c r="L45" s="30">
        <f>SUMIF(Source_PL!$A:$A,"6060 Advertising and Promotion",Source_PL!L:L)</f>
        <v>1525.53</v>
      </c>
      <c r="M45" s="30">
        <f>SUMIF(Source_PL!$A:$A,"6060 Advertising and Promotion",Source_PL!M:M)</f>
        <v>3476.38</v>
      </c>
      <c r="N45" s="22" t="str">
        <f>IFERROR(LOOKUP(2,1/((Notes!$A$2:$A$100=TRIM($A45))*(Notes!$B$2:$B$100=Menu!$C$7)),Notes!$C$2:$C$100),"")</f>
        <v/>
      </c>
      <c r="O45" s="36"/>
      <c r="P45" s="30">
        <v>0</v>
      </c>
      <c r="Q45" s="30">
        <f>SUM(B45:M45)</f>
        <v>14010.580000000002</v>
      </c>
      <c r="R45" s="30">
        <f>Q45-P45</f>
        <v>14010.580000000002</v>
      </c>
      <c r="S45" s="33">
        <f>IFERROR(R45/P45,0)</f>
        <v>0</v>
      </c>
      <c r="T45" s="36"/>
      <c r="U45" s="30">
        <f>B45+C45+D45+E45+F45+G45+H45+I45+J45+K45+L45+M45</f>
        <v>14010.580000000002</v>
      </c>
    </row>
    <row r="46" spans="1:21" x14ac:dyDescent="0.25">
      <c r="A46" s="20" t="s">
        <v>47</v>
      </c>
      <c r="B46" s="30">
        <f>SUMIF(Source_PL!$A:$A,"6061 Gift Non-Employee",Source_PL!B:B)</f>
        <v>45.12</v>
      </c>
      <c r="C46" s="30">
        <f>SUMIF(Source_PL!$A:$A,"6061 Gift Non-Employee",Source_PL!C:C)</f>
        <v>0</v>
      </c>
      <c r="D46" s="30">
        <f>SUMIF(Source_PL!$A:$A,"6061 Gift Non-Employee",Source_PL!D:D)</f>
        <v>0</v>
      </c>
      <c r="E46" s="30">
        <f>SUMIF(Source_PL!$A:$A,"6061 Gift Non-Employee",Source_PL!E:E)</f>
        <v>386.36</v>
      </c>
      <c r="F46" s="30">
        <f>SUMIF(Source_PL!$A:$A,"6061 Gift Non-Employee",Source_PL!F:F)</f>
        <v>135.54</v>
      </c>
      <c r="G46" s="30">
        <f>SUMIF(Source_PL!$A:$A,"6061 Gift Non-Employee",Source_PL!G:G)</f>
        <v>0</v>
      </c>
      <c r="H46" s="30">
        <f>SUMIF(Source_PL!$A:$A,"6061 Gift Non-Employee",Source_PL!H:H)</f>
        <v>0</v>
      </c>
      <c r="I46" s="30">
        <f>SUMIF(Source_PL!$A:$A,"6061 Gift Non-Employee",Source_PL!I:I)</f>
        <v>0</v>
      </c>
      <c r="J46" s="30">
        <f>SUMIF(Source_PL!$A:$A,"6061 Gift Non-Employee",Source_PL!J:J)</f>
        <v>0</v>
      </c>
      <c r="K46" s="30">
        <f>SUMIF(Source_PL!$A:$A,"6061 Gift Non-Employee",Source_PL!K:K)</f>
        <v>0</v>
      </c>
      <c r="L46" s="30">
        <f>SUMIF(Source_PL!$A:$A,"6061 Gift Non-Employee",Source_PL!L:L)</f>
        <v>0</v>
      </c>
      <c r="M46" s="30">
        <f>SUMIF(Source_PL!$A:$A,"6061 Gift Non-Employee",Source_PL!M:M)</f>
        <v>355.89</v>
      </c>
      <c r="N46" s="22" t="str">
        <f>IFERROR(LOOKUP(2,1/((Notes!$A$2:$A$100=TRIM($A46))*(Notes!$B$2:$B$100=Menu!$C$7)),Notes!$C$2:$C$100),"")</f>
        <v/>
      </c>
      <c r="O46" s="36"/>
      <c r="P46" s="30">
        <v>0</v>
      </c>
      <c r="Q46" s="30">
        <f>SUM(B46:M46)</f>
        <v>922.91</v>
      </c>
      <c r="R46" s="30">
        <f>Q46-P46</f>
        <v>922.91</v>
      </c>
      <c r="S46" s="33">
        <f>IFERROR(R46/P46,0)</f>
        <v>0</v>
      </c>
      <c r="T46" s="36"/>
      <c r="U46" s="30">
        <f>B46+C46+D46+E46+F46+G46+H46+I46+J46+K46+L46+M46</f>
        <v>922.91</v>
      </c>
    </row>
    <row r="47" spans="1:21" x14ac:dyDescent="0.25">
      <c r="A47" s="20" t="s">
        <v>48</v>
      </c>
      <c r="B47" s="30">
        <f>SUMIF(Source_PL!$A:$A,"6062 Gifts - Employee",Source_PL!B:B)</f>
        <v>0</v>
      </c>
      <c r="C47" s="30">
        <f>SUMIF(Source_PL!$A:$A,"6062 Gifts - Employee",Source_PL!C:C)</f>
        <v>0</v>
      </c>
      <c r="D47" s="30">
        <f>SUMIF(Source_PL!$A:$A,"6062 Gifts - Employee",Source_PL!D:D)</f>
        <v>0</v>
      </c>
      <c r="E47" s="30">
        <f>SUMIF(Source_PL!$A:$A,"6062 Gifts - Employee",Source_PL!E:E)</f>
        <v>0</v>
      </c>
      <c r="F47" s="30">
        <f>SUMIF(Source_PL!$A:$A,"6062 Gifts - Employee",Source_PL!F:F)</f>
        <v>0</v>
      </c>
      <c r="G47" s="30">
        <f>SUMIF(Source_PL!$A:$A,"6062 Gifts - Employee",Source_PL!G:G)</f>
        <v>0</v>
      </c>
      <c r="H47" s="30">
        <f>SUMIF(Source_PL!$A:$A,"6062 Gifts - Employee",Source_PL!H:H)</f>
        <v>0</v>
      </c>
      <c r="I47" s="30">
        <f>SUMIF(Source_PL!$A:$A,"6062 Gifts - Employee",Source_PL!I:I)</f>
        <v>0</v>
      </c>
      <c r="J47" s="30">
        <f>SUMIF(Source_PL!$A:$A,"6062 Gifts - Employee",Source_PL!J:J)</f>
        <v>0</v>
      </c>
      <c r="K47" s="30">
        <f>SUMIF(Source_PL!$A:$A,"6062 Gifts - Employee",Source_PL!K:K)</f>
        <v>0</v>
      </c>
      <c r="L47" s="30">
        <f>SUMIF(Source_PL!$A:$A,"6062 Gifts - Employee",Source_PL!L:L)</f>
        <v>0</v>
      </c>
      <c r="M47" s="30">
        <f>SUMIF(Source_PL!$A:$A,"6062 Gifts - Employee",Source_PL!M:M)</f>
        <v>85</v>
      </c>
      <c r="N47" s="22" t="str">
        <f>IFERROR(LOOKUP(2,1/((Notes!$A$2:$A$100=TRIM($A47))*(Notes!$B$2:$B$100=Menu!$C$7)),Notes!$C$2:$C$100),"")</f>
        <v/>
      </c>
      <c r="O47" s="36"/>
      <c r="P47" s="30">
        <v>0</v>
      </c>
      <c r="Q47" s="30">
        <f>SUM(B47:M47)</f>
        <v>85</v>
      </c>
      <c r="R47" s="30">
        <f>Q47-P47</f>
        <v>85</v>
      </c>
      <c r="S47" s="33">
        <f>IFERROR(R47/P47,0)</f>
        <v>0</v>
      </c>
      <c r="T47" s="36"/>
      <c r="U47" s="30">
        <f>B47+C47+D47+E47+F47+G47+H47+I47+J47+K47+L47+M47</f>
        <v>85</v>
      </c>
    </row>
    <row r="48" spans="1:21" x14ac:dyDescent="0.25">
      <c r="A48" s="20" t="s">
        <v>49</v>
      </c>
      <c r="B48" s="30">
        <f>SUMIF(Source_PL!$A:$A,"6065 Computer &amp; Internet Expense",Source_PL!B:B)</f>
        <v>3692.81</v>
      </c>
      <c r="C48" s="30">
        <f>SUMIF(Source_PL!$A:$A,"6065 Computer &amp; Internet Expense",Source_PL!C:C)</f>
        <v>633.78</v>
      </c>
      <c r="D48" s="30">
        <f>SUMIF(Source_PL!$A:$A,"6065 Computer &amp; Internet Expense",Source_PL!D:D)</f>
        <v>2744.23</v>
      </c>
      <c r="E48" s="30">
        <f>SUMIF(Source_PL!$A:$A,"6065 Computer &amp; Internet Expense",Source_PL!E:E)</f>
        <v>439.98</v>
      </c>
      <c r="F48" s="30">
        <f>SUMIF(Source_PL!$A:$A,"6065 Computer &amp; Internet Expense",Source_PL!F:F)</f>
        <v>558.77</v>
      </c>
      <c r="G48" s="30">
        <f>SUMIF(Source_PL!$A:$A,"6065 Computer &amp; Internet Expense",Source_PL!G:G)</f>
        <v>567.16999999999996</v>
      </c>
      <c r="H48" s="30">
        <f>SUMIF(Source_PL!$A:$A,"6065 Computer &amp; Internet Expense",Source_PL!H:H)</f>
        <v>439.98</v>
      </c>
      <c r="I48" s="30">
        <f>SUMIF(Source_PL!$A:$A,"6065 Computer &amp; Internet Expense",Source_PL!I:I)</f>
        <v>809.98</v>
      </c>
      <c r="J48" s="30">
        <f>SUMIF(Source_PL!$A:$A,"6065 Computer &amp; Internet Expense",Source_PL!J:J)</f>
        <v>4383.79</v>
      </c>
      <c r="K48" s="30">
        <f>SUMIF(Source_PL!$A:$A,"6065 Computer &amp; Internet Expense",Source_PL!K:K)</f>
        <v>1548.12</v>
      </c>
      <c r="L48" s="30">
        <f>SUMIF(Source_PL!$A:$A,"6065 Computer &amp; Internet Expense",Source_PL!L:L)</f>
        <v>6735.99</v>
      </c>
      <c r="M48" s="30">
        <f>SUMIF(Source_PL!$A:$A,"6065 Computer &amp; Internet Expense",Source_PL!M:M)</f>
        <v>3412.4</v>
      </c>
      <c r="N48" s="22" t="str">
        <f>IFERROR(LOOKUP(2,1/((Notes!$A$2:$A$100=TRIM($A48))*(Notes!$B$2:$B$100=Menu!$C$7)),Notes!$C$2:$C$100),"")</f>
        <v/>
      </c>
      <c r="O48" s="36"/>
      <c r="P48" s="30">
        <v>0</v>
      </c>
      <c r="Q48" s="30">
        <f>SUM(B48:M48)</f>
        <v>25967</v>
      </c>
      <c r="R48" s="30">
        <f>Q48-P48</f>
        <v>25967</v>
      </c>
      <c r="S48" s="33">
        <f>IFERROR(R48/P48,0)</f>
        <v>0</v>
      </c>
      <c r="T48" s="36"/>
      <c r="U48" s="30">
        <f>B48+C48+D48+E48+F48+G48+H48+I48+J48+K48+L48+M48</f>
        <v>25967</v>
      </c>
    </row>
    <row r="49" spans="1:21" x14ac:dyDescent="0.25">
      <c r="A49" s="20" t="s">
        <v>50</v>
      </c>
      <c r="B49" s="30">
        <f>SUMIF(Source_PL!$A:$A,"6090 Depreciation Expense",Source_PL!B:B)</f>
        <v>154.80000000000001</v>
      </c>
      <c r="C49" s="30">
        <f>SUMIF(Source_PL!$A:$A,"6090 Depreciation Expense",Source_PL!C:C)</f>
        <v>19.5</v>
      </c>
      <c r="D49" s="30">
        <f>SUMIF(Source_PL!$A:$A,"6090 Depreciation Expense",Source_PL!D:D)</f>
        <v>0</v>
      </c>
      <c r="E49" s="30">
        <f>SUMIF(Source_PL!$A:$A,"6090 Depreciation Expense",Source_PL!E:E)</f>
        <v>0</v>
      </c>
      <c r="F49" s="30">
        <f>SUMIF(Source_PL!$A:$A,"6090 Depreciation Expense",Source_PL!F:F)</f>
        <v>0</v>
      </c>
      <c r="G49" s="30">
        <f>SUMIF(Source_PL!$A:$A,"6090 Depreciation Expense",Source_PL!G:G)</f>
        <v>0</v>
      </c>
      <c r="H49" s="30">
        <f>SUMIF(Source_PL!$A:$A,"6090 Depreciation Expense",Source_PL!H:H)</f>
        <v>0</v>
      </c>
      <c r="I49" s="30">
        <f>SUMIF(Source_PL!$A:$A,"6090 Depreciation Expense",Source_PL!I:I)</f>
        <v>0</v>
      </c>
      <c r="J49" s="30">
        <f>SUMIF(Source_PL!$A:$A,"6090 Depreciation Expense",Source_PL!J:J)</f>
        <v>0</v>
      </c>
      <c r="K49" s="30">
        <f>SUMIF(Source_PL!$A:$A,"6090 Depreciation Expense",Source_PL!K:K)</f>
        <v>0</v>
      </c>
      <c r="L49" s="30">
        <f>SUMIF(Source_PL!$A:$A,"6090 Depreciation Expense",Source_PL!L:L)</f>
        <v>0</v>
      </c>
      <c r="M49" s="30">
        <f>SUMIF(Source_PL!$A:$A,"6090 Depreciation Expense",Source_PL!M:M)</f>
        <v>244502.89</v>
      </c>
      <c r="N49" s="22" t="str">
        <f>IFERROR(LOOKUP(2,1/((Notes!$A$2:$A$100=TRIM($A49))*(Notes!$B$2:$B$100=Menu!$C$7)),Notes!$C$2:$C$100),"")</f>
        <v/>
      </c>
      <c r="O49" s="36"/>
      <c r="P49" s="30">
        <v>0</v>
      </c>
      <c r="Q49" s="30">
        <f>SUM(B49:M49)</f>
        <v>244677.19</v>
      </c>
      <c r="R49" s="30">
        <f>Q49-P49</f>
        <v>244677.19</v>
      </c>
      <c r="S49" s="33">
        <f>IFERROR(R49/P49,0)</f>
        <v>0</v>
      </c>
      <c r="T49" s="36"/>
      <c r="U49" s="30">
        <f>B49+C49+D49+E49+F49+G49+H49+I49+J49+K49+L49+M49</f>
        <v>244677.19</v>
      </c>
    </row>
    <row r="50" spans="1:21" x14ac:dyDescent="0.25">
      <c r="A50" s="20" t="s">
        <v>51</v>
      </c>
      <c r="B50" s="30">
        <f>SUMIF(Source_PL!$A:$A,"6100 Dues &amp; Subscriptions",Source_PL!B:B)</f>
        <v>5016.1499999999996</v>
      </c>
      <c r="C50" s="30">
        <f>SUMIF(Source_PL!$A:$A,"6100 Dues &amp; Subscriptions",Source_PL!C:C)</f>
        <v>6656.08</v>
      </c>
      <c r="D50" s="30">
        <f>SUMIF(Source_PL!$A:$A,"6100 Dues &amp; Subscriptions",Source_PL!D:D)</f>
        <v>9443.77</v>
      </c>
      <c r="E50" s="30">
        <f>SUMIF(Source_PL!$A:$A,"6100 Dues &amp; Subscriptions",Source_PL!E:E)</f>
        <v>1628.67</v>
      </c>
      <c r="F50" s="30">
        <f>SUMIF(Source_PL!$A:$A,"6100 Dues &amp; Subscriptions",Source_PL!F:F)</f>
        <v>2955.66</v>
      </c>
      <c r="G50" s="30">
        <f>SUMIF(Source_PL!$A:$A,"6100 Dues &amp; Subscriptions",Source_PL!G:G)</f>
        <v>2198.3000000000002</v>
      </c>
      <c r="H50" s="30">
        <f>SUMIF(Source_PL!$A:$A,"6100 Dues &amp; Subscriptions",Source_PL!H:H)</f>
        <v>8192.34</v>
      </c>
      <c r="I50" s="30">
        <f>SUMIF(Source_PL!$A:$A,"6100 Dues &amp; Subscriptions",Source_PL!I:I)</f>
        <v>4969.2299999999996</v>
      </c>
      <c r="J50" s="30">
        <f>SUMIF(Source_PL!$A:$A,"6100 Dues &amp; Subscriptions",Source_PL!J:J)</f>
        <v>6184.91</v>
      </c>
      <c r="K50" s="30">
        <f>SUMIF(Source_PL!$A:$A,"6100 Dues &amp; Subscriptions",Source_PL!K:K)</f>
        <v>4036.66</v>
      </c>
      <c r="L50" s="30">
        <f>SUMIF(Source_PL!$A:$A,"6100 Dues &amp; Subscriptions",Source_PL!L:L)</f>
        <v>4371.2299999999996</v>
      </c>
      <c r="M50" s="30">
        <f>SUMIF(Source_PL!$A:$A,"6100 Dues &amp; Subscriptions",Source_PL!M:M)</f>
        <v>3523.19</v>
      </c>
      <c r="N50" s="22" t="str">
        <f>IFERROR(LOOKUP(2,1/((Notes!$A$2:$A$100=TRIM($A50))*(Notes!$B$2:$B$100=Menu!$C$7)),Notes!$C$2:$C$100),"")</f>
        <v/>
      </c>
      <c r="O50" s="36"/>
      <c r="P50" s="30">
        <v>0</v>
      </c>
      <c r="Q50" s="30">
        <f>SUM(B50:M50)</f>
        <v>59176.19</v>
      </c>
      <c r="R50" s="30">
        <f>Q50-P50</f>
        <v>59176.19</v>
      </c>
      <c r="S50" s="33">
        <f>IFERROR(R50/P50,0)</f>
        <v>0</v>
      </c>
      <c r="T50" s="36"/>
      <c r="U50" s="30">
        <f>B50+C50+D50+E50+F50+G50+H50+I50+J50+K50+L50+M50</f>
        <v>59176.19</v>
      </c>
    </row>
    <row r="51" spans="1:21" x14ac:dyDescent="0.25">
      <c r="A51" s="20" t="s">
        <v>52</v>
      </c>
      <c r="B51" s="30">
        <f>SUMIF(Source_PL!$A:$A,"6130 Fuel",Source_PL!B:B)</f>
        <v>5327.62</v>
      </c>
      <c r="C51" s="30">
        <f>SUMIF(Source_PL!$A:$A,"6130 Fuel",Source_PL!C:C)</f>
        <v>5287.54</v>
      </c>
      <c r="D51" s="30">
        <f>SUMIF(Source_PL!$A:$A,"6130 Fuel",Source_PL!D:D)</f>
        <v>5067.1099999999997</v>
      </c>
      <c r="E51" s="30">
        <f>SUMIF(Source_PL!$A:$A,"6130 Fuel",Source_PL!E:E)</f>
        <v>5495.05</v>
      </c>
      <c r="F51" s="30">
        <f>SUMIF(Source_PL!$A:$A,"6130 Fuel",Source_PL!F:F)</f>
        <v>6161.37</v>
      </c>
      <c r="G51" s="30">
        <f>SUMIF(Source_PL!$A:$A,"6130 Fuel",Source_PL!G:G)</f>
        <v>5454.97</v>
      </c>
      <c r="H51" s="30">
        <f>SUMIF(Source_PL!$A:$A,"6130 Fuel",Source_PL!H:H)</f>
        <v>5589.07</v>
      </c>
      <c r="I51" s="30">
        <f>SUMIF(Source_PL!$A:$A,"6130 Fuel",Source_PL!I:I)</f>
        <v>1926.19</v>
      </c>
      <c r="J51" s="30">
        <f>SUMIF(Source_PL!$A:$A,"6130 Fuel",Source_PL!J:J)</f>
        <v>2866.18</v>
      </c>
      <c r="K51" s="30">
        <f>SUMIF(Source_PL!$A:$A,"6130 Fuel",Source_PL!K:K)</f>
        <v>2095.19</v>
      </c>
      <c r="L51" s="30">
        <f>SUMIF(Source_PL!$A:$A,"6130 Fuel",Source_PL!L:L)</f>
        <v>2437.12</v>
      </c>
      <c r="M51" s="30">
        <f>SUMIF(Source_PL!$A:$A,"6130 Fuel",Source_PL!M:M)</f>
        <v>3871.62</v>
      </c>
      <c r="N51" s="22" t="str">
        <f>IFERROR(LOOKUP(2,1/((Notes!$A$2:$A$100=TRIM($A51))*(Notes!$B$2:$B$100=Menu!$C$7)),Notes!$C$2:$C$100),"")</f>
        <v/>
      </c>
      <c r="O51" s="36"/>
      <c r="P51" s="30">
        <v>0</v>
      </c>
      <c r="Q51" s="30">
        <f>SUM(B51:M51)</f>
        <v>51579.030000000006</v>
      </c>
      <c r="R51" s="30">
        <f>Q51-P51</f>
        <v>51579.030000000006</v>
      </c>
      <c r="S51" s="33">
        <f>IFERROR(R51/P51,0)</f>
        <v>0</v>
      </c>
      <c r="T51" s="36"/>
      <c r="U51" s="30">
        <f>B51+C51+D51+E51+F51+G51+H51+I51+J51+K51+L51+M51</f>
        <v>51579.030000000006</v>
      </c>
    </row>
    <row r="52" spans="1:21" x14ac:dyDescent="0.25">
      <c r="A52" s="20" t="s">
        <v>53</v>
      </c>
      <c r="B52" s="30">
        <f>SUMIF(Source_PL!$A:$A,"6140 Insurance - General Liability",Source_PL!B:B)</f>
        <v>0</v>
      </c>
      <c r="C52" s="30">
        <f>SUMIF(Source_PL!$A:$A,"6140 Insurance - General Liability",Source_PL!C:C)</f>
        <v>30543.58</v>
      </c>
      <c r="D52" s="30">
        <f>SUMIF(Source_PL!$A:$A,"6140 Insurance - General Liability",Source_PL!D:D)</f>
        <v>0</v>
      </c>
      <c r="E52" s="30">
        <f>SUMIF(Source_PL!$A:$A,"6140 Insurance - General Liability",Source_PL!E:E)</f>
        <v>0</v>
      </c>
      <c r="F52" s="30">
        <f>SUMIF(Source_PL!$A:$A,"6140 Insurance - General Liability",Source_PL!F:F)</f>
        <v>0</v>
      </c>
      <c r="G52" s="30">
        <f>SUMIF(Source_PL!$A:$A,"6140 Insurance - General Liability",Source_PL!G:G)</f>
        <v>2804</v>
      </c>
      <c r="H52" s="30">
        <f>SUMIF(Source_PL!$A:$A,"6140 Insurance - General Liability",Source_PL!H:H)</f>
        <v>0</v>
      </c>
      <c r="I52" s="30">
        <f>SUMIF(Source_PL!$A:$A,"6140 Insurance - General Liability",Source_PL!I:I)</f>
        <v>0</v>
      </c>
      <c r="J52" s="30">
        <f>SUMIF(Source_PL!$A:$A,"6140 Insurance - General Liability",Source_PL!J:J)</f>
        <v>0</v>
      </c>
      <c r="K52" s="30">
        <f>SUMIF(Source_PL!$A:$A,"6140 Insurance - General Liability",Source_PL!K:K)</f>
        <v>0</v>
      </c>
      <c r="L52" s="30">
        <f>SUMIF(Source_PL!$A:$A,"6140 Insurance - General Liability",Source_PL!L:L)</f>
        <v>0</v>
      </c>
      <c r="M52" s="30">
        <f>SUMIF(Source_PL!$A:$A,"6140 Insurance - General Liability",Source_PL!M:M)</f>
        <v>0</v>
      </c>
      <c r="N52" s="22" t="str">
        <f>IFERROR(LOOKUP(2,1/((Notes!$A$2:$A$100=TRIM($A52))*(Notes!$B$2:$B$100=Menu!$C$7)),Notes!$C$2:$C$100),"")</f>
        <v/>
      </c>
      <c r="O52" s="36"/>
      <c r="P52" s="30">
        <v>0</v>
      </c>
      <c r="Q52" s="30">
        <f>SUM(B52:M52)</f>
        <v>33347.58</v>
      </c>
      <c r="R52" s="30">
        <f>Q52-P52</f>
        <v>33347.58</v>
      </c>
      <c r="S52" s="33">
        <f>IFERROR(R52/P52,0)</f>
        <v>0</v>
      </c>
      <c r="T52" s="36"/>
      <c r="U52" s="30">
        <f>B52+C52+D52+E52+F52+G52+H52+I52+J52+K52+L52+M52</f>
        <v>33347.58</v>
      </c>
    </row>
    <row r="53" spans="1:21" x14ac:dyDescent="0.25">
      <c r="A53" s="20" t="s">
        <v>54</v>
      </c>
      <c r="B53" s="30">
        <f>SUMIF(Source_PL!$A:$A,"6155 Health and Wellness",Source_PL!B:B)</f>
        <v>334</v>
      </c>
      <c r="C53" s="30">
        <f>SUMIF(Source_PL!$A:$A,"6155 Health and Wellness",Source_PL!C:C)</f>
        <v>349.81</v>
      </c>
      <c r="D53" s="30">
        <f>SUMIF(Source_PL!$A:$A,"6155 Health and Wellness",Source_PL!D:D)</f>
        <v>278.35000000000002</v>
      </c>
      <c r="E53" s="30">
        <f>SUMIF(Source_PL!$A:$A,"6155 Health and Wellness",Source_PL!E:E)</f>
        <v>249</v>
      </c>
      <c r="F53" s="30">
        <f>SUMIF(Source_PL!$A:$A,"6155 Health and Wellness",Source_PL!F:F)</f>
        <v>249</v>
      </c>
      <c r="G53" s="30">
        <f>SUMIF(Source_PL!$A:$A,"6155 Health and Wellness",Source_PL!G:G)</f>
        <v>249</v>
      </c>
      <c r="H53" s="30">
        <f>SUMIF(Source_PL!$A:$A,"6155 Health and Wellness",Source_PL!H:H)</f>
        <v>293.95</v>
      </c>
      <c r="I53" s="30">
        <f>SUMIF(Source_PL!$A:$A,"6155 Health and Wellness",Source_PL!I:I)</f>
        <v>293.95</v>
      </c>
      <c r="J53" s="30">
        <f>SUMIF(Source_PL!$A:$A,"6155 Health and Wellness",Source_PL!J:J)</f>
        <v>692.9</v>
      </c>
      <c r="K53" s="30">
        <f>SUMIF(Source_PL!$A:$A,"6155 Health and Wellness",Source_PL!K:K)</f>
        <v>303.95</v>
      </c>
      <c r="L53" s="30">
        <f>SUMIF(Source_PL!$A:$A,"6155 Health and Wellness",Source_PL!L:L)</f>
        <v>293.95</v>
      </c>
      <c r="M53" s="30">
        <f>SUMIF(Source_PL!$A:$A,"6155 Health and Wellness",Source_PL!M:M)</f>
        <v>543.95000000000005</v>
      </c>
      <c r="N53" s="22" t="str">
        <f>IFERROR(LOOKUP(2,1/((Notes!$A$2:$A$100=TRIM($A53))*(Notes!$B$2:$B$100=Menu!$C$7)),Notes!$C$2:$C$100),"")</f>
        <v/>
      </c>
      <c r="O53" s="36"/>
      <c r="P53" s="30">
        <v>0</v>
      </c>
      <c r="Q53" s="30">
        <f>SUM(B53:M53)</f>
        <v>4131.8099999999995</v>
      </c>
      <c r="R53" s="30">
        <f>Q53-P53</f>
        <v>4131.8099999999995</v>
      </c>
      <c r="S53" s="33">
        <f>IFERROR(R53/P53,0)</f>
        <v>0</v>
      </c>
      <c r="T53" s="36"/>
      <c r="U53" s="30">
        <f>B53+C53+D53+E53+F53+G53+H53+I53+J53+K53+L53+M53</f>
        <v>4131.8099999999995</v>
      </c>
    </row>
    <row r="54" spans="1:21" x14ac:dyDescent="0.25">
      <c r="A54" s="20" t="s">
        <v>55</v>
      </c>
      <c r="B54" s="30">
        <f>SUMIF(Source_PL!$A:$A,"6160 Insurance - Auto",Source_PL!B:B)</f>
        <v>0</v>
      </c>
      <c r="C54" s="30">
        <f>SUMIF(Source_PL!$A:$A,"6160 Insurance - Auto",Source_PL!C:C)</f>
        <v>0</v>
      </c>
      <c r="D54" s="30">
        <f>SUMIF(Source_PL!$A:$A,"6160 Insurance - Auto",Source_PL!D:D)</f>
        <v>0</v>
      </c>
      <c r="E54" s="30">
        <f>SUMIF(Source_PL!$A:$A,"6160 Insurance - Auto",Source_PL!E:E)</f>
        <v>0</v>
      </c>
      <c r="F54" s="30">
        <f>SUMIF(Source_PL!$A:$A,"6160 Insurance - Auto",Source_PL!F:F)</f>
        <v>7749</v>
      </c>
      <c r="G54" s="30">
        <f>SUMIF(Source_PL!$A:$A,"6160 Insurance - Auto",Source_PL!G:G)</f>
        <v>-224</v>
      </c>
      <c r="H54" s="30">
        <f>SUMIF(Source_PL!$A:$A,"6160 Insurance - Auto",Source_PL!H:H)</f>
        <v>625</v>
      </c>
      <c r="I54" s="30">
        <f>SUMIF(Source_PL!$A:$A,"6160 Insurance - Auto",Source_PL!I:I)</f>
        <v>42374.61</v>
      </c>
      <c r="J54" s="30">
        <f>SUMIF(Source_PL!$A:$A,"6160 Insurance - Auto",Source_PL!J:J)</f>
        <v>0</v>
      </c>
      <c r="K54" s="30">
        <f>SUMIF(Source_PL!$A:$A,"6160 Insurance - Auto",Source_PL!K:K)</f>
        <v>0</v>
      </c>
      <c r="L54" s="30">
        <f>SUMIF(Source_PL!$A:$A,"6160 Insurance - Auto",Source_PL!L:L)</f>
        <v>31948.82</v>
      </c>
      <c r="M54" s="30">
        <f>SUMIF(Source_PL!$A:$A,"6160 Insurance - Auto",Source_PL!M:M)</f>
        <v>11781</v>
      </c>
      <c r="N54" s="22" t="str">
        <f>IFERROR(LOOKUP(2,1/((Notes!$A$2:$A$100=TRIM($A54))*(Notes!$B$2:$B$100=Menu!$C$7)),Notes!$C$2:$C$100),"")</f>
        <v/>
      </c>
      <c r="O54" s="36"/>
      <c r="P54" s="30">
        <v>0</v>
      </c>
      <c r="Q54" s="30">
        <f>SUM(B54:M54)</f>
        <v>94254.43</v>
      </c>
      <c r="R54" s="30">
        <f>Q54-P54</f>
        <v>94254.43</v>
      </c>
      <c r="S54" s="33">
        <f>IFERROR(R54/P54,0)</f>
        <v>0</v>
      </c>
      <c r="T54" s="36"/>
      <c r="U54" s="30">
        <f>B54+C54+D54+E54+F54+G54+H54+I54+J54+K54+L54+M54</f>
        <v>94254.43</v>
      </c>
    </row>
    <row r="55" spans="1:21" x14ac:dyDescent="0.25">
      <c r="A55" s="20" t="s">
        <v>56</v>
      </c>
      <c r="B55" s="30">
        <f>SUMIF(Source_PL!$A:$A,"6170 Benefit Expenses",Source_PL!B:B)</f>
        <v>192.96</v>
      </c>
      <c r="C55" s="30">
        <f>SUMIF(Source_PL!$A:$A,"6170 Benefit Expenses",Source_PL!C:C)</f>
        <v>1903.36</v>
      </c>
      <c r="D55" s="30">
        <f>SUMIF(Source_PL!$A:$A,"6170 Benefit Expenses",Source_PL!D:D)</f>
        <v>1364.57</v>
      </c>
      <c r="E55" s="30">
        <f>SUMIF(Source_PL!$A:$A,"6170 Benefit Expenses",Source_PL!E:E)</f>
        <v>192.96</v>
      </c>
      <c r="F55" s="30">
        <f>SUMIF(Source_PL!$A:$A,"6170 Benefit Expenses",Source_PL!F:F)</f>
        <v>192.96</v>
      </c>
      <c r="G55" s="30">
        <f>SUMIF(Source_PL!$A:$A,"6170 Benefit Expenses",Source_PL!G:G)</f>
        <v>136.18</v>
      </c>
      <c r="H55" s="30">
        <f>SUMIF(Source_PL!$A:$A,"6170 Benefit Expenses",Source_PL!H:H)</f>
        <v>192.96</v>
      </c>
      <c r="I55" s="30">
        <f>SUMIF(Source_PL!$A:$A,"6170 Benefit Expenses",Source_PL!I:I)</f>
        <v>192.96</v>
      </c>
      <c r="J55" s="30">
        <f>SUMIF(Source_PL!$A:$A,"6170 Benefit Expenses",Source_PL!J:J)</f>
        <v>192.96</v>
      </c>
      <c r="K55" s="30">
        <f>SUMIF(Source_PL!$A:$A,"6170 Benefit Expenses",Source_PL!K:K)</f>
        <v>192.96</v>
      </c>
      <c r="L55" s="30">
        <f>SUMIF(Source_PL!$A:$A,"6170 Benefit Expenses",Source_PL!L:L)</f>
        <v>192.96</v>
      </c>
      <c r="M55" s="30">
        <f>SUMIF(Source_PL!$A:$A,"6170 Benefit Expenses",Source_PL!M:M)</f>
        <v>192.96</v>
      </c>
      <c r="N55" s="22" t="str">
        <f>IFERROR(LOOKUP(2,1/((Notes!$A$2:$A$100=TRIM($A55))*(Notes!$B$2:$B$100=Menu!$C$7)),Notes!$C$2:$C$100),"")</f>
        <v/>
      </c>
      <c r="O55" s="36"/>
      <c r="P55" s="30">
        <v>0</v>
      </c>
      <c r="Q55" s="30">
        <f>SUM(B55:M55)</f>
        <v>5140.7499999999991</v>
      </c>
      <c r="R55" s="30">
        <f>Q55-P55</f>
        <v>5140.7499999999991</v>
      </c>
      <c r="S55" s="33">
        <f>IFERROR(R55/P55,0)</f>
        <v>0</v>
      </c>
      <c r="T55" s="36"/>
      <c r="U55" s="30">
        <f>B55+C55+D55+E55+F55+G55+H55+I55+J55+K55+L55+M55</f>
        <v>5140.7499999999991</v>
      </c>
    </row>
    <row r="56" spans="1:21" x14ac:dyDescent="0.25">
      <c r="A56" s="20" t="s">
        <v>57</v>
      </c>
      <c r="B56" s="30">
        <f>SUMIF(Source_PL!$A:$A,"6171 Basic Life Insurance",Source_PL!B:B)</f>
        <v>0</v>
      </c>
      <c r="C56" s="30">
        <f>SUMIF(Source_PL!$A:$A,"6171 Basic Life Insurance",Source_PL!C:C)</f>
        <v>0</v>
      </c>
      <c r="D56" s="30">
        <f>SUMIF(Source_PL!$A:$A,"6171 Basic Life Insurance",Source_PL!D:D)</f>
        <v>0</v>
      </c>
      <c r="E56" s="30">
        <f>SUMIF(Source_PL!$A:$A,"6171 Basic Life Insurance",Source_PL!E:E)</f>
        <v>579.42999999999995</v>
      </c>
      <c r="F56" s="30">
        <f>SUMIF(Source_PL!$A:$A,"6171 Basic Life Insurance",Source_PL!F:F)</f>
        <v>579.42999999999995</v>
      </c>
      <c r="G56" s="30">
        <f>SUMIF(Source_PL!$A:$A,"6171 Basic Life Insurance",Source_PL!G:G)</f>
        <v>554.92999999999995</v>
      </c>
      <c r="H56" s="30">
        <f>SUMIF(Source_PL!$A:$A,"6171 Basic Life Insurance",Source_PL!H:H)</f>
        <v>603.92999999999995</v>
      </c>
      <c r="I56" s="30">
        <f>SUMIF(Source_PL!$A:$A,"6171 Basic Life Insurance",Source_PL!I:I)</f>
        <v>579.42999999999995</v>
      </c>
      <c r="J56" s="30">
        <f>SUMIF(Source_PL!$A:$A,"6171 Basic Life Insurance",Source_PL!J:J)</f>
        <v>579.42999999999995</v>
      </c>
      <c r="K56" s="30">
        <f>SUMIF(Source_PL!$A:$A,"6171 Basic Life Insurance",Source_PL!K:K)</f>
        <v>579.42999999999995</v>
      </c>
      <c r="L56" s="30">
        <f>SUMIF(Source_PL!$A:$A,"6171 Basic Life Insurance",Source_PL!L:L)</f>
        <v>579.42999999999995</v>
      </c>
      <c r="M56" s="30">
        <f>SUMIF(Source_PL!$A:$A,"6171 Basic Life Insurance",Source_PL!M:M)</f>
        <v>603.92999999999995</v>
      </c>
      <c r="N56" s="22" t="str">
        <f>IFERROR(LOOKUP(2,1/((Notes!$A$2:$A$100=TRIM($A56))*(Notes!$B$2:$B$100=Menu!$C$7)),Notes!$C$2:$C$100),"")</f>
        <v/>
      </c>
      <c r="O56" s="36"/>
      <c r="P56" s="30">
        <v>0</v>
      </c>
      <c r="Q56" s="30">
        <f>SUM(B56:M56)</f>
        <v>5239.37</v>
      </c>
      <c r="R56" s="30">
        <f>Q56-P56</f>
        <v>5239.37</v>
      </c>
      <c r="S56" s="33">
        <f>IFERROR(R56/P56,0)</f>
        <v>0</v>
      </c>
      <c r="T56" s="36"/>
      <c r="U56" s="30">
        <f>B56+C56+D56+E56+F56+G56+H56+I56+J56+K56+L56+M56</f>
        <v>5239.37</v>
      </c>
    </row>
    <row r="57" spans="1:21" x14ac:dyDescent="0.25">
      <c r="A57" s="20" t="s">
        <v>58</v>
      </c>
      <c r="B57" s="30">
        <f>SUMIF(Source_PL!$A:$A,"6172 Long-Term Disability",Source_PL!B:B)</f>
        <v>0</v>
      </c>
      <c r="C57" s="30">
        <f>SUMIF(Source_PL!$A:$A,"6172 Long-Term Disability",Source_PL!C:C)</f>
        <v>0</v>
      </c>
      <c r="D57" s="30">
        <f>SUMIF(Source_PL!$A:$A,"6172 Long-Term Disability",Source_PL!D:D)</f>
        <v>0</v>
      </c>
      <c r="E57" s="30">
        <f>SUMIF(Source_PL!$A:$A,"6172 Long-Term Disability",Source_PL!E:E)</f>
        <v>493.25</v>
      </c>
      <c r="F57" s="30">
        <f>SUMIF(Source_PL!$A:$A,"6172 Long-Term Disability",Source_PL!F:F)</f>
        <v>519.72</v>
      </c>
      <c r="G57" s="30">
        <f>SUMIF(Source_PL!$A:$A,"6172 Long-Term Disability",Source_PL!G:G)</f>
        <v>493.25</v>
      </c>
      <c r="H57" s="30">
        <f>SUMIF(Source_PL!$A:$A,"6172 Long-Term Disability",Source_PL!H:H)</f>
        <v>539.22</v>
      </c>
      <c r="I57" s="30">
        <f>SUMIF(Source_PL!$A:$A,"6172 Long-Term Disability",Source_PL!I:I)</f>
        <v>519.17999999999995</v>
      </c>
      <c r="J57" s="30">
        <f>SUMIF(Source_PL!$A:$A,"6172 Long-Term Disability",Source_PL!J:J)</f>
        <v>520.95000000000005</v>
      </c>
      <c r="K57" s="30">
        <f>SUMIF(Source_PL!$A:$A,"6172 Long-Term Disability",Source_PL!K:K)</f>
        <v>510.34</v>
      </c>
      <c r="L57" s="30">
        <f>SUMIF(Source_PL!$A:$A,"6172 Long-Term Disability",Source_PL!L:L)</f>
        <v>495.9</v>
      </c>
      <c r="M57" s="30">
        <f>SUMIF(Source_PL!$A:$A,"6172 Long-Term Disability",Source_PL!M:M)</f>
        <v>525.25</v>
      </c>
      <c r="N57" s="22" t="str">
        <f>IFERROR(LOOKUP(2,1/((Notes!$A$2:$A$100=TRIM($A57))*(Notes!$B$2:$B$100=Menu!$C$7)),Notes!$C$2:$C$100),"")</f>
        <v/>
      </c>
      <c r="O57" s="36"/>
      <c r="P57" s="30">
        <v>0</v>
      </c>
      <c r="Q57" s="30">
        <f>SUM(B57:M57)</f>
        <v>4617.0599999999995</v>
      </c>
      <c r="R57" s="30">
        <f>Q57-P57</f>
        <v>4617.0599999999995</v>
      </c>
      <c r="S57" s="33">
        <f>IFERROR(R57/P57,0)</f>
        <v>0</v>
      </c>
      <c r="T57" s="36"/>
      <c r="U57" s="30">
        <f>B57+C57+D57+E57+F57+G57+H57+I57+J57+K57+L57+M57</f>
        <v>4617.0599999999995</v>
      </c>
    </row>
    <row r="58" spans="1:21" x14ac:dyDescent="0.25">
      <c r="A58" s="20" t="s">
        <v>59</v>
      </c>
      <c r="B58" s="30">
        <f>SUMIF(Source_PL!$A:$A,"6173 Health Insurance- EE Only",Source_PL!B:B)</f>
        <v>14320.23</v>
      </c>
      <c r="C58" s="30">
        <f>SUMIF(Source_PL!$A:$A,"6173 Health Insurance- EE Only",Source_PL!C:C)</f>
        <v>12716.16</v>
      </c>
      <c r="D58" s="30">
        <f>SUMIF(Source_PL!$A:$A,"6173 Health Insurance- EE Only",Source_PL!D:D)</f>
        <v>16943.939999999999</v>
      </c>
      <c r="E58" s="30">
        <f>SUMIF(Source_PL!$A:$A,"6173 Health Insurance- EE Only",Source_PL!E:E)</f>
        <v>24151.86</v>
      </c>
      <c r="F58" s="30">
        <f>SUMIF(Source_PL!$A:$A,"6173 Health Insurance- EE Only",Source_PL!F:F)</f>
        <v>4191.66</v>
      </c>
      <c r="G58" s="30">
        <f>SUMIF(Source_PL!$A:$A,"6173 Health Insurance- EE Only",Source_PL!G:G)</f>
        <v>4191.66</v>
      </c>
      <c r="H58" s="30">
        <f>SUMIF(Source_PL!$A:$A,"6173 Health Insurance- EE Only",Source_PL!H:H)</f>
        <v>4657.3999999999996</v>
      </c>
      <c r="I58" s="30">
        <f>SUMIF(Source_PL!$A:$A,"6173 Health Insurance- EE Only",Source_PL!I:I)</f>
        <v>4657.3999999999996</v>
      </c>
      <c r="J58" s="30">
        <f>SUMIF(Source_PL!$A:$A,"6173 Health Insurance- EE Only",Source_PL!J:J)</f>
        <v>4657.3999999999996</v>
      </c>
      <c r="K58" s="30">
        <f>SUMIF(Source_PL!$A:$A,"6173 Health Insurance- EE Only",Source_PL!K:K)</f>
        <v>4036.41</v>
      </c>
      <c r="L58" s="30">
        <f>SUMIF(Source_PL!$A:$A,"6173 Health Insurance- EE Only",Source_PL!L:L)</f>
        <v>4657.3999999999996</v>
      </c>
      <c r="M58" s="30">
        <f>SUMIF(Source_PL!$A:$A,"6173 Health Insurance- EE Only",Source_PL!M:M)</f>
        <v>6327.58</v>
      </c>
      <c r="N58" s="22" t="str">
        <f>IFERROR(LOOKUP(2,1/((Notes!$A$2:$A$100=TRIM($A58))*(Notes!$B$2:$B$100=Menu!$C$7)),Notes!$C$2:$C$100),"")</f>
        <v/>
      </c>
      <c r="O58" s="36"/>
      <c r="P58" s="30">
        <v>0</v>
      </c>
      <c r="Q58" s="30">
        <f>SUM(B58:M58)</f>
        <v>105509.09999999999</v>
      </c>
      <c r="R58" s="30">
        <f>Q58-P58</f>
        <v>105509.09999999999</v>
      </c>
      <c r="S58" s="33">
        <f>IFERROR(R58/P58,0)</f>
        <v>0</v>
      </c>
      <c r="T58" s="36"/>
      <c r="U58" s="30">
        <f>B58+C58+D58+E58+F58+G58+H58+I58+J58+K58+L58+M58</f>
        <v>105509.09999999999</v>
      </c>
    </row>
    <row r="59" spans="1:21" x14ac:dyDescent="0.25">
      <c r="A59" s="20" t="s">
        <v>60</v>
      </c>
      <c r="B59" s="30">
        <f>SUMIF(Source_PL!$A:$A,"6174 Health Insurance- EE+DEP (AMP Cost)",Source_PL!B:B)</f>
        <v>0</v>
      </c>
      <c r="C59" s="30">
        <f>SUMIF(Source_PL!$A:$A,"6174 Health Insurance- EE+DEP (AMP Cost)",Source_PL!C:C)</f>
        <v>0</v>
      </c>
      <c r="D59" s="30">
        <f>SUMIF(Source_PL!$A:$A,"6174 Health Insurance- EE+DEP (AMP Cost)",Source_PL!D:D)</f>
        <v>0</v>
      </c>
      <c r="E59" s="30">
        <f>SUMIF(Source_PL!$A:$A,"6174 Health Insurance- EE+DEP (AMP Cost)",Source_PL!E:E)</f>
        <v>0</v>
      </c>
      <c r="F59" s="30">
        <f>SUMIF(Source_PL!$A:$A,"6174 Health Insurance- EE+DEP (AMP Cost)",Source_PL!F:F)</f>
        <v>10506.12</v>
      </c>
      <c r="G59" s="30">
        <f>SUMIF(Source_PL!$A:$A,"6174 Health Insurance- EE+DEP (AMP Cost)",Source_PL!G:G)</f>
        <v>8262.08</v>
      </c>
      <c r="H59" s="30">
        <f>SUMIF(Source_PL!$A:$A,"6174 Health Insurance- EE+DEP (AMP Cost)",Source_PL!H:H)</f>
        <v>11239.18</v>
      </c>
      <c r="I59" s="30">
        <f>SUMIF(Source_PL!$A:$A,"6174 Health Insurance- EE+DEP (AMP Cost)",Source_PL!I:I)</f>
        <v>7376.23</v>
      </c>
      <c r="J59" s="30">
        <f>SUMIF(Source_PL!$A:$A,"6174 Health Insurance- EE+DEP (AMP Cost)",Source_PL!J:J)</f>
        <v>11239.18</v>
      </c>
      <c r="K59" s="30">
        <f>SUMIF(Source_PL!$A:$A,"6174 Health Insurance- EE+DEP (AMP Cost)",Source_PL!K:K)</f>
        <v>11326.71</v>
      </c>
      <c r="L59" s="30">
        <f>SUMIF(Source_PL!$A:$A,"6174 Health Insurance- EE+DEP (AMP Cost)",Source_PL!L:L)</f>
        <v>10705.72</v>
      </c>
      <c r="M59" s="30">
        <f>SUMIF(Source_PL!$A:$A,"6174 Health Insurance- EE+DEP (AMP Cost)",Source_PL!M:M)</f>
        <v>28786.59</v>
      </c>
      <c r="N59" s="22" t="str">
        <f>IFERROR(LOOKUP(2,1/((Notes!$A$2:$A$100=TRIM($A59))*(Notes!$B$2:$B$100=Menu!$C$7)),Notes!$C$2:$C$100),"")</f>
        <v/>
      </c>
      <c r="O59" s="36"/>
      <c r="P59" s="30">
        <v>0</v>
      </c>
      <c r="Q59" s="30">
        <f>SUM(B59:M59)</f>
        <v>99441.81</v>
      </c>
      <c r="R59" s="30">
        <f>Q59-P59</f>
        <v>99441.81</v>
      </c>
      <c r="S59" s="33">
        <f>IFERROR(R59/P59,0)</f>
        <v>0</v>
      </c>
      <c r="T59" s="36"/>
      <c r="U59" s="30">
        <f>B59+C59+D59+E59+F59+G59+H59+I59+J59+K59+L59+M59</f>
        <v>99441.81</v>
      </c>
    </row>
    <row r="60" spans="1:21" x14ac:dyDescent="0.25">
      <c r="A60" s="20" t="s">
        <v>61</v>
      </c>
      <c r="B60" s="30">
        <f>SUMIF(Source_PL!$A:$A,"6175 BCBS Adjustments",Source_PL!B:B)</f>
        <v>0</v>
      </c>
      <c r="C60" s="30">
        <f>SUMIF(Source_PL!$A:$A,"6175 BCBS Adjustments",Source_PL!C:C)</f>
        <v>0</v>
      </c>
      <c r="D60" s="30">
        <f>SUMIF(Source_PL!$A:$A,"6175 BCBS Adjustments",Source_PL!D:D)</f>
        <v>0</v>
      </c>
      <c r="E60" s="30">
        <f>SUMIF(Source_PL!$A:$A,"6175 BCBS Adjustments",Source_PL!E:E)</f>
        <v>0</v>
      </c>
      <c r="F60" s="30">
        <f>SUMIF(Source_PL!$A:$A,"6175 BCBS Adjustments",Source_PL!F:F)</f>
        <v>-2379.7800000000002</v>
      </c>
      <c r="G60" s="30">
        <f>SUMIF(Source_PL!$A:$A,"6175 BCBS Adjustments",Source_PL!G:G)</f>
        <v>0</v>
      </c>
      <c r="H60" s="30">
        <f>SUMIF(Source_PL!$A:$A,"6175 BCBS Adjustments",Source_PL!H:H)</f>
        <v>2140.11</v>
      </c>
      <c r="I60" s="30">
        <f>SUMIF(Source_PL!$A:$A,"6175 BCBS Adjustments",Source_PL!I:I)</f>
        <v>0</v>
      </c>
      <c r="J60" s="30">
        <f>SUMIF(Source_PL!$A:$A,"6175 BCBS Adjustments",Source_PL!J:J)</f>
        <v>0</v>
      </c>
      <c r="K60" s="30">
        <f>SUMIF(Source_PL!$A:$A,"6175 BCBS Adjustments",Source_PL!K:K)</f>
        <v>-2492.5500000000002</v>
      </c>
      <c r="L60" s="30">
        <f>SUMIF(Source_PL!$A:$A,"6175 BCBS Adjustments",Source_PL!L:L)</f>
        <v>985.82</v>
      </c>
      <c r="M60" s="30">
        <f>SUMIF(Source_PL!$A:$A,"6175 BCBS Adjustments",Source_PL!M:M)</f>
        <v>3874.12</v>
      </c>
      <c r="N60" s="22" t="str">
        <f>IFERROR(LOOKUP(2,1/((Notes!$A$2:$A$100=TRIM($A60))*(Notes!$B$2:$B$100=Menu!$C$7)),Notes!$C$2:$C$100),"")</f>
        <v/>
      </c>
      <c r="O60" s="36"/>
      <c r="P60" s="30">
        <v>0</v>
      </c>
      <c r="Q60" s="30">
        <f>SUM(B60:M60)</f>
        <v>2127.7199999999998</v>
      </c>
      <c r="R60" s="30">
        <f>Q60-P60</f>
        <v>2127.7199999999998</v>
      </c>
      <c r="S60" s="33">
        <f>IFERROR(R60/P60,0)</f>
        <v>0</v>
      </c>
      <c r="T60" s="36"/>
      <c r="U60" s="30">
        <f>B60+C60+D60+E60+F60+G60+H60+I60+J60+K60+L60+M60</f>
        <v>2127.7199999999998</v>
      </c>
    </row>
    <row r="61" spans="1:21" x14ac:dyDescent="0.25">
      <c r="A61" s="20" t="s">
        <v>62</v>
      </c>
      <c r="B61" s="30">
        <f>SUMIF(Source_PL!$A:$A,"6176 Principal Adjustments",Source_PL!B:B)</f>
        <v>0</v>
      </c>
      <c r="C61" s="30">
        <f>SUMIF(Source_PL!$A:$A,"6176 Principal Adjustments",Source_PL!C:C)</f>
        <v>0</v>
      </c>
      <c r="D61" s="30">
        <f>SUMIF(Source_PL!$A:$A,"6176 Principal Adjustments",Source_PL!D:D)</f>
        <v>0</v>
      </c>
      <c r="E61" s="30">
        <f>SUMIF(Source_PL!$A:$A,"6176 Principal Adjustments",Source_PL!E:E)</f>
        <v>0</v>
      </c>
      <c r="F61" s="30">
        <f>SUMIF(Source_PL!$A:$A,"6176 Principal Adjustments",Source_PL!F:F)</f>
        <v>76.44</v>
      </c>
      <c r="G61" s="30">
        <f>SUMIF(Source_PL!$A:$A,"6176 Principal Adjustments",Source_PL!G:G)</f>
        <v>-160.91</v>
      </c>
      <c r="H61" s="30">
        <f>SUMIF(Source_PL!$A:$A,"6176 Principal Adjustments",Source_PL!H:H)</f>
        <v>437.31</v>
      </c>
      <c r="I61" s="30">
        <f>SUMIF(Source_PL!$A:$A,"6176 Principal Adjustments",Source_PL!I:I)</f>
        <v>-252.28</v>
      </c>
      <c r="J61" s="30">
        <f>SUMIF(Source_PL!$A:$A,"6176 Principal Adjustments",Source_PL!J:J)</f>
        <v>15.45</v>
      </c>
      <c r="K61" s="30">
        <f>SUMIF(Source_PL!$A:$A,"6176 Principal Adjustments",Source_PL!K:K)</f>
        <v>-90.25</v>
      </c>
      <c r="L61" s="30">
        <f>SUMIF(Source_PL!$A:$A,"6176 Principal Adjustments",Source_PL!L:L)</f>
        <v>-86.75</v>
      </c>
      <c r="M61" s="30">
        <f>SUMIF(Source_PL!$A:$A,"6176 Principal Adjustments",Source_PL!M:M)</f>
        <v>155.01</v>
      </c>
      <c r="N61" s="22" t="str">
        <f>IFERROR(LOOKUP(2,1/((Notes!$A$2:$A$100=TRIM($A61))*(Notes!$B$2:$B$100=Menu!$C$7)),Notes!$C$2:$C$100),"")</f>
        <v/>
      </c>
      <c r="O61" s="36"/>
      <c r="P61" s="30">
        <v>0</v>
      </c>
      <c r="Q61" s="30">
        <f>SUM(B61:M61)</f>
        <v>94.020000000000024</v>
      </c>
      <c r="R61" s="30">
        <f>Q61-P61</f>
        <v>94.020000000000024</v>
      </c>
      <c r="S61" s="33">
        <f>IFERROR(R61/P61,0)</f>
        <v>0</v>
      </c>
      <c r="T61" s="36"/>
      <c r="U61" s="30">
        <f>B61+C61+D61+E61+F61+G61+H61+I61+J61+K61+L61+M61</f>
        <v>94.020000000000024</v>
      </c>
    </row>
    <row r="62" spans="1:21" x14ac:dyDescent="0.25">
      <c r="A62" s="20" t="s">
        <v>63</v>
      </c>
      <c r="B62" s="30">
        <f>SUMIF(Source_PL!$A:$A,"6177 GAP Insurance",Source_PL!B:B)</f>
        <v>0</v>
      </c>
      <c r="C62" s="30">
        <f>SUMIF(Source_PL!$A:$A,"6177 GAP Insurance",Source_PL!C:C)</f>
        <v>0</v>
      </c>
      <c r="D62" s="30">
        <f>SUMIF(Source_PL!$A:$A,"6177 GAP Insurance",Source_PL!D:D)</f>
        <v>0</v>
      </c>
      <c r="E62" s="30">
        <f>SUMIF(Source_PL!$A:$A,"6177 GAP Insurance",Source_PL!E:E)</f>
        <v>0</v>
      </c>
      <c r="F62" s="30">
        <f>SUMIF(Source_PL!$A:$A,"6177 GAP Insurance",Source_PL!F:F)</f>
        <v>0</v>
      </c>
      <c r="G62" s="30">
        <f>SUMIF(Source_PL!$A:$A,"6177 GAP Insurance",Source_PL!G:G)</f>
        <v>3985.8</v>
      </c>
      <c r="H62" s="30">
        <f>SUMIF(Source_PL!$A:$A,"6177 GAP Insurance",Source_PL!H:H)</f>
        <v>4131.75</v>
      </c>
      <c r="I62" s="30">
        <f>SUMIF(Source_PL!$A:$A,"6177 GAP Insurance",Source_PL!I:I)</f>
        <v>4101.75</v>
      </c>
      <c r="J62" s="30">
        <f>SUMIF(Source_PL!$A:$A,"6177 GAP Insurance",Source_PL!J:J)</f>
        <v>4101.75</v>
      </c>
      <c r="K62" s="30">
        <f>SUMIF(Source_PL!$A:$A,"6177 GAP Insurance",Source_PL!K:K)</f>
        <v>4353.8100000000004</v>
      </c>
      <c r="L62" s="30">
        <f>SUMIF(Source_PL!$A:$A,"6177 GAP Insurance",Source_PL!L:L)</f>
        <v>4402.0200000000004</v>
      </c>
      <c r="M62" s="30">
        <f>SUMIF(Source_PL!$A:$A,"6177 GAP Insurance",Source_PL!M:M)</f>
        <v>4064.17</v>
      </c>
      <c r="N62" s="22" t="str">
        <f>IFERROR(LOOKUP(2,1/((Notes!$A$2:$A$100=TRIM($A62))*(Notes!$B$2:$B$100=Menu!$C$7)),Notes!$C$2:$C$100),"")</f>
        <v/>
      </c>
      <c r="O62" s="36"/>
      <c r="P62" s="30">
        <v>0</v>
      </c>
      <c r="Q62" s="30">
        <f>SUM(B62:M62)</f>
        <v>29141.050000000003</v>
      </c>
      <c r="R62" s="30">
        <f>Q62-P62</f>
        <v>29141.050000000003</v>
      </c>
      <c r="S62" s="33">
        <f>IFERROR(R62/P62,0)</f>
        <v>0</v>
      </c>
      <c r="T62" s="36"/>
      <c r="U62" s="30">
        <f>B62+C62+D62+E62+F62+G62+H62+I62+J62+K62+L62+M62</f>
        <v>29141.050000000003</v>
      </c>
    </row>
    <row r="63" spans="1:21" x14ac:dyDescent="0.25">
      <c r="A63" s="23" t="s">
        <v>64</v>
      </c>
      <c r="B63" s="31">
        <f>SUMIF(Source_PL!$A:$A,"Total for 6170 Benefit Expenses",Source_PL!B:B)</f>
        <v>14513.189999999999</v>
      </c>
      <c r="C63" s="31">
        <f>SUMIF(Source_PL!$A:$A,"Total for 6170 Benefit Expenses",Source_PL!C:C)</f>
        <v>14619.52</v>
      </c>
      <c r="D63" s="31">
        <f>SUMIF(Source_PL!$A:$A,"Total for 6170 Benefit Expenses",Source_PL!D:D)</f>
        <v>18308.509999999998</v>
      </c>
      <c r="E63" s="31">
        <f>SUMIF(Source_PL!$A:$A,"Total for 6170 Benefit Expenses",Source_PL!E:E)</f>
        <v>25417.5</v>
      </c>
      <c r="F63" s="31">
        <f>SUMIF(Source_PL!$A:$A,"Total for 6170 Benefit Expenses",Source_PL!F:F)</f>
        <v>13686.550000000001</v>
      </c>
      <c r="G63" s="31">
        <f>SUMIF(Source_PL!$A:$A,"Total for 6170 Benefit Expenses",Source_PL!G:G)</f>
        <v>17462.989999999998</v>
      </c>
      <c r="H63" s="31">
        <f>SUMIF(Source_PL!$A:$A,"Total for 6170 Benefit Expenses",Source_PL!H:H)</f>
        <v>23941.860000000004</v>
      </c>
      <c r="I63" s="31">
        <f>SUMIF(Source_PL!$A:$A,"Total for 6170 Benefit Expenses",Source_PL!I:I)</f>
        <v>17174.669999999998</v>
      </c>
      <c r="J63" s="31">
        <f>SUMIF(Source_PL!$A:$A,"Total for 6170 Benefit Expenses",Source_PL!J:J)</f>
        <v>21307.119999999999</v>
      </c>
      <c r="K63" s="31">
        <f>SUMIF(Source_PL!$A:$A,"Total for 6170 Benefit Expenses",Source_PL!K:K)</f>
        <v>18416.86</v>
      </c>
      <c r="L63" s="31">
        <f>SUMIF(Source_PL!$A:$A,"Total for 6170 Benefit Expenses",Source_PL!L:L)</f>
        <v>21932.5</v>
      </c>
      <c r="M63" s="31">
        <f>SUMIF(Source_PL!$A:$A,"Total for 6170 Benefit Expenses",Source_PL!M:M)</f>
        <v>44529.61</v>
      </c>
      <c r="N63" s="25" t="str">
        <f>IFERROR(LOOKUP(2,1/((Notes!$A$2:$A$100=TRIM($A63))*(Notes!$B$2:$B$100=Menu!$C$7)),Notes!$C$2:$C$100),"")</f>
        <v/>
      </c>
      <c r="O63" s="36"/>
      <c r="P63" s="31">
        <v>0</v>
      </c>
      <c r="Q63" s="31">
        <f>SUM(B63:M63)</f>
        <v>251310.88</v>
      </c>
      <c r="R63" s="31">
        <f>Q63-P63</f>
        <v>251310.88</v>
      </c>
      <c r="S63" s="34">
        <f>IFERROR(R63/P63,0)</f>
        <v>0</v>
      </c>
      <c r="T63" s="36"/>
      <c r="U63" s="31">
        <f>B63+C63+D63+E63+F63+G63+H63+I63+J63+K63+L63+M63</f>
        <v>251310.88</v>
      </c>
    </row>
    <row r="64" spans="1:21" x14ac:dyDescent="0.25">
      <c r="A64" s="20" t="s">
        <v>65</v>
      </c>
      <c r="B64" s="30">
        <f>SUMIF(Source_PL!$A:$A,"6179 Insurance - Workers' Comp",Source_PL!B:B)</f>
        <v>5506</v>
      </c>
      <c r="C64" s="30">
        <f>SUMIF(Source_PL!$A:$A,"6179 Insurance - Workers' Comp",Source_PL!C:C)</f>
        <v>644</v>
      </c>
      <c r="D64" s="30">
        <f>SUMIF(Source_PL!$A:$A,"6179 Insurance - Workers' Comp",Source_PL!D:D)</f>
        <v>834</v>
      </c>
      <c r="E64" s="30">
        <f>SUMIF(Source_PL!$A:$A,"6179 Insurance - Workers' Comp",Source_PL!E:E)</f>
        <v>6175</v>
      </c>
      <c r="F64" s="30">
        <f>SUMIF(Source_PL!$A:$A,"6179 Insurance - Workers' Comp",Source_PL!F:F)</f>
        <v>2853</v>
      </c>
      <c r="G64" s="30">
        <f>SUMIF(Source_PL!$A:$A,"6179 Insurance - Workers' Comp",Source_PL!G:G)</f>
        <v>834</v>
      </c>
      <c r="H64" s="30">
        <f>SUMIF(Source_PL!$A:$A,"6179 Insurance - Workers' Comp",Source_PL!H:H)</f>
        <v>13141</v>
      </c>
      <c r="I64" s="30">
        <f>SUMIF(Source_PL!$A:$A,"6179 Insurance - Workers' Comp",Source_PL!I:I)</f>
        <v>0</v>
      </c>
      <c r="J64" s="30">
        <f>SUMIF(Source_PL!$A:$A,"6179 Insurance - Workers' Comp",Source_PL!J:J)</f>
        <v>2504</v>
      </c>
      <c r="K64" s="30">
        <f>SUMIF(Source_PL!$A:$A,"6179 Insurance - Workers' Comp",Source_PL!K:K)</f>
        <v>4398</v>
      </c>
      <c r="L64" s="30">
        <f>SUMIF(Source_PL!$A:$A,"6179 Insurance - Workers' Comp",Source_PL!L:L)</f>
        <v>3347</v>
      </c>
      <c r="M64" s="30">
        <f>SUMIF(Source_PL!$A:$A,"6179 Insurance - Workers' Comp",Source_PL!M:M)</f>
        <v>834</v>
      </c>
      <c r="N64" s="22" t="str">
        <f>IFERROR(LOOKUP(2,1/((Notes!$A$2:$A$100=TRIM($A64))*(Notes!$B$2:$B$100=Menu!$C$7)),Notes!$C$2:$C$100),"")</f>
        <v/>
      </c>
      <c r="O64" s="36"/>
      <c r="P64" s="30">
        <v>0</v>
      </c>
      <c r="Q64" s="30">
        <f>SUM(B64:M64)</f>
        <v>41070</v>
      </c>
      <c r="R64" s="30">
        <f>Q64-P64</f>
        <v>41070</v>
      </c>
      <c r="S64" s="33">
        <f>IFERROR(R64/P64,0)</f>
        <v>0</v>
      </c>
      <c r="T64" s="36"/>
      <c r="U64" s="30">
        <f>B64+C64+D64+E64+F64+G64+H64+I64+J64+K64+L64+M64</f>
        <v>41070</v>
      </c>
    </row>
    <row r="65" spans="1:21" x14ac:dyDescent="0.25">
      <c r="A65" s="20" t="s">
        <v>66</v>
      </c>
      <c r="B65" s="30">
        <f>SUMIF(Source_PL!$A:$A,"6180 Insurance - Officer's Life",Source_PL!B:B)</f>
        <v>288.41000000000003</v>
      </c>
      <c r="C65" s="30">
        <f>SUMIF(Source_PL!$A:$A,"6180 Insurance - Officer's Life",Source_PL!C:C)</f>
        <v>0</v>
      </c>
      <c r="D65" s="30">
        <f>SUMIF(Source_PL!$A:$A,"6180 Insurance - Officer's Life",Source_PL!D:D)</f>
        <v>0</v>
      </c>
      <c r="E65" s="30">
        <f>SUMIF(Source_PL!$A:$A,"6180 Insurance - Officer's Life",Source_PL!E:E)</f>
        <v>0</v>
      </c>
      <c r="F65" s="30">
        <f>SUMIF(Source_PL!$A:$A,"6180 Insurance - Officer's Life",Source_PL!F:F)</f>
        <v>0</v>
      </c>
      <c r="G65" s="30">
        <f>SUMIF(Source_PL!$A:$A,"6180 Insurance - Officer's Life",Source_PL!G:G)</f>
        <v>0</v>
      </c>
      <c r="H65" s="30">
        <f>SUMIF(Source_PL!$A:$A,"6180 Insurance - Officer's Life",Source_PL!H:H)</f>
        <v>0</v>
      </c>
      <c r="I65" s="30">
        <f>SUMIF(Source_PL!$A:$A,"6180 Insurance - Officer's Life",Source_PL!I:I)</f>
        <v>0</v>
      </c>
      <c r="J65" s="30">
        <f>SUMIF(Source_PL!$A:$A,"6180 Insurance - Officer's Life",Source_PL!J:J)</f>
        <v>0</v>
      </c>
      <c r="K65" s="30">
        <f>SUMIF(Source_PL!$A:$A,"6180 Insurance - Officer's Life",Source_PL!K:K)</f>
        <v>0</v>
      </c>
      <c r="L65" s="30">
        <f>SUMIF(Source_PL!$A:$A,"6180 Insurance - Officer's Life",Source_PL!L:L)</f>
        <v>0</v>
      </c>
      <c r="M65" s="30">
        <f>SUMIF(Source_PL!$A:$A,"6180 Insurance - Officer's Life",Source_PL!M:M)</f>
        <v>0</v>
      </c>
      <c r="N65" s="22" t="str">
        <f>IFERROR(LOOKUP(2,1/((Notes!$A$2:$A$100=TRIM($A65))*(Notes!$B$2:$B$100=Menu!$C$7)),Notes!$C$2:$C$100),"")</f>
        <v/>
      </c>
      <c r="O65" s="36"/>
      <c r="P65" s="30">
        <v>0</v>
      </c>
      <c r="Q65" s="30">
        <f>SUM(B65:M65)</f>
        <v>288.41000000000003</v>
      </c>
      <c r="R65" s="30">
        <f>Q65-P65</f>
        <v>288.41000000000003</v>
      </c>
      <c r="S65" s="33">
        <f>IFERROR(R65/P65,0)</f>
        <v>0</v>
      </c>
      <c r="T65" s="36"/>
      <c r="U65" s="30">
        <f>B65+C65+D65+E65+F65+G65+H65+I65+J65+K65+L65+M65</f>
        <v>288.41000000000003</v>
      </c>
    </row>
    <row r="66" spans="1:21" x14ac:dyDescent="0.25">
      <c r="A66" s="20" t="s">
        <v>67</v>
      </c>
      <c r="B66" s="30">
        <f>SUMIF(Source_PL!$A:$A,"6190 Insurance - Umbrella",Source_PL!B:B)</f>
        <v>0</v>
      </c>
      <c r="C66" s="30">
        <f>SUMIF(Source_PL!$A:$A,"6190 Insurance - Umbrella",Source_PL!C:C)</f>
        <v>0</v>
      </c>
      <c r="D66" s="30">
        <f>SUMIF(Source_PL!$A:$A,"6190 Insurance - Umbrella",Source_PL!D:D)</f>
        <v>0</v>
      </c>
      <c r="E66" s="30">
        <f>SUMIF(Source_PL!$A:$A,"6190 Insurance - Umbrella",Source_PL!E:E)</f>
        <v>0</v>
      </c>
      <c r="F66" s="30">
        <f>SUMIF(Source_PL!$A:$A,"6190 Insurance - Umbrella",Source_PL!F:F)</f>
        <v>38584.589999999997</v>
      </c>
      <c r="G66" s="30">
        <f>SUMIF(Source_PL!$A:$A,"6190 Insurance - Umbrella",Source_PL!G:G)</f>
        <v>0</v>
      </c>
      <c r="H66" s="30">
        <f>SUMIF(Source_PL!$A:$A,"6190 Insurance - Umbrella",Source_PL!H:H)</f>
        <v>0</v>
      </c>
      <c r="I66" s="30">
        <f>SUMIF(Source_PL!$A:$A,"6190 Insurance - Umbrella",Source_PL!I:I)</f>
        <v>0</v>
      </c>
      <c r="J66" s="30">
        <f>SUMIF(Source_PL!$A:$A,"6190 Insurance - Umbrella",Source_PL!J:J)</f>
        <v>0</v>
      </c>
      <c r="K66" s="30">
        <f>SUMIF(Source_PL!$A:$A,"6190 Insurance - Umbrella",Source_PL!K:K)</f>
        <v>0</v>
      </c>
      <c r="L66" s="30">
        <f>SUMIF(Source_PL!$A:$A,"6190 Insurance - Umbrella",Source_PL!L:L)</f>
        <v>0</v>
      </c>
      <c r="M66" s="30">
        <f>SUMIF(Source_PL!$A:$A,"6190 Insurance - Umbrella",Source_PL!M:M)</f>
        <v>0</v>
      </c>
      <c r="N66" s="22" t="str">
        <f>IFERROR(LOOKUP(2,1/((Notes!$A$2:$A$100=TRIM($A66))*(Notes!$B$2:$B$100=Menu!$C$7)),Notes!$C$2:$C$100),"")</f>
        <v/>
      </c>
      <c r="O66" s="36"/>
      <c r="P66" s="30">
        <v>0</v>
      </c>
      <c r="Q66" s="30">
        <f>SUM(B66:M66)</f>
        <v>38584.589999999997</v>
      </c>
      <c r="R66" s="30">
        <f>Q66-P66</f>
        <v>38584.589999999997</v>
      </c>
      <c r="S66" s="33">
        <f>IFERROR(R66/P66,0)</f>
        <v>0</v>
      </c>
      <c r="T66" s="36"/>
      <c r="U66" s="30">
        <f>B66+C66+D66+E66+F66+G66+H66+I66+J66+K66+L66+M66</f>
        <v>38584.589999999997</v>
      </c>
    </row>
    <row r="67" spans="1:21" x14ac:dyDescent="0.25">
      <c r="A67" s="20" t="s">
        <v>68</v>
      </c>
      <c r="B67" s="30">
        <f>SUMIF(Source_PL!$A:$A,"6260 Licenses, Permits &amp; Taxes",Source_PL!B:B)</f>
        <v>0</v>
      </c>
      <c r="C67" s="30">
        <f>SUMIF(Source_PL!$A:$A,"6260 Licenses, Permits &amp; Taxes",Source_PL!C:C)</f>
        <v>0</v>
      </c>
      <c r="D67" s="30">
        <f>SUMIF(Source_PL!$A:$A,"6260 Licenses, Permits &amp; Taxes",Source_PL!D:D)</f>
        <v>1656.25</v>
      </c>
      <c r="E67" s="30">
        <f>SUMIF(Source_PL!$A:$A,"6260 Licenses, Permits &amp; Taxes",Source_PL!E:E)</f>
        <v>236</v>
      </c>
      <c r="F67" s="30">
        <f>SUMIF(Source_PL!$A:$A,"6260 Licenses, Permits &amp; Taxes",Source_PL!F:F)</f>
        <v>0</v>
      </c>
      <c r="G67" s="30">
        <f>SUMIF(Source_PL!$A:$A,"6260 Licenses, Permits &amp; Taxes",Source_PL!G:G)</f>
        <v>392.5</v>
      </c>
      <c r="H67" s="30">
        <f>SUMIF(Source_PL!$A:$A,"6260 Licenses, Permits &amp; Taxes",Source_PL!H:H)</f>
        <v>1679.97</v>
      </c>
      <c r="I67" s="30">
        <f>SUMIF(Source_PL!$A:$A,"6260 Licenses, Permits &amp; Taxes",Source_PL!I:I)</f>
        <v>405</v>
      </c>
      <c r="J67" s="30">
        <f>SUMIF(Source_PL!$A:$A,"6260 Licenses, Permits &amp; Taxes",Source_PL!J:J)</f>
        <v>824.35</v>
      </c>
      <c r="K67" s="30">
        <f>SUMIF(Source_PL!$A:$A,"6260 Licenses, Permits &amp; Taxes",Source_PL!K:K)</f>
        <v>33</v>
      </c>
      <c r="L67" s="30">
        <f>SUMIF(Source_PL!$A:$A,"6260 Licenses, Permits &amp; Taxes",Source_PL!L:L)</f>
        <v>0</v>
      </c>
      <c r="M67" s="30">
        <f>SUMIF(Source_PL!$A:$A,"6260 Licenses, Permits &amp; Taxes",Source_PL!M:M)</f>
        <v>1850.2</v>
      </c>
      <c r="N67" s="22" t="str">
        <f>IFERROR(LOOKUP(2,1/((Notes!$A$2:$A$100=TRIM($A67))*(Notes!$B$2:$B$100=Menu!$C$7)),Notes!$C$2:$C$100),"")</f>
        <v/>
      </c>
      <c r="O67" s="36"/>
      <c r="P67" s="30">
        <v>0</v>
      </c>
      <c r="Q67" s="30">
        <f>SUM(B67:M67)</f>
        <v>7077.27</v>
      </c>
      <c r="R67" s="30">
        <f>Q67-P67</f>
        <v>7077.27</v>
      </c>
      <c r="S67" s="33">
        <f>IFERROR(R67/P67,0)</f>
        <v>0</v>
      </c>
      <c r="T67" s="36"/>
      <c r="U67" s="30">
        <f>B67+C67+D67+E67+F67+G67+H67+I67+J67+K67+L67+M67</f>
        <v>7077.27</v>
      </c>
    </row>
    <row r="68" spans="1:21" x14ac:dyDescent="0.25">
      <c r="A68" s="20" t="s">
        <v>69</v>
      </c>
      <c r="B68" s="30">
        <f>SUMIF(Source_PL!$A:$A,"6270 Meals &amp; Entertainment 50%",Source_PL!B:B)</f>
        <v>1641.67</v>
      </c>
      <c r="C68" s="30">
        <f>SUMIF(Source_PL!$A:$A,"6270 Meals &amp; Entertainment 50%",Source_PL!C:C)</f>
        <v>865.77</v>
      </c>
      <c r="D68" s="30">
        <f>SUMIF(Source_PL!$A:$A,"6270 Meals &amp; Entertainment 50%",Source_PL!D:D)</f>
        <v>710.86</v>
      </c>
      <c r="E68" s="30">
        <f>SUMIF(Source_PL!$A:$A,"6270 Meals &amp; Entertainment 50%",Source_PL!E:E)</f>
        <v>1780.1</v>
      </c>
      <c r="F68" s="30">
        <f>SUMIF(Source_PL!$A:$A,"6270 Meals &amp; Entertainment 50%",Source_PL!F:F)</f>
        <v>2928.11</v>
      </c>
      <c r="G68" s="30">
        <f>SUMIF(Source_PL!$A:$A,"6270 Meals &amp; Entertainment 50%",Source_PL!G:G)</f>
        <v>2405.9899999999998</v>
      </c>
      <c r="H68" s="30">
        <f>SUMIF(Source_PL!$A:$A,"6270 Meals &amp; Entertainment 50%",Source_PL!H:H)</f>
        <v>3624.82</v>
      </c>
      <c r="I68" s="30">
        <f>SUMIF(Source_PL!$A:$A,"6270 Meals &amp; Entertainment 50%",Source_PL!I:I)</f>
        <v>1408.13</v>
      </c>
      <c r="J68" s="30">
        <f>SUMIF(Source_PL!$A:$A,"6270 Meals &amp; Entertainment 50%",Source_PL!J:J)</f>
        <v>3065.94</v>
      </c>
      <c r="K68" s="30">
        <f>SUMIF(Source_PL!$A:$A,"6270 Meals &amp; Entertainment 50%",Source_PL!K:K)</f>
        <v>2255.7800000000002</v>
      </c>
      <c r="L68" s="30">
        <f>SUMIF(Source_PL!$A:$A,"6270 Meals &amp; Entertainment 50%",Source_PL!L:L)</f>
        <v>2172.0100000000002</v>
      </c>
      <c r="M68" s="30">
        <f>SUMIF(Source_PL!$A:$A,"6270 Meals &amp; Entertainment 50%",Source_PL!M:M)</f>
        <v>9523.42</v>
      </c>
      <c r="N68" s="22" t="str">
        <f>IFERROR(LOOKUP(2,1/((Notes!$A$2:$A$100=TRIM($A68))*(Notes!$B$2:$B$100=Menu!$C$7)),Notes!$C$2:$C$100),"")</f>
        <v/>
      </c>
      <c r="O68" s="36"/>
      <c r="P68" s="30">
        <v>0</v>
      </c>
      <c r="Q68" s="30">
        <f>SUM(B68:M68)</f>
        <v>32382.6</v>
      </c>
      <c r="R68" s="30">
        <f>Q68-P68</f>
        <v>32382.6</v>
      </c>
      <c r="S68" s="33">
        <f>IFERROR(R68/P68,0)</f>
        <v>0</v>
      </c>
      <c r="T68" s="36"/>
      <c r="U68" s="30">
        <f>B68+C68+D68+E68+F68+G68+H68+I68+J68+K68+L68+M68</f>
        <v>32382.6</v>
      </c>
    </row>
    <row r="69" spans="1:21" x14ac:dyDescent="0.25">
      <c r="A69" s="20" t="s">
        <v>70</v>
      </c>
      <c r="B69" s="30">
        <f>SUMIF(Source_PL!$A:$A,"6275 Meals &amp; Entertainment 100%",Source_PL!B:B)</f>
        <v>656.08</v>
      </c>
      <c r="C69" s="30">
        <f>SUMIF(Source_PL!$A:$A,"6275 Meals &amp; Entertainment 100%",Source_PL!C:C)</f>
        <v>964.54</v>
      </c>
      <c r="D69" s="30">
        <f>SUMIF(Source_PL!$A:$A,"6275 Meals &amp; Entertainment 100%",Source_PL!D:D)</f>
        <v>678.12</v>
      </c>
      <c r="E69" s="30">
        <f>SUMIF(Source_PL!$A:$A,"6275 Meals &amp; Entertainment 100%",Source_PL!E:E)</f>
        <v>306.83999999999997</v>
      </c>
      <c r="F69" s="30">
        <f>SUMIF(Source_PL!$A:$A,"6275 Meals &amp; Entertainment 100%",Source_PL!F:F)</f>
        <v>227.98</v>
      </c>
      <c r="G69" s="30">
        <f>SUMIF(Source_PL!$A:$A,"6275 Meals &amp; Entertainment 100%",Source_PL!G:G)</f>
        <v>286.56</v>
      </c>
      <c r="H69" s="30">
        <f>SUMIF(Source_PL!$A:$A,"6275 Meals &amp; Entertainment 100%",Source_PL!H:H)</f>
        <v>88.21</v>
      </c>
      <c r="I69" s="30">
        <f>SUMIF(Source_PL!$A:$A,"6275 Meals &amp; Entertainment 100%",Source_PL!I:I)</f>
        <v>270</v>
      </c>
      <c r="J69" s="30">
        <f>SUMIF(Source_PL!$A:$A,"6275 Meals &amp; Entertainment 100%",Source_PL!J:J)</f>
        <v>271.77999999999997</v>
      </c>
      <c r="K69" s="30">
        <f>SUMIF(Source_PL!$A:$A,"6275 Meals &amp; Entertainment 100%",Source_PL!K:K)</f>
        <v>2091.89</v>
      </c>
      <c r="L69" s="30">
        <f>SUMIF(Source_PL!$A:$A,"6275 Meals &amp; Entertainment 100%",Source_PL!L:L)</f>
        <v>5220.9799999999996</v>
      </c>
      <c r="M69" s="30">
        <f>SUMIF(Source_PL!$A:$A,"6275 Meals &amp; Entertainment 100%",Source_PL!M:M)</f>
        <v>2102.0700000000002</v>
      </c>
      <c r="N69" s="22" t="str">
        <f>IFERROR(LOOKUP(2,1/((Notes!$A$2:$A$100=TRIM($A69))*(Notes!$B$2:$B$100=Menu!$C$7)),Notes!$C$2:$C$100),"")</f>
        <v/>
      </c>
      <c r="O69" s="36"/>
      <c r="P69" s="30">
        <v>0</v>
      </c>
      <c r="Q69" s="30">
        <f>SUM(B69:M69)</f>
        <v>13165.05</v>
      </c>
      <c r="R69" s="30">
        <f>Q69-P69</f>
        <v>13165.05</v>
      </c>
      <c r="S69" s="33">
        <f>IFERROR(R69/P69,0)</f>
        <v>0</v>
      </c>
      <c r="T69" s="36"/>
      <c r="U69" s="30">
        <f>B69+C69+D69+E69+F69+G69+H69+I69+J69+K69+L69+M69</f>
        <v>13165.05</v>
      </c>
    </row>
    <row r="70" spans="1:21" x14ac:dyDescent="0.25">
      <c r="A70" s="20" t="s">
        <v>71</v>
      </c>
      <c r="B70" s="30">
        <f>SUMIF(Source_PL!$A:$A,"6280 Miscellaneous",Source_PL!B:B)</f>
        <v>641.1</v>
      </c>
      <c r="C70" s="30">
        <f>SUMIF(Source_PL!$A:$A,"6280 Miscellaneous",Source_PL!C:C)</f>
        <v>0</v>
      </c>
      <c r="D70" s="30">
        <f>SUMIF(Source_PL!$A:$A,"6280 Miscellaneous",Source_PL!D:D)</f>
        <v>843.21</v>
      </c>
      <c r="E70" s="30">
        <f>SUMIF(Source_PL!$A:$A,"6280 Miscellaneous",Source_PL!E:E)</f>
        <v>0</v>
      </c>
      <c r="F70" s="30">
        <f>SUMIF(Source_PL!$A:$A,"6280 Miscellaneous",Source_PL!F:F)</f>
        <v>0</v>
      </c>
      <c r="G70" s="30">
        <f>SUMIF(Source_PL!$A:$A,"6280 Miscellaneous",Source_PL!G:G)</f>
        <v>0</v>
      </c>
      <c r="H70" s="30">
        <f>SUMIF(Source_PL!$A:$A,"6280 Miscellaneous",Source_PL!H:H)</f>
        <v>0</v>
      </c>
      <c r="I70" s="30">
        <f>SUMIF(Source_PL!$A:$A,"6280 Miscellaneous",Source_PL!I:I)</f>
        <v>0</v>
      </c>
      <c r="J70" s="30">
        <f>SUMIF(Source_PL!$A:$A,"6280 Miscellaneous",Source_PL!J:J)</f>
        <v>0</v>
      </c>
      <c r="K70" s="30">
        <f>SUMIF(Source_PL!$A:$A,"6280 Miscellaneous",Source_PL!K:K)</f>
        <v>0</v>
      </c>
      <c r="L70" s="30">
        <f>SUMIF(Source_PL!$A:$A,"6280 Miscellaneous",Source_PL!L:L)</f>
        <v>0</v>
      </c>
      <c r="M70" s="30">
        <f>SUMIF(Source_PL!$A:$A,"6280 Miscellaneous",Source_PL!M:M)</f>
        <v>20</v>
      </c>
      <c r="N70" s="22" t="str">
        <f>IFERROR(LOOKUP(2,1/((Notes!$A$2:$A$100=TRIM($A70))*(Notes!$B$2:$B$100=Menu!$C$7)),Notes!$C$2:$C$100),"")</f>
        <v/>
      </c>
      <c r="O70" s="36"/>
      <c r="P70" s="30">
        <v>0</v>
      </c>
      <c r="Q70" s="30">
        <f>SUM(B70:M70)</f>
        <v>1504.31</v>
      </c>
      <c r="R70" s="30">
        <f>Q70-P70</f>
        <v>1504.31</v>
      </c>
      <c r="S70" s="33">
        <f>IFERROR(R70/P70,0)</f>
        <v>0</v>
      </c>
      <c r="T70" s="36"/>
      <c r="U70" s="30">
        <f>B70+C70+D70+E70+F70+G70+H70+I70+J70+K70+L70+M70</f>
        <v>1504.31</v>
      </c>
    </row>
    <row r="71" spans="1:21" x14ac:dyDescent="0.25">
      <c r="A71" s="20" t="s">
        <v>72</v>
      </c>
      <c r="B71" s="30">
        <f>SUMIF(Source_PL!$A:$A,"6300 Office Supplies",Source_PL!B:B)</f>
        <v>15725.77</v>
      </c>
      <c r="C71" s="30">
        <f>SUMIF(Source_PL!$A:$A,"6300 Office Supplies",Source_PL!C:C)</f>
        <v>937.61</v>
      </c>
      <c r="D71" s="30">
        <f>SUMIF(Source_PL!$A:$A,"6300 Office Supplies",Source_PL!D:D)</f>
        <v>1097.31</v>
      </c>
      <c r="E71" s="30">
        <f>SUMIF(Source_PL!$A:$A,"6300 Office Supplies",Source_PL!E:E)</f>
        <v>654.39</v>
      </c>
      <c r="F71" s="30">
        <f>SUMIF(Source_PL!$A:$A,"6300 Office Supplies",Source_PL!F:F)</f>
        <v>3017.94</v>
      </c>
      <c r="G71" s="30">
        <f>SUMIF(Source_PL!$A:$A,"6300 Office Supplies",Source_PL!G:G)</f>
        <v>213.97</v>
      </c>
      <c r="H71" s="30">
        <f>SUMIF(Source_PL!$A:$A,"6300 Office Supplies",Source_PL!H:H)</f>
        <v>261.49</v>
      </c>
      <c r="I71" s="30">
        <f>SUMIF(Source_PL!$A:$A,"6300 Office Supplies",Source_PL!I:I)</f>
        <v>1207.03</v>
      </c>
      <c r="J71" s="30">
        <f>SUMIF(Source_PL!$A:$A,"6300 Office Supplies",Source_PL!J:J)</f>
        <v>2240.5300000000002</v>
      </c>
      <c r="K71" s="30">
        <f>SUMIF(Source_PL!$A:$A,"6300 Office Supplies",Source_PL!K:K)</f>
        <v>1102.08</v>
      </c>
      <c r="L71" s="30">
        <f>SUMIF(Source_PL!$A:$A,"6300 Office Supplies",Source_PL!L:L)</f>
        <v>5414.91</v>
      </c>
      <c r="M71" s="30">
        <f>SUMIF(Source_PL!$A:$A,"6300 Office Supplies",Source_PL!M:M)</f>
        <v>2612.04</v>
      </c>
      <c r="N71" s="22" t="str">
        <f>IFERROR(LOOKUP(2,1/((Notes!$A$2:$A$100=TRIM($A71))*(Notes!$B$2:$B$100=Menu!$C$7)),Notes!$C$2:$C$100),"")</f>
        <v/>
      </c>
      <c r="O71" s="36"/>
      <c r="P71" s="30">
        <v>0</v>
      </c>
      <c r="Q71" s="30">
        <f>SUM(B71:M71)</f>
        <v>34485.07</v>
      </c>
      <c r="R71" s="30">
        <f>Q71-P71</f>
        <v>34485.07</v>
      </c>
      <c r="S71" s="33">
        <f>IFERROR(R71/P71,0)</f>
        <v>0</v>
      </c>
      <c r="T71" s="36"/>
      <c r="U71" s="30">
        <f>B71+C71+D71+E71+F71+G71+H71+I71+J71+K71+L71+M71</f>
        <v>34485.07</v>
      </c>
    </row>
    <row r="72" spans="1:21" x14ac:dyDescent="0.25">
      <c r="A72" s="20" t="s">
        <v>73</v>
      </c>
      <c r="B72" s="30">
        <f>SUMIF(Source_PL!$A:$A,"6340 Postage &amp; Delivery",Source_PL!B:B)</f>
        <v>267.45</v>
      </c>
      <c r="C72" s="30">
        <f>SUMIF(Source_PL!$A:$A,"6340 Postage &amp; Delivery",Source_PL!C:C)</f>
        <v>1.1000000000000001</v>
      </c>
      <c r="D72" s="30">
        <f>SUMIF(Source_PL!$A:$A,"6340 Postage &amp; Delivery",Source_PL!D:D)</f>
        <v>0</v>
      </c>
      <c r="E72" s="30">
        <f>SUMIF(Source_PL!$A:$A,"6340 Postage &amp; Delivery",Source_PL!E:E)</f>
        <v>425.87</v>
      </c>
      <c r="F72" s="30">
        <f>SUMIF(Source_PL!$A:$A,"6340 Postage &amp; Delivery",Source_PL!F:F)</f>
        <v>592.45000000000005</v>
      </c>
      <c r="G72" s="30">
        <f>SUMIF(Source_PL!$A:$A,"6340 Postage &amp; Delivery",Source_PL!G:G)</f>
        <v>4093.02</v>
      </c>
      <c r="H72" s="30">
        <f>SUMIF(Source_PL!$A:$A,"6340 Postage &amp; Delivery",Source_PL!H:H)</f>
        <v>637.09</v>
      </c>
      <c r="I72" s="30">
        <f>SUMIF(Source_PL!$A:$A,"6340 Postage &amp; Delivery",Source_PL!I:I)</f>
        <v>549.01</v>
      </c>
      <c r="J72" s="30">
        <f>SUMIF(Source_PL!$A:$A,"6340 Postage &amp; Delivery",Source_PL!J:J)</f>
        <v>55.12</v>
      </c>
      <c r="K72" s="30">
        <f>SUMIF(Source_PL!$A:$A,"6340 Postage &amp; Delivery",Source_PL!K:K)</f>
        <v>0</v>
      </c>
      <c r="L72" s="30">
        <f>SUMIF(Source_PL!$A:$A,"6340 Postage &amp; Delivery",Source_PL!L:L)</f>
        <v>103.98</v>
      </c>
      <c r="M72" s="30">
        <f>SUMIF(Source_PL!$A:$A,"6340 Postage &amp; Delivery",Source_PL!M:M)</f>
        <v>163.53</v>
      </c>
      <c r="N72" s="22" t="str">
        <f>IFERROR(LOOKUP(2,1/((Notes!$A$2:$A$100=TRIM($A72))*(Notes!$B$2:$B$100=Menu!$C$7)),Notes!$C$2:$C$100),"")</f>
        <v/>
      </c>
      <c r="O72" s="36"/>
      <c r="P72" s="30">
        <v>0</v>
      </c>
      <c r="Q72" s="30">
        <f>SUM(B72:M72)</f>
        <v>6888.62</v>
      </c>
      <c r="R72" s="30">
        <f>Q72-P72</f>
        <v>6888.62</v>
      </c>
      <c r="S72" s="33">
        <f>IFERROR(R72/P72,0)</f>
        <v>0</v>
      </c>
      <c r="T72" s="36"/>
      <c r="U72" s="30">
        <f>B72+C72+D72+E72+F72+G72+H72+I72+J72+K72+L72+M72</f>
        <v>6888.62</v>
      </c>
    </row>
    <row r="73" spans="1:21" x14ac:dyDescent="0.25">
      <c r="A73" s="20" t="s">
        <v>74</v>
      </c>
      <c r="B73" s="30">
        <f>SUMIF(Source_PL!$A:$A,"6370 Professional Fees",Source_PL!B:B)</f>
        <v>9225</v>
      </c>
      <c r="C73" s="30">
        <f>SUMIF(Source_PL!$A:$A,"6370 Professional Fees",Source_PL!C:C)</f>
        <v>5919.2</v>
      </c>
      <c r="D73" s="30">
        <f>SUMIF(Source_PL!$A:$A,"6370 Professional Fees",Source_PL!D:D)</f>
        <v>81635.59</v>
      </c>
      <c r="E73" s="30">
        <f>SUMIF(Source_PL!$A:$A,"6370 Professional Fees",Source_PL!E:E)</f>
        <v>2620</v>
      </c>
      <c r="F73" s="30">
        <f>SUMIF(Source_PL!$A:$A,"6370 Professional Fees",Source_PL!F:F)</f>
        <v>4525.5</v>
      </c>
      <c r="G73" s="30">
        <f>SUMIF(Source_PL!$A:$A,"6370 Professional Fees",Source_PL!G:G)</f>
        <v>1650</v>
      </c>
      <c r="H73" s="30">
        <f>SUMIF(Source_PL!$A:$A,"6370 Professional Fees",Source_PL!H:H)</f>
        <v>28985.58</v>
      </c>
      <c r="I73" s="30">
        <f>SUMIF(Source_PL!$A:$A,"6370 Professional Fees",Source_PL!I:I)</f>
        <v>10843.57</v>
      </c>
      <c r="J73" s="30">
        <f>SUMIF(Source_PL!$A:$A,"6370 Professional Fees",Source_PL!J:J)</f>
        <v>40625.730000000003</v>
      </c>
      <c r="K73" s="30">
        <f>SUMIF(Source_PL!$A:$A,"6370 Professional Fees",Source_PL!K:K)</f>
        <v>17033.64</v>
      </c>
      <c r="L73" s="30">
        <f>SUMIF(Source_PL!$A:$A,"6370 Professional Fees",Source_PL!L:L)</f>
        <v>4711</v>
      </c>
      <c r="M73" s="30">
        <f>SUMIF(Source_PL!$A:$A,"6370 Professional Fees",Source_PL!M:M)</f>
        <v>14327.89</v>
      </c>
      <c r="N73" s="22" t="str">
        <f>IFERROR(LOOKUP(2,1/((Notes!$A$2:$A$100=TRIM($A73))*(Notes!$B$2:$B$100=Menu!$C$7)),Notes!$C$2:$C$100),"")</f>
        <v/>
      </c>
      <c r="O73" s="36"/>
      <c r="P73" s="30">
        <v>0</v>
      </c>
      <c r="Q73" s="30">
        <f>SUM(B73:M73)</f>
        <v>222102.7</v>
      </c>
      <c r="R73" s="30">
        <f>Q73-P73</f>
        <v>222102.7</v>
      </c>
      <c r="S73" s="33">
        <f>IFERROR(R73/P73,0)</f>
        <v>0</v>
      </c>
      <c r="T73" s="36"/>
      <c r="U73" s="30">
        <f>B73+C73+D73+E73+F73+G73+H73+I73+J73+K73+L73+M73</f>
        <v>222102.7</v>
      </c>
    </row>
    <row r="74" spans="1:21" x14ac:dyDescent="0.25">
      <c r="A74" s="20" t="s">
        <v>75</v>
      </c>
      <c r="B74" s="30">
        <f>SUMIF(Source_PL!$A:$A,"6380 Training and Education",Source_PL!B:B)</f>
        <v>121.27</v>
      </c>
      <c r="C74" s="30">
        <f>SUMIF(Source_PL!$A:$A,"6380 Training and Education",Source_PL!C:C)</f>
        <v>36.46</v>
      </c>
      <c r="D74" s="30">
        <f>SUMIF(Source_PL!$A:$A,"6380 Training and Education",Source_PL!D:D)</f>
        <v>0</v>
      </c>
      <c r="E74" s="30">
        <f>SUMIF(Source_PL!$A:$A,"6380 Training and Education",Source_PL!E:E)</f>
        <v>365.89</v>
      </c>
      <c r="F74" s="30">
        <f>SUMIF(Source_PL!$A:$A,"6380 Training and Education",Source_PL!F:F)</f>
        <v>71.430000000000007</v>
      </c>
      <c r="G74" s="30">
        <f>SUMIF(Source_PL!$A:$A,"6380 Training and Education",Source_PL!G:G)</f>
        <v>1087.76</v>
      </c>
      <c r="H74" s="30">
        <f>SUMIF(Source_PL!$A:$A,"6380 Training and Education",Source_PL!H:H)</f>
        <v>1754.05</v>
      </c>
      <c r="I74" s="30">
        <f>SUMIF(Source_PL!$A:$A,"6380 Training and Education",Source_PL!I:I)</f>
        <v>1835.96</v>
      </c>
      <c r="J74" s="30">
        <f>SUMIF(Source_PL!$A:$A,"6380 Training and Education",Source_PL!J:J)</f>
        <v>367.76</v>
      </c>
      <c r="K74" s="30">
        <f>SUMIF(Source_PL!$A:$A,"6380 Training and Education",Source_PL!K:K)</f>
        <v>855</v>
      </c>
      <c r="L74" s="30">
        <f>SUMIF(Source_PL!$A:$A,"6380 Training and Education",Source_PL!L:L)</f>
        <v>806.41</v>
      </c>
      <c r="M74" s="30">
        <f>SUMIF(Source_PL!$A:$A,"6380 Training and Education",Source_PL!M:M)</f>
        <v>15655.65</v>
      </c>
      <c r="N74" s="22" t="str">
        <f>IFERROR(LOOKUP(2,1/((Notes!$A$2:$A$100=TRIM($A74))*(Notes!$B$2:$B$100=Menu!$C$7)),Notes!$C$2:$C$100),"")</f>
        <v/>
      </c>
      <c r="O74" s="36"/>
      <c r="P74" s="30">
        <v>0</v>
      </c>
      <c r="Q74" s="30">
        <f>SUM(B74:M74)</f>
        <v>22957.64</v>
      </c>
      <c r="R74" s="30">
        <f>Q74-P74</f>
        <v>22957.64</v>
      </c>
      <c r="S74" s="33">
        <f>IFERROR(R74/P74,0)</f>
        <v>0</v>
      </c>
      <c r="T74" s="36"/>
      <c r="U74" s="30">
        <f>B74+C74+D74+E74+F74+G74+H74+I74+J74+K74+L74+M74</f>
        <v>22957.64</v>
      </c>
    </row>
    <row r="75" spans="1:21" x14ac:dyDescent="0.25">
      <c r="A75" s="20" t="s">
        <v>76</v>
      </c>
      <c r="B75" s="30">
        <f>SUMIF(Source_PL!$A:$A,"6385 Recruiting Expenses",Source_PL!B:B)</f>
        <v>603.44000000000005</v>
      </c>
      <c r="C75" s="30">
        <f>SUMIF(Source_PL!$A:$A,"6385 Recruiting Expenses",Source_PL!C:C)</f>
        <v>676.27</v>
      </c>
      <c r="D75" s="30">
        <f>SUMIF(Source_PL!$A:$A,"6385 Recruiting Expenses",Source_PL!D:D)</f>
        <v>3504.52</v>
      </c>
      <c r="E75" s="30">
        <f>SUMIF(Source_PL!$A:$A,"6385 Recruiting Expenses",Source_PL!E:E)</f>
        <v>169.99</v>
      </c>
      <c r="F75" s="30">
        <f>SUMIF(Source_PL!$A:$A,"6385 Recruiting Expenses",Source_PL!F:F)</f>
        <v>169.99</v>
      </c>
      <c r="G75" s="30">
        <f>SUMIF(Source_PL!$A:$A,"6385 Recruiting Expenses",Source_PL!G:G)</f>
        <v>0</v>
      </c>
      <c r="H75" s="30">
        <f>SUMIF(Source_PL!$A:$A,"6385 Recruiting Expenses",Source_PL!H:H)</f>
        <v>0</v>
      </c>
      <c r="I75" s="30">
        <f>SUMIF(Source_PL!$A:$A,"6385 Recruiting Expenses",Source_PL!I:I)</f>
        <v>0</v>
      </c>
      <c r="J75" s="30">
        <f>SUMIF(Source_PL!$A:$A,"6385 Recruiting Expenses",Source_PL!J:J)</f>
        <v>579.77</v>
      </c>
      <c r="K75" s="30">
        <f>SUMIF(Source_PL!$A:$A,"6385 Recruiting Expenses",Source_PL!K:K)</f>
        <v>7769.56</v>
      </c>
      <c r="L75" s="30">
        <f>SUMIF(Source_PL!$A:$A,"6385 Recruiting Expenses",Source_PL!L:L)</f>
        <v>169.99</v>
      </c>
      <c r="M75" s="30">
        <f>SUMIF(Source_PL!$A:$A,"6385 Recruiting Expenses",Source_PL!M:M)</f>
        <v>7969.99</v>
      </c>
      <c r="N75" s="22" t="str">
        <f>IFERROR(LOOKUP(2,1/((Notes!$A$2:$A$100=TRIM($A75))*(Notes!$B$2:$B$100=Menu!$C$7)),Notes!$C$2:$C$100),"")</f>
        <v/>
      </c>
      <c r="O75" s="36"/>
      <c r="P75" s="30">
        <v>0</v>
      </c>
      <c r="Q75" s="30">
        <f>SUM(B75:M75)</f>
        <v>21613.52</v>
      </c>
      <c r="R75" s="30">
        <f>Q75-P75</f>
        <v>21613.52</v>
      </c>
      <c r="S75" s="33">
        <f>IFERROR(R75/P75,0)</f>
        <v>0</v>
      </c>
      <c r="T75" s="36"/>
      <c r="U75" s="30">
        <f>B75+C75+D75+E75+F75+G75+H75+I75+J75+K75+L75+M75</f>
        <v>21613.52</v>
      </c>
    </row>
    <row r="76" spans="1:21" x14ac:dyDescent="0.25">
      <c r="A76" s="20" t="s">
        <v>77</v>
      </c>
      <c r="B76" s="30">
        <f>SUMIF(Source_PL!$A:$A,"6390 Per Diem",Source_PL!B:B)</f>
        <v>2919.53</v>
      </c>
      <c r="C76" s="30">
        <f>SUMIF(Source_PL!$A:$A,"6390 Per Diem",Source_PL!C:C)</f>
        <v>937.08</v>
      </c>
      <c r="D76" s="30">
        <f>SUMIF(Source_PL!$A:$A,"6390 Per Diem",Source_PL!D:D)</f>
        <v>2723</v>
      </c>
      <c r="E76" s="30">
        <f>SUMIF(Source_PL!$A:$A,"6390 Per Diem",Source_PL!E:E)</f>
        <v>2302</v>
      </c>
      <c r="F76" s="30">
        <f>SUMIF(Source_PL!$A:$A,"6390 Per Diem",Source_PL!F:F)</f>
        <v>6235.06</v>
      </c>
      <c r="G76" s="30">
        <f>SUMIF(Source_PL!$A:$A,"6390 Per Diem",Source_PL!G:G)</f>
        <v>3539.83</v>
      </c>
      <c r="H76" s="30">
        <f>SUMIF(Source_PL!$A:$A,"6390 Per Diem",Source_PL!H:H)</f>
        <v>3677.49</v>
      </c>
      <c r="I76" s="30">
        <f>SUMIF(Source_PL!$A:$A,"6390 Per Diem",Source_PL!I:I)</f>
        <v>3825.56</v>
      </c>
      <c r="J76" s="30">
        <f>SUMIF(Source_PL!$A:$A,"6390 Per Diem",Source_PL!J:J)</f>
        <v>11797.06</v>
      </c>
      <c r="K76" s="30">
        <f>SUMIF(Source_PL!$A:$A,"6390 Per Diem",Source_PL!K:K)</f>
        <v>8848.34</v>
      </c>
      <c r="L76" s="30">
        <f>SUMIF(Source_PL!$A:$A,"6390 Per Diem",Source_PL!L:L)</f>
        <v>11552.67</v>
      </c>
      <c r="M76" s="30">
        <f>SUMIF(Source_PL!$A:$A,"6390 Per Diem",Source_PL!M:M)</f>
        <v>13883.8</v>
      </c>
      <c r="N76" s="22" t="str">
        <f>IFERROR(LOOKUP(2,1/((Notes!$A$2:$A$100=TRIM($A76))*(Notes!$B$2:$B$100=Menu!$C$7)),Notes!$C$2:$C$100),"")</f>
        <v/>
      </c>
      <c r="O76" s="36"/>
      <c r="P76" s="30">
        <v>0</v>
      </c>
      <c r="Q76" s="30">
        <f>SUM(B76:M76)</f>
        <v>72241.42</v>
      </c>
      <c r="R76" s="30">
        <f>Q76-P76</f>
        <v>72241.42</v>
      </c>
      <c r="S76" s="33">
        <f>IFERROR(R76/P76,0)</f>
        <v>0</v>
      </c>
      <c r="T76" s="36"/>
      <c r="U76" s="30">
        <f>B76+C76+D76+E76+F76+G76+H76+I76+J76+K76+L76+M76</f>
        <v>72241.42</v>
      </c>
    </row>
    <row r="77" spans="1:21" x14ac:dyDescent="0.25">
      <c r="A77" s="20" t="s">
        <v>78</v>
      </c>
      <c r="B77" s="30">
        <f>SUMIF(Source_PL!$A:$A,"6400 Rent - Building",Source_PL!B:B)</f>
        <v>2572.37</v>
      </c>
      <c r="C77" s="30">
        <f>SUMIF(Source_PL!$A:$A,"6400 Rent - Building",Source_PL!C:C)</f>
        <v>2622.37</v>
      </c>
      <c r="D77" s="30">
        <f>SUMIF(Source_PL!$A:$A,"6400 Rent - Building",Source_PL!D:D)</f>
        <v>4031.22</v>
      </c>
      <c r="E77" s="30">
        <f>SUMIF(Source_PL!$A:$A,"6400 Rent - Building",Source_PL!E:E)</f>
        <v>4031.22</v>
      </c>
      <c r="F77" s="30">
        <f>SUMIF(Source_PL!$A:$A,"6400 Rent - Building",Source_PL!F:F)</f>
        <v>3931.22</v>
      </c>
      <c r="G77" s="30">
        <f>SUMIF(Source_PL!$A:$A,"6400 Rent - Building",Source_PL!G:G)</f>
        <v>3931.22</v>
      </c>
      <c r="H77" s="30">
        <f>SUMIF(Source_PL!$A:$A,"6400 Rent - Building",Source_PL!H:H)</f>
        <v>18030.22</v>
      </c>
      <c r="I77" s="30">
        <f>SUMIF(Source_PL!$A:$A,"6400 Rent - Building",Source_PL!I:I)</f>
        <v>19458.22</v>
      </c>
      <c r="J77" s="30">
        <f>SUMIF(Source_PL!$A:$A,"6400 Rent - Building",Source_PL!J:J)</f>
        <v>23804.240000000002</v>
      </c>
      <c r="K77" s="30">
        <f>SUMIF(Source_PL!$A:$A,"6400 Rent - Building",Source_PL!K:K)</f>
        <v>21990.86</v>
      </c>
      <c r="L77" s="30">
        <f>SUMIF(Source_PL!$A:$A,"6400 Rent - Building",Source_PL!L:L)</f>
        <v>11160.21</v>
      </c>
      <c r="M77" s="30">
        <f>SUMIF(Source_PL!$A:$A,"6400 Rent - Building",Source_PL!M:M)</f>
        <v>39496.93</v>
      </c>
      <c r="N77" s="22" t="str">
        <f>IFERROR(LOOKUP(2,1/((Notes!$A$2:$A$100=TRIM($A77))*(Notes!$B$2:$B$100=Menu!$C$7)),Notes!$C$2:$C$100),"")</f>
        <v/>
      </c>
      <c r="O77" s="36"/>
      <c r="P77" s="30">
        <v>0</v>
      </c>
      <c r="Q77" s="30">
        <f>SUM(B77:M77)</f>
        <v>155060.29999999999</v>
      </c>
      <c r="R77" s="30">
        <f>Q77-P77</f>
        <v>155060.29999999999</v>
      </c>
      <c r="S77" s="33">
        <f>IFERROR(R77/P77,0)</f>
        <v>0</v>
      </c>
      <c r="T77" s="36"/>
      <c r="U77" s="30">
        <f>B77+C77+D77+E77+F77+G77+H77+I77+J77+K77+L77+M77</f>
        <v>155060.29999999999</v>
      </c>
    </row>
    <row r="78" spans="1:21" x14ac:dyDescent="0.25">
      <c r="A78" s="20" t="s">
        <v>79</v>
      </c>
      <c r="B78" s="30">
        <f>SUMIF(Source_PL!$A:$A,"6410 Rent - Equipment",Source_PL!B:B)</f>
        <v>8577.7800000000007</v>
      </c>
      <c r="C78" s="30">
        <f>SUMIF(Source_PL!$A:$A,"6410 Rent - Equipment",Source_PL!C:C)</f>
        <v>0</v>
      </c>
      <c r="D78" s="30">
        <f>SUMIF(Source_PL!$A:$A,"6410 Rent - Equipment",Source_PL!D:D)</f>
        <v>6341.99</v>
      </c>
      <c r="E78" s="30">
        <f>SUMIF(Source_PL!$A:$A,"6410 Rent - Equipment",Source_PL!E:E)</f>
        <v>4288.8900000000003</v>
      </c>
      <c r="F78" s="30">
        <f>SUMIF(Source_PL!$A:$A,"6410 Rent - Equipment",Source_PL!F:F)</f>
        <v>614.70000000000005</v>
      </c>
      <c r="G78" s="30">
        <f>SUMIF(Source_PL!$A:$A,"6410 Rent - Equipment",Source_PL!G:G)</f>
        <v>587.96</v>
      </c>
      <c r="H78" s="30">
        <f>SUMIF(Source_PL!$A:$A,"6410 Rent - Equipment",Source_PL!H:H)</f>
        <v>7394.12</v>
      </c>
      <c r="I78" s="30">
        <f>SUMIF(Source_PL!$A:$A,"6410 Rent - Equipment",Source_PL!I:I)</f>
        <v>1491.37</v>
      </c>
      <c r="J78" s="30">
        <f>SUMIF(Source_PL!$A:$A,"6410 Rent - Equipment",Source_PL!J:J)</f>
        <v>5864.13</v>
      </c>
      <c r="K78" s="30">
        <f>SUMIF(Source_PL!$A:$A,"6410 Rent - Equipment",Source_PL!K:K)</f>
        <v>6263.89</v>
      </c>
      <c r="L78" s="30">
        <f>SUMIF(Source_PL!$A:$A,"6410 Rent - Equipment",Source_PL!L:L)</f>
        <v>3515.61</v>
      </c>
      <c r="M78" s="30">
        <f>SUMIF(Source_PL!$A:$A,"6410 Rent - Equipment",Source_PL!M:M)</f>
        <v>0</v>
      </c>
      <c r="N78" s="22" t="str">
        <f>IFERROR(LOOKUP(2,1/((Notes!$A$2:$A$100=TRIM($A78))*(Notes!$B$2:$B$100=Menu!$C$7)),Notes!$C$2:$C$100),"")</f>
        <v/>
      </c>
      <c r="O78" s="36"/>
      <c r="P78" s="30">
        <v>0</v>
      </c>
      <c r="Q78" s="30">
        <f>SUM(B78:M78)</f>
        <v>44940.439999999995</v>
      </c>
      <c r="R78" s="30">
        <f>Q78-P78</f>
        <v>44940.439999999995</v>
      </c>
      <c r="S78" s="33">
        <f>IFERROR(R78/P78,0)</f>
        <v>0</v>
      </c>
      <c r="T78" s="36"/>
      <c r="U78" s="30">
        <f>B78+C78+D78+E78+F78+G78+H78+I78+J78+K78+L78+M78</f>
        <v>44940.439999999995</v>
      </c>
    </row>
    <row r="79" spans="1:21" x14ac:dyDescent="0.25">
      <c r="A79" s="20" t="s">
        <v>80</v>
      </c>
      <c r="B79" s="30">
        <f>SUMIF(Source_PL!$A:$A,"6420 Repairs &amp; Maint.- Equipment",Source_PL!B:B)</f>
        <v>51.65</v>
      </c>
      <c r="C79" s="30">
        <f>SUMIF(Source_PL!$A:$A,"6420 Repairs &amp; Maint.- Equipment",Source_PL!C:C)</f>
        <v>0</v>
      </c>
      <c r="D79" s="30">
        <f>SUMIF(Source_PL!$A:$A,"6420 Repairs &amp; Maint.- Equipment",Source_PL!D:D)</f>
        <v>3916</v>
      </c>
      <c r="E79" s="30">
        <f>SUMIF(Source_PL!$A:$A,"6420 Repairs &amp; Maint.- Equipment",Source_PL!E:E)</f>
        <v>272.7</v>
      </c>
      <c r="F79" s="30">
        <f>SUMIF(Source_PL!$A:$A,"6420 Repairs &amp; Maint.- Equipment",Source_PL!F:F)</f>
        <v>0</v>
      </c>
      <c r="G79" s="30">
        <f>SUMIF(Source_PL!$A:$A,"6420 Repairs &amp; Maint.- Equipment",Source_PL!G:G)</f>
        <v>34.71</v>
      </c>
      <c r="H79" s="30">
        <f>SUMIF(Source_PL!$A:$A,"6420 Repairs &amp; Maint.- Equipment",Source_PL!H:H)</f>
        <v>8019.35</v>
      </c>
      <c r="I79" s="30">
        <f>SUMIF(Source_PL!$A:$A,"6420 Repairs &amp; Maint.- Equipment",Source_PL!I:I)</f>
        <v>122.23</v>
      </c>
      <c r="J79" s="30">
        <f>SUMIF(Source_PL!$A:$A,"6420 Repairs &amp; Maint.- Equipment",Source_PL!J:J)</f>
        <v>128.65</v>
      </c>
      <c r="K79" s="30">
        <f>SUMIF(Source_PL!$A:$A,"6420 Repairs &amp; Maint.- Equipment",Source_PL!K:K)</f>
        <v>3428.27</v>
      </c>
      <c r="L79" s="30">
        <f>SUMIF(Source_PL!$A:$A,"6420 Repairs &amp; Maint.- Equipment",Source_PL!L:L)</f>
        <v>220.32</v>
      </c>
      <c r="M79" s="30">
        <f>SUMIF(Source_PL!$A:$A,"6420 Repairs &amp; Maint.- Equipment",Source_PL!M:M)</f>
        <v>5308.3</v>
      </c>
      <c r="N79" s="22" t="str">
        <f>IFERROR(LOOKUP(2,1/((Notes!$A$2:$A$100=TRIM($A79))*(Notes!$B$2:$B$100=Menu!$C$7)),Notes!$C$2:$C$100),"")</f>
        <v/>
      </c>
      <c r="O79" s="36"/>
      <c r="P79" s="30">
        <v>0</v>
      </c>
      <c r="Q79" s="30">
        <f>SUM(B79:M79)</f>
        <v>21502.18</v>
      </c>
      <c r="R79" s="30">
        <f>Q79-P79</f>
        <v>21502.18</v>
      </c>
      <c r="S79" s="33">
        <f>IFERROR(R79/P79,0)</f>
        <v>0</v>
      </c>
      <c r="T79" s="36"/>
      <c r="U79" s="30">
        <f>B79+C79+D79+E79+F79+G79+H79+I79+J79+K79+L79+M79</f>
        <v>21502.18</v>
      </c>
    </row>
    <row r="80" spans="1:21" x14ac:dyDescent="0.25">
      <c r="A80" s="20" t="s">
        <v>81</v>
      </c>
      <c r="B80" s="30">
        <f>SUMIF(Source_PL!$A:$A,"6423 Repairs &amp; Maint. - Office",Source_PL!B:B)</f>
        <v>17172.59</v>
      </c>
      <c r="C80" s="30">
        <f>SUMIF(Source_PL!$A:$A,"6423 Repairs &amp; Maint. - Office",Source_PL!C:C)</f>
        <v>13553.58</v>
      </c>
      <c r="D80" s="30">
        <f>SUMIF(Source_PL!$A:$A,"6423 Repairs &amp; Maint. - Office",Source_PL!D:D)</f>
        <v>7027.69</v>
      </c>
      <c r="E80" s="30">
        <f>SUMIF(Source_PL!$A:$A,"6423 Repairs &amp; Maint. - Office",Source_PL!E:E)</f>
        <v>4717.04</v>
      </c>
      <c r="F80" s="30">
        <f>SUMIF(Source_PL!$A:$A,"6423 Repairs &amp; Maint. - Office",Source_PL!F:F)</f>
        <v>4026.53</v>
      </c>
      <c r="G80" s="30">
        <f>SUMIF(Source_PL!$A:$A,"6423 Repairs &amp; Maint. - Office",Source_PL!G:G)</f>
        <v>3899.13</v>
      </c>
      <c r="H80" s="30">
        <f>SUMIF(Source_PL!$A:$A,"6423 Repairs &amp; Maint. - Office",Source_PL!H:H)</f>
        <v>2580.23</v>
      </c>
      <c r="I80" s="30">
        <f>SUMIF(Source_PL!$A:$A,"6423 Repairs &amp; Maint. - Office",Source_PL!I:I)</f>
        <v>2853.15</v>
      </c>
      <c r="J80" s="30">
        <f>SUMIF(Source_PL!$A:$A,"6423 Repairs &amp; Maint. - Office",Source_PL!J:J)</f>
        <v>1293.57</v>
      </c>
      <c r="K80" s="30">
        <f>SUMIF(Source_PL!$A:$A,"6423 Repairs &amp; Maint. - Office",Source_PL!K:K)</f>
        <v>5009.01</v>
      </c>
      <c r="L80" s="30">
        <f>SUMIF(Source_PL!$A:$A,"6423 Repairs &amp; Maint. - Office",Source_PL!L:L)</f>
        <v>6501.94</v>
      </c>
      <c r="M80" s="30">
        <f>SUMIF(Source_PL!$A:$A,"6423 Repairs &amp; Maint. - Office",Source_PL!M:M)</f>
        <v>3451.57</v>
      </c>
      <c r="N80" s="22" t="str">
        <f>IFERROR(LOOKUP(2,1/((Notes!$A$2:$A$100=TRIM($A80))*(Notes!$B$2:$B$100=Menu!$C$7)),Notes!$C$2:$C$100),"")</f>
        <v/>
      </c>
      <c r="O80" s="36"/>
      <c r="P80" s="30">
        <v>0</v>
      </c>
      <c r="Q80" s="30">
        <f>SUM(B80:M80)</f>
        <v>72086.030000000013</v>
      </c>
      <c r="R80" s="30">
        <f>Q80-P80</f>
        <v>72086.030000000013</v>
      </c>
      <c r="S80" s="33">
        <f>IFERROR(R80/P80,0)</f>
        <v>0</v>
      </c>
      <c r="T80" s="36"/>
      <c r="U80" s="30">
        <f>B80+C80+D80+E80+F80+G80+H80+I80+J80+K80+L80+M80</f>
        <v>72086.030000000013</v>
      </c>
    </row>
    <row r="81" spans="1:21" x14ac:dyDescent="0.25">
      <c r="A81" s="20" t="s">
        <v>82</v>
      </c>
      <c r="B81" s="30">
        <f>SUMIF(Source_PL!$A:$A,"6460 Salaries &amp; Wages",Source_PL!B:B)</f>
        <v>0</v>
      </c>
      <c r="C81" s="30">
        <f>SUMIF(Source_PL!$A:$A,"6460 Salaries &amp; Wages",Source_PL!C:C)</f>
        <v>0</v>
      </c>
      <c r="D81" s="30">
        <f>SUMIF(Source_PL!$A:$A,"6460 Salaries &amp; Wages",Source_PL!D:D)</f>
        <v>3978</v>
      </c>
      <c r="E81" s="30">
        <f>SUMIF(Source_PL!$A:$A,"6460 Salaries &amp; Wages",Source_PL!E:E)</f>
        <v>0</v>
      </c>
      <c r="F81" s="30">
        <f>SUMIF(Source_PL!$A:$A,"6460 Salaries &amp; Wages",Source_PL!F:F)</f>
        <v>0</v>
      </c>
      <c r="G81" s="30">
        <f>SUMIF(Source_PL!$A:$A,"6460 Salaries &amp; Wages",Source_PL!G:G)</f>
        <v>0</v>
      </c>
      <c r="H81" s="30">
        <f>SUMIF(Source_PL!$A:$A,"6460 Salaries &amp; Wages",Source_PL!H:H)</f>
        <v>0</v>
      </c>
      <c r="I81" s="30">
        <f>SUMIF(Source_PL!$A:$A,"6460 Salaries &amp; Wages",Source_PL!I:I)</f>
        <v>0</v>
      </c>
      <c r="J81" s="30">
        <f>SUMIF(Source_PL!$A:$A,"6460 Salaries &amp; Wages",Source_PL!J:J)</f>
        <v>0</v>
      </c>
      <c r="K81" s="30">
        <f>SUMIF(Source_PL!$A:$A,"6460 Salaries &amp; Wages",Source_PL!K:K)</f>
        <v>0</v>
      </c>
      <c r="L81" s="30">
        <f>SUMIF(Source_PL!$A:$A,"6460 Salaries &amp; Wages",Source_PL!L:L)</f>
        <v>0</v>
      </c>
      <c r="M81" s="30">
        <f>SUMIF(Source_PL!$A:$A,"6460 Salaries &amp; Wages",Source_PL!M:M)</f>
        <v>0</v>
      </c>
      <c r="N81" s="22" t="str">
        <f>IFERROR(LOOKUP(2,1/((Notes!$A$2:$A$100=TRIM($A81))*(Notes!$B$2:$B$100=Menu!$C$7)),Notes!$C$2:$C$100),"")</f>
        <v/>
      </c>
      <c r="O81" s="36"/>
      <c r="P81" s="30">
        <v>0</v>
      </c>
      <c r="Q81" s="30">
        <f>SUM(B81:M81)</f>
        <v>3978</v>
      </c>
      <c r="R81" s="30">
        <f>Q81-P81</f>
        <v>3978</v>
      </c>
      <c r="S81" s="33">
        <f>IFERROR(R81/P81,0)</f>
        <v>0</v>
      </c>
      <c r="T81" s="36"/>
      <c r="U81" s="30">
        <f>B81+C81+D81+E81+F81+G81+H81+I81+J81+K81+L81+M81</f>
        <v>3978</v>
      </c>
    </row>
    <row r="82" spans="1:21" x14ac:dyDescent="0.25">
      <c r="A82" s="20" t="s">
        <v>83</v>
      </c>
      <c r="B82" s="30">
        <f>SUMIF(Source_PL!$A:$A,"6475 Shop Supplies",Source_PL!B:B)</f>
        <v>6171.78</v>
      </c>
      <c r="C82" s="30">
        <f>SUMIF(Source_PL!$A:$A,"6475 Shop Supplies",Source_PL!C:C)</f>
        <v>2039.27</v>
      </c>
      <c r="D82" s="30">
        <f>SUMIF(Source_PL!$A:$A,"6475 Shop Supplies",Source_PL!D:D)</f>
        <v>638.14</v>
      </c>
      <c r="E82" s="30">
        <f>SUMIF(Source_PL!$A:$A,"6475 Shop Supplies",Source_PL!E:E)</f>
        <v>319.69</v>
      </c>
      <c r="F82" s="30">
        <f>SUMIF(Source_PL!$A:$A,"6475 Shop Supplies",Source_PL!F:F)</f>
        <v>1799.42</v>
      </c>
      <c r="G82" s="30">
        <f>SUMIF(Source_PL!$A:$A,"6475 Shop Supplies",Source_PL!G:G)</f>
        <v>1278.69</v>
      </c>
      <c r="H82" s="30">
        <f>SUMIF(Source_PL!$A:$A,"6475 Shop Supplies",Source_PL!H:H)</f>
        <v>858.36</v>
      </c>
      <c r="I82" s="30">
        <f>SUMIF(Source_PL!$A:$A,"6475 Shop Supplies",Source_PL!I:I)</f>
        <v>8088.07</v>
      </c>
      <c r="J82" s="30">
        <f>SUMIF(Source_PL!$A:$A,"6475 Shop Supplies",Source_PL!J:J)</f>
        <v>6961.07</v>
      </c>
      <c r="K82" s="30">
        <f>SUMIF(Source_PL!$A:$A,"6475 Shop Supplies",Source_PL!K:K)</f>
        <v>3503.73</v>
      </c>
      <c r="L82" s="30">
        <f>SUMIF(Source_PL!$A:$A,"6475 Shop Supplies",Source_PL!L:L)</f>
        <v>761.91</v>
      </c>
      <c r="M82" s="30">
        <f>SUMIF(Source_PL!$A:$A,"6475 Shop Supplies",Source_PL!M:M)</f>
        <v>2783.25</v>
      </c>
      <c r="N82" s="22" t="str">
        <f>IFERROR(LOOKUP(2,1/((Notes!$A$2:$A$100=TRIM($A82))*(Notes!$B$2:$B$100=Menu!$C$7)),Notes!$C$2:$C$100),"")</f>
        <v/>
      </c>
      <c r="O82" s="36"/>
      <c r="P82" s="30">
        <v>0</v>
      </c>
      <c r="Q82" s="30">
        <f>SUM(B82:M82)</f>
        <v>35203.379999999997</v>
      </c>
      <c r="R82" s="30">
        <f>Q82-P82</f>
        <v>35203.379999999997</v>
      </c>
      <c r="S82" s="33">
        <f>IFERROR(R82/P82,0)</f>
        <v>0</v>
      </c>
      <c r="T82" s="36"/>
      <c r="U82" s="30">
        <f>B82+C82+D82+E82+F82+G82+H82+I82+J82+K82+L82+M82</f>
        <v>35203.379999999997</v>
      </c>
    </row>
    <row r="83" spans="1:21" x14ac:dyDescent="0.25">
      <c r="A83" s="20" t="s">
        <v>84</v>
      </c>
      <c r="B83" s="30">
        <f>SUMIF(Source_PL!$A:$A,"6490 Small Tools Expense",Source_PL!B:B)</f>
        <v>61.01</v>
      </c>
      <c r="C83" s="30">
        <f>SUMIF(Source_PL!$A:$A,"6490 Small Tools Expense",Source_PL!C:C)</f>
        <v>0</v>
      </c>
      <c r="D83" s="30">
        <f>SUMIF(Source_PL!$A:$A,"6490 Small Tools Expense",Source_PL!D:D)</f>
        <v>180.69</v>
      </c>
      <c r="E83" s="30">
        <f>SUMIF(Source_PL!$A:$A,"6490 Small Tools Expense",Source_PL!E:E)</f>
        <v>231.1</v>
      </c>
      <c r="F83" s="30">
        <f>SUMIF(Source_PL!$A:$A,"6490 Small Tools Expense",Source_PL!F:F)</f>
        <v>2875.33</v>
      </c>
      <c r="G83" s="30">
        <f>SUMIF(Source_PL!$A:$A,"6490 Small Tools Expense",Source_PL!G:G)</f>
        <v>550.38</v>
      </c>
      <c r="H83" s="30">
        <f>SUMIF(Source_PL!$A:$A,"6490 Small Tools Expense",Source_PL!H:H)</f>
        <v>667.41</v>
      </c>
      <c r="I83" s="30">
        <f>SUMIF(Source_PL!$A:$A,"6490 Small Tools Expense",Source_PL!I:I)</f>
        <v>1931.76</v>
      </c>
      <c r="J83" s="30">
        <f>SUMIF(Source_PL!$A:$A,"6490 Small Tools Expense",Source_PL!J:J)</f>
        <v>111.24</v>
      </c>
      <c r="K83" s="30">
        <f>SUMIF(Source_PL!$A:$A,"6490 Small Tools Expense",Source_PL!K:K)</f>
        <v>17.91</v>
      </c>
      <c r="L83" s="30">
        <f>SUMIF(Source_PL!$A:$A,"6490 Small Tools Expense",Source_PL!L:L)</f>
        <v>99.12</v>
      </c>
      <c r="M83" s="30">
        <f>SUMIF(Source_PL!$A:$A,"6490 Small Tools Expense",Source_PL!M:M)</f>
        <v>0</v>
      </c>
      <c r="N83" s="22" t="str">
        <f>IFERROR(LOOKUP(2,1/((Notes!$A$2:$A$100=TRIM($A83))*(Notes!$B$2:$B$100=Menu!$C$7)),Notes!$C$2:$C$100),"")</f>
        <v/>
      </c>
      <c r="O83" s="36"/>
      <c r="P83" s="30">
        <v>0</v>
      </c>
      <c r="Q83" s="30">
        <f>SUM(B83:M83)</f>
        <v>6725.95</v>
      </c>
      <c r="R83" s="30">
        <f>Q83-P83</f>
        <v>6725.95</v>
      </c>
      <c r="S83" s="33">
        <f>IFERROR(R83/P83,0)</f>
        <v>0</v>
      </c>
      <c r="T83" s="36"/>
      <c r="U83" s="30">
        <f>B83+C83+D83+E83+F83+G83+H83+I83+J83+K83+L83+M83</f>
        <v>6725.95</v>
      </c>
    </row>
    <row r="84" spans="1:21" x14ac:dyDescent="0.25">
      <c r="A84" s="20" t="s">
        <v>85</v>
      </c>
      <c r="B84" s="30">
        <f>SUMIF(Source_PL!$A:$A,"6520 Safety Expense",Source_PL!B:B)</f>
        <v>5432.6</v>
      </c>
      <c r="C84" s="30">
        <f>SUMIF(Source_PL!$A:$A,"6520 Safety Expense",Source_PL!C:C)</f>
        <v>0</v>
      </c>
      <c r="D84" s="30">
        <f>SUMIF(Source_PL!$A:$A,"6520 Safety Expense",Source_PL!D:D)</f>
        <v>382</v>
      </c>
      <c r="E84" s="30">
        <f>SUMIF(Source_PL!$A:$A,"6520 Safety Expense",Source_PL!E:E)</f>
        <v>0</v>
      </c>
      <c r="F84" s="30">
        <f>SUMIF(Source_PL!$A:$A,"6520 Safety Expense",Source_PL!F:F)</f>
        <v>1998.27</v>
      </c>
      <c r="G84" s="30">
        <f>SUMIF(Source_PL!$A:$A,"6520 Safety Expense",Source_PL!G:G)</f>
        <v>273.70999999999998</v>
      </c>
      <c r="H84" s="30">
        <f>SUMIF(Source_PL!$A:$A,"6520 Safety Expense",Source_PL!H:H)</f>
        <v>1175.6300000000001</v>
      </c>
      <c r="I84" s="30">
        <f>SUMIF(Source_PL!$A:$A,"6520 Safety Expense",Source_PL!I:I)</f>
        <v>2544.7800000000002</v>
      </c>
      <c r="J84" s="30">
        <f>SUMIF(Source_PL!$A:$A,"6520 Safety Expense",Source_PL!J:J)</f>
        <v>1466.76</v>
      </c>
      <c r="K84" s="30">
        <f>SUMIF(Source_PL!$A:$A,"6520 Safety Expense",Source_PL!K:K)</f>
        <v>2958.28</v>
      </c>
      <c r="L84" s="30">
        <f>SUMIF(Source_PL!$A:$A,"6520 Safety Expense",Source_PL!L:L)</f>
        <v>589.1</v>
      </c>
      <c r="M84" s="30">
        <f>SUMIF(Source_PL!$A:$A,"6520 Safety Expense",Source_PL!M:M)</f>
        <v>1640.31</v>
      </c>
      <c r="N84" s="22" t="str">
        <f>IFERROR(LOOKUP(2,1/((Notes!$A$2:$A$100=TRIM($A84))*(Notes!$B$2:$B$100=Menu!$C$7)),Notes!$C$2:$C$100),"")</f>
        <v/>
      </c>
      <c r="O84" s="36"/>
      <c r="P84" s="30">
        <v>0</v>
      </c>
      <c r="Q84" s="30">
        <f>SUM(B84:M84)</f>
        <v>18461.440000000002</v>
      </c>
      <c r="R84" s="30">
        <f>Q84-P84</f>
        <v>18461.440000000002</v>
      </c>
      <c r="S84" s="33">
        <f>IFERROR(R84/P84,0)</f>
        <v>0</v>
      </c>
      <c r="T84" s="36"/>
      <c r="U84" s="30">
        <f>B84+C84+D84+E84+F84+G84+H84+I84+J84+K84+L84+M84</f>
        <v>18461.440000000002</v>
      </c>
    </row>
    <row r="85" spans="1:21" x14ac:dyDescent="0.25">
      <c r="A85" s="20" t="s">
        <v>86</v>
      </c>
      <c r="B85" s="30">
        <f>SUMIF(Source_PL!$A:$A,"6550 Software Renewal",Source_PL!B:B)</f>
        <v>1983.35</v>
      </c>
      <c r="C85" s="30">
        <f>SUMIF(Source_PL!$A:$A,"6550 Software Renewal",Source_PL!C:C)</f>
        <v>1058.83</v>
      </c>
      <c r="D85" s="30">
        <f>SUMIF(Source_PL!$A:$A,"6550 Software Renewal",Source_PL!D:D)</f>
        <v>2413.37</v>
      </c>
      <c r="E85" s="30">
        <f>SUMIF(Source_PL!$A:$A,"6550 Software Renewal",Source_PL!E:E)</f>
        <v>1130.7</v>
      </c>
      <c r="F85" s="30">
        <f>SUMIF(Source_PL!$A:$A,"6550 Software Renewal",Source_PL!F:F)</f>
        <v>3254.01</v>
      </c>
      <c r="G85" s="30">
        <f>SUMIF(Source_PL!$A:$A,"6550 Software Renewal",Source_PL!G:G)</f>
        <v>3291.29</v>
      </c>
      <c r="H85" s="30">
        <f>SUMIF(Source_PL!$A:$A,"6550 Software Renewal",Source_PL!H:H)</f>
        <v>1676.3</v>
      </c>
      <c r="I85" s="30">
        <f>SUMIF(Source_PL!$A:$A,"6550 Software Renewal",Source_PL!I:I)</f>
        <v>1348.33</v>
      </c>
      <c r="J85" s="30">
        <f>SUMIF(Source_PL!$A:$A,"6550 Software Renewal",Source_PL!J:J)</f>
        <v>1493.69</v>
      </c>
      <c r="K85" s="30">
        <f>SUMIF(Source_PL!$A:$A,"6550 Software Renewal",Source_PL!K:K)</f>
        <v>3763.83</v>
      </c>
      <c r="L85" s="30">
        <f>SUMIF(Source_PL!$A:$A,"6550 Software Renewal",Source_PL!L:L)</f>
        <v>1592.58</v>
      </c>
      <c r="M85" s="30">
        <f>SUMIF(Source_PL!$A:$A,"6550 Software Renewal",Source_PL!M:M)</f>
        <v>4231.29</v>
      </c>
      <c r="N85" s="22" t="str">
        <f>IFERROR(LOOKUP(2,1/((Notes!$A$2:$A$100=TRIM($A85))*(Notes!$B$2:$B$100=Menu!$C$7)),Notes!$C$2:$C$100),"")</f>
        <v/>
      </c>
      <c r="O85" s="36"/>
      <c r="P85" s="30">
        <v>0</v>
      </c>
      <c r="Q85" s="30">
        <f>SUM(B85:M85)</f>
        <v>27237.57</v>
      </c>
      <c r="R85" s="30">
        <f>Q85-P85</f>
        <v>27237.57</v>
      </c>
      <c r="S85" s="33">
        <f>IFERROR(R85/P85,0)</f>
        <v>0</v>
      </c>
      <c r="T85" s="36"/>
      <c r="U85" s="30">
        <f>B85+C85+D85+E85+F85+G85+H85+I85+J85+K85+L85+M85</f>
        <v>27237.57</v>
      </c>
    </row>
    <row r="86" spans="1:21" x14ac:dyDescent="0.25">
      <c r="A86" s="20" t="s">
        <v>87</v>
      </c>
      <c r="B86" s="30">
        <f>SUMIF(Source_PL!$A:$A,"6580 Taxes - Other",Source_PL!B:B)</f>
        <v>0</v>
      </c>
      <c r="C86" s="30">
        <f>SUMIF(Source_PL!$A:$A,"6580 Taxes - Other",Source_PL!C:C)</f>
        <v>6226.19</v>
      </c>
      <c r="D86" s="30">
        <f>SUMIF(Source_PL!$A:$A,"6580 Taxes - Other",Source_PL!D:D)</f>
        <v>3727.77</v>
      </c>
      <c r="E86" s="30">
        <f>SUMIF(Source_PL!$A:$A,"6580 Taxes - Other",Source_PL!E:E)</f>
        <v>2123.2399999999998</v>
      </c>
      <c r="F86" s="30">
        <f>SUMIF(Source_PL!$A:$A,"6580 Taxes - Other",Source_PL!F:F)</f>
        <v>0</v>
      </c>
      <c r="G86" s="30">
        <f>SUMIF(Source_PL!$A:$A,"6580 Taxes - Other",Source_PL!G:G)</f>
        <v>0</v>
      </c>
      <c r="H86" s="30">
        <f>SUMIF(Source_PL!$A:$A,"6580 Taxes - Other",Source_PL!H:H)</f>
        <v>0</v>
      </c>
      <c r="I86" s="30">
        <f>SUMIF(Source_PL!$A:$A,"6580 Taxes - Other",Source_PL!I:I)</f>
        <v>1.53</v>
      </c>
      <c r="J86" s="30">
        <f>SUMIF(Source_PL!$A:$A,"6580 Taxes - Other",Source_PL!J:J)</f>
        <v>0</v>
      </c>
      <c r="K86" s="30">
        <f>SUMIF(Source_PL!$A:$A,"6580 Taxes - Other",Source_PL!K:K)</f>
        <v>8.5</v>
      </c>
      <c r="L86" s="30">
        <f>SUMIF(Source_PL!$A:$A,"6580 Taxes - Other",Source_PL!L:L)</f>
        <v>7265.59</v>
      </c>
      <c r="M86" s="30">
        <f>SUMIF(Source_PL!$A:$A,"6580 Taxes - Other",Source_PL!M:M)</f>
        <v>14653.54</v>
      </c>
      <c r="N86" s="22" t="str">
        <f>IFERROR(LOOKUP(2,1/((Notes!$A$2:$A$100=TRIM($A86))*(Notes!$B$2:$B$100=Menu!$C$7)),Notes!$C$2:$C$100),"")</f>
        <v/>
      </c>
      <c r="O86" s="36"/>
      <c r="P86" s="30">
        <v>0</v>
      </c>
      <c r="Q86" s="30">
        <f>SUM(B86:M86)</f>
        <v>34006.36</v>
      </c>
      <c r="R86" s="30">
        <f>Q86-P86</f>
        <v>34006.36</v>
      </c>
      <c r="S86" s="33">
        <f>IFERROR(R86/P86,0)</f>
        <v>0</v>
      </c>
      <c r="T86" s="36"/>
      <c r="U86" s="30">
        <f>B86+C86+D86+E86+F86+G86+H86+I86+J86+K86+L86+M86</f>
        <v>34006.36</v>
      </c>
    </row>
    <row r="87" spans="1:21" x14ac:dyDescent="0.25">
      <c r="A87" s="20" t="s">
        <v>88</v>
      </c>
      <c r="B87" s="30">
        <f>SUMIF(Source_PL!$A:$A,"6585 Penalties",Source_PL!B:B)</f>
        <v>0</v>
      </c>
      <c r="C87" s="30">
        <f>SUMIF(Source_PL!$A:$A,"6585 Penalties",Source_PL!C:C)</f>
        <v>0</v>
      </c>
      <c r="D87" s="30">
        <f>SUMIF(Source_PL!$A:$A,"6585 Penalties",Source_PL!D:D)</f>
        <v>0</v>
      </c>
      <c r="E87" s="30">
        <f>SUMIF(Source_PL!$A:$A,"6585 Penalties",Source_PL!E:E)</f>
        <v>1014.34</v>
      </c>
      <c r="F87" s="30">
        <f>SUMIF(Source_PL!$A:$A,"6585 Penalties",Source_PL!F:F)</f>
        <v>36.85</v>
      </c>
      <c r="G87" s="30">
        <f>SUMIF(Source_PL!$A:$A,"6585 Penalties",Source_PL!G:G)</f>
        <v>29</v>
      </c>
      <c r="H87" s="30">
        <f>SUMIF(Source_PL!$A:$A,"6585 Penalties",Source_PL!H:H)</f>
        <v>759.61</v>
      </c>
      <c r="I87" s="30">
        <f>SUMIF(Source_PL!$A:$A,"6585 Penalties",Source_PL!I:I)</f>
        <v>350</v>
      </c>
      <c r="J87" s="30">
        <f>SUMIF(Source_PL!$A:$A,"6585 Penalties",Source_PL!J:J)</f>
        <v>0</v>
      </c>
      <c r="K87" s="30">
        <f>SUMIF(Source_PL!$A:$A,"6585 Penalties",Source_PL!K:K)</f>
        <v>54.5</v>
      </c>
      <c r="L87" s="30">
        <f>SUMIF(Source_PL!$A:$A,"6585 Penalties",Source_PL!L:L)</f>
        <v>50</v>
      </c>
      <c r="M87" s="30">
        <f>SUMIF(Source_PL!$A:$A,"6585 Penalties",Source_PL!M:M)</f>
        <v>0</v>
      </c>
      <c r="N87" s="22" t="str">
        <f>IFERROR(LOOKUP(2,1/((Notes!$A$2:$A$100=TRIM($A87))*(Notes!$B$2:$B$100=Menu!$C$7)),Notes!$C$2:$C$100),"")</f>
        <v/>
      </c>
      <c r="O87" s="36"/>
      <c r="P87" s="30">
        <v>0</v>
      </c>
      <c r="Q87" s="30">
        <f>SUM(B87:M87)</f>
        <v>2294.3000000000002</v>
      </c>
      <c r="R87" s="30">
        <f>Q87-P87</f>
        <v>2294.3000000000002</v>
      </c>
      <c r="S87" s="33">
        <f>IFERROR(R87/P87,0)</f>
        <v>0</v>
      </c>
      <c r="T87" s="36"/>
      <c r="U87" s="30">
        <f>B87+C87+D87+E87+F87+G87+H87+I87+J87+K87+L87+M87</f>
        <v>2294.3000000000002</v>
      </c>
    </row>
    <row r="88" spans="1:21" x14ac:dyDescent="0.25">
      <c r="A88" s="20" t="s">
        <v>89</v>
      </c>
      <c r="B88" s="30">
        <f>SUMIF(Source_PL!$A:$A,"6660 Telephone Expense",Source_PL!B:B)</f>
        <v>1750.74</v>
      </c>
      <c r="C88" s="30">
        <f>SUMIF(Source_PL!$A:$A,"6660 Telephone Expense",Source_PL!C:C)</f>
        <v>1971.33</v>
      </c>
      <c r="D88" s="30">
        <f>SUMIF(Source_PL!$A:$A,"6660 Telephone Expense",Source_PL!D:D)</f>
        <v>1806.76</v>
      </c>
      <c r="E88" s="30">
        <f>SUMIF(Source_PL!$A:$A,"6660 Telephone Expense",Source_PL!E:E)</f>
        <v>1460.92</v>
      </c>
      <c r="F88" s="30">
        <f>SUMIF(Source_PL!$A:$A,"6660 Telephone Expense",Source_PL!F:F)</f>
        <v>1748.18</v>
      </c>
      <c r="G88" s="30">
        <f>SUMIF(Source_PL!$A:$A,"6660 Telephone Expense",Source_PL!G:G)</f>
        <v>1751.14</v>
      </c>
      <c r="H88" s="30">
        <f>SUMIF(Source_PL!$A:$A,"6660 Telephone Expense",Source_PL!H:H)</f>
        <v>1904.22</v>
      </c>
      <c r="I88" s="30">
        <f>SUMIF(Source_PL!$A:$A,"6660 Telephone Expense",Source_PL!I:I)</f>
        <v>2075.38</v>
      </c>
      <c r="J88" s="30">
        <f>SUMIF(Source_PL!$A:$A,"6660 Telephone Expense",Source_PL!J:J)</f>
        <v>2107.65</v>
      </c>
      <c r="K88" s="30">
        <f>SUMIF(Source_PL!$A:$A,"6660 Telephone Expense",Source_PL!K:K)</f>
        <v>2302</v>
      </c>
      <c r="L88" s="30">
        <f>SUMIF(Source_PL!$A:$A,"6660 Telephone Expense",Source_PL!L:L)</f>
        <v>3599.22</v>
      </c>
      <c r="M88" s="30">
        <f>SUMIF(Source_PL!$A:$A,"6660 Telephone Expense",Source_PL!M:M)</f>
        <v>2695.54</v>
      </c>
      <c r="N88" s="22" t="str">
        <f>IFERROR(LOOKUP(2,1/((Notes!$A$2:$A$100=TRIM($A88))*(Notes!$B$2:$B$100=Menu!$C$7)),Notes!$C$2:$C$100),"")</f>
        <v/>
      </c>
      <c r="O88" s="36"/>
      <c r="P88" s="30">
        <v>0</v>
      </c>
      <c r="Q88" s="30">
        <f>SUM(B88:M88)</f>
        <v>25173.08</v>
      </c>
      <c r="R88" s="30">
        <f>Q88-P88</f>
        <v>25173.08</v>
      </c>
      <c r="S88" s="33">
        <f>IFERROR(R88/P88,0)</f>
        <v>0</v>
      </c>
      <c r="T88" s="36"/>
      <c r="U88" s="30">
        <f>B88+C88+D88+E88+F88+G88+H88+I88+J88+K88+L88+M88</f>
        <v>25173.08</v>
      </c>
    </row>
    <row r="89" spans="1:21" x14ac:dyDescent="0.25">
      <c r="A89" s="20" t="s">
        <v>90</v>
      </c>
      <c r="B89" s="30">
        <f>SUMIF(Source_PL!$A:$A,"6665 Third-Party Testing",Source_PL!B:B)</f>
        <v>0</v>
      </c>
      <c r="C89" s="30">
        <f>SUMIF(Source_PL!$A:$A,"6665 Third-Party Testing",Source_PL!C:C)</f>
        <v>0</v>
      </c>
      <c r="D89" s="30">
        <f>SUMIF(Source_PL!$A:$A,"6665 Third-Party Testing",Source_PL!D:D)</f>
        <v>0</v>
      </c>
      <c r="E89" s="30">
        <f>SUMIF(Source_PL!$A:$A,"6665 Third-Party Testing",Source_PL!E:E)</f>
        <v>0</v>
      </c>
      <c r="F89" s="30">
        <f>SUMIF(Source_PL!$A:$A,"6665 Third-Party Testing",Source_PL!F:F)</f>
        <v>309</v>
      </c>
      <c r="G89" s="30">
        <f>SUMIF(Source_PL!$A:$A,"6665 Third-Party Testing",Source_PL!G:G)</f>
        <v>0</v>
      </c>
      <c r="H89" s="30">
        <f>SUMIF(Source_PL!$A:$A,"6665 Third-Party Testing",Source_PL!H:H)</f>
        <v>103</v>
      </c>
      <c r="I89" s="30">
        <f>SUMIF(Source_PL!$A:$A,"6665 Third-Party Testing",Source_PL!I:I)</f>
        <v>0</v>
      </c>
      <c r="J89" s="30">
        <f>SUMIF(Source_PL!$A:$A,"6665 Third-Party Testing",Source_PL!J:J)</f>
        <v>0</v>
      </c>
      <c r="K89" s="30">
        <f>SUMIF(Source_PL!$A:$A,"6665 Third-Party Testing",Source_PL!K:K)</f>
        <v>103</v>
      </c>
      <c r="L89" s="30">
        <f>SUMIF(Source_PL!$A:$A,"6665 Third-Party Testing",Source_PL!L:L)</f>
        <v>0</v>
      </c>
      <c r="M89" s="30">
        <f>SUMIF(Source_PL!$A:$A,"6665 Third-Party Testing",Source_PL!M:M)</f>
        <v>0</v>
      </c>
      <c r="N89" s="22" t="str">
        <f>IFERROR(LOOKUP(2,1/((Notes!$A$2:$A$100=TRIM($A89))*(Notes!$B$2:$B$100=Menu!$C$7)),Notes!$C$2:$C$100),"")</f>
        <v/>
      </c>
      <c r="O89" s="36"/>
      <c r="P89" s="30">
        <v>0</v>
      </c>
      <c r="Q89" s="30">
        <f>SUM(B89:M89)</f>
        <v>515</v>
      </c>
      <c r="R89" s="30">
        <f>Q89-P89</f>
        <v>515</v>
      </c>
      <c r="S89" s="33">
        <f>IFERROR(R89/P89,0)</f>
        <v>0</v>
      </c>
      <c r="T89" s="36"/>
      <c r="U89" s="30">
        <f>B89+C89+D89+E89+F89+G89+H89+I89+J89+K89+L89+M89</f>
        <v>515</v>
      </c>
    </row>
    <row r="90" spans="1:21" x14ac:dyDescent="0.25">
      <c r="A90" s="20" t="s">
        <v>91</v>
      </c>
      <c r="B90" s="30">
        <f>SUMIF(Source_PL!$A:$A,"6670 Travel &amp; Lodging",Source_PL!B:B)</f>
        <v>9139.86</v>
      </c>
      <c r="C90" s="30">
        <f>SUMIF(Source_PL!$A:$A,"6670 Travel &amp; Lodging",Source_PL!C:C)</f>
        <v>13831.07</v>
      </c>
      <c r="D90" s="30">
        <f>SUMIF(Source_PL!$A:$A,"6670 Travel &amp; Lodging",Source_PL!D:D)</f>
        <v>13806.61</v>
      </c>
      <c r="E90" s="30">
        <f>SUMIF(Source_PL!$A:$A,"6670 Travel &amp; Lodging",Source_PL!E:E)</f>
        <v>12560.45</v>
      </c>
      <c r="F90" s="30">
        <f>SUMIF(Source_PL!$A:$A,"6670 Travel &amp; Lodging",Source_PL!F:F)</f>
        <v>10992.02</v>
      </c>
      <c r="G90" s="30">
        <f>SUMIF(Source_PL!$A:$A,"6670 Travel &amp; Lodging",Source_PL!G:G)</f>
        <v>19017.05</v>
      </c>
      <c r="H90" s="30">
        <f>SUMIF(Source_PL!$A:$A,"6670 Travel &amp; Lodging",Source_PL!H:H)</f>
        <v>11238.54</v>
      </c>
      <c r="I90" s="30">
        <f>SUMIF(Source_PL!$A:$A,"6670 Travel &amp; Lodging",Source_PL!I:I)</f>
        <v>562.54</v>
      </c>
      <c r="J90" s="30">
        <f>SUMIF(Source_PL!$A:$A,"6670 Travel &amp; Lodging",Source_PL!J:J)</f>
        <v>4549.8100000000004</v>
      </c>
      <c r="K90" s="30">
        <f>SUMIF(Source_PL!$A:$A,"6670 Travel &amp; Lodging",Source_PL!K:K)</f>
        <v>4819.1899999999996</v>
      </c>
      <c r="L90" s="30">
        <f>SUMIF(Source_PL!$A:$A,"6670 Travel &amp; Lodging",Source_PL!L:L)</f>
        <v>3239.11</v>
      </c>
      <c r="M90" s="30">
        <f>SUMIF(Source_PL!$A:$A,"6670 Travel &amp; Lodging",Source_PL!M:M)</f>
        <v>3280.01</v>
      </c>
      <c r="N90" s="22" t="str">
        <f>IFERROR(LOOKUP(2,1/((Notes!$A$2:$A$100=TRIM($A90))*(Notes!$B$2:$B$100=Menu!$C$7)),Notes!$C$2:$C$100),"")</f>
        <v/>
      </c>
      <c r="O90" s="36"/>
      <c r="P90" s="30">
        <v>0</v>
      </c>
      <c r="Q90" s="30">
        <f>SUM(B90:M90)</f>
        <v>107036.26</v>
      </c>
      <c r="R90" s="30">
        <f>Q90-P90</f>
        <v>107036.26</v>
      </c>
      <c r="S90" s="33">
        <f>IFERROR(R90/P90,0)</f>
        <v>0</v>
      </c>
      <c r="T90" s="36"/>
      <c r="U90" s="30">
        <f>B90+C90+D90+E90+F90+G90+H90+I90+J90+K90+L90+M90</f>
        <v>107036.26</v>
      </c>
    </row>
    <row r="91" spans="1:21" x14ac:dyDescent="0.25">
      <c r="A91" s="20" t="s">
        <v>92</v>
      </c>
      <c r="B91" s="30">
        <f>SUMIF(Source_PL!$A:$A,"6680 Uniforms Expense",Source_PL!B:B)</f>
        <v>1999.17</v>
      </c>
      <c r="C91" s="30">
        <f>SUMIF(Source_PL!$A:$A,"6680 Uniforms Expense",Source_PL!C:C)</f>
        <v>3380.41</v>
      </c>
      <c r="D91" s="30">
        <f>SUMIF(Source_PL!$A:$A,"6680 Uniforms Expense",Source_PL!D:D)</f>
        <v>2303.19</v>
      </c>
      <c r="E91" s="30">
        <f>SUMIF(Source_PL!$A:$A,"6680 Uniforms Expense",Source_PL!E:E)</f>
        <v>3164.59</v>
      </c>
      <c r="F91" s="30">
        <f>SUMIF(Source_PL!$A:$A,"6680 Uniforms Expense",Source_PL!F:F)</f>
        <v>2140.9499999999998</v>
      </c>
      <c r="G91" s="30">
        <f>SUMIF(Source_PL!$A:$A,"6680 Uniforms Expense",Source_PL!G:G)</f>
        <v>2754.84</v>
      </c>
      <c r="H91" s="30">
        <f>SUMIF(Source_PL!$A:$A,"6680 Uniforms Expense",Source_PL!H:H)</f>
        <v>2030.08</v>
      </c>
      <c r="I91" s="30">
        <f>SUMIF(Source_PL!$A:$A,"6680 Uniforms Expense",Source_PL!I:I)</f>
        <v>2229.48</v>
      </c>
      <c r="J91" s="30">
        <f>SUMIF(Source_PL!$A:$A,"6680 Uniforms Expense",Source_PL!J:J)</f>
        <v>2702.57</v>
      </c>
      <c r="K91" s="30">
        <f>SUMIF(Source_PL!$A:$A,"6680 Uniforms Expense",Source_PL!K:K)</f>
        <v>2930.86</v>
      </c>
      <c r="L91" s="30">
        <f>SUMIF(Source_PL!$A:$A,"6680 Uniforms Expense",Source_PL!L:L)</f>
        <v>3582.9</v>
      </c>
      <c r="M91" s="30">
        <f>SUMIF(Source_PL!$A:$A,"6680 Uniforms Expense",Source_PL!M:M)</f>
        <v>6447.98</v>
      </c>
      <c r="N91" s="22" t="str">
        <f>IFERROR(LOOKUP(2,1/((Notes!$A$2:$A$100=TRIM($A91))*(Notes!$B$2:$B$100=Menu!$C$7)),Notes!$C$2:$C$100),"")</f>
        <v/>
      </c>
      <c r="O91" s="36"/>
      <c r="P91" s="30">
        <v>0</v>
      </c>
      <c r="Q91" s="30">
        <f>SUM(B91:M91)</f>
        <v>35667.020000000004</v>
      </c>
      <c r="R91" s="30">
        <f>Q91-P91</f>
        <v>35667.020000000004</v>
      </c>
      <c r="S91" s="33">
        <f>IFERROR(R91/P91,0)</f>
        <v>0</v>
      </c>
      <c r="T91" s="36"/>
      <c r="U91" s="30">
        <f>B91+C91+D91+E91+F91+G91+H91+I91+J91+K91+L91+M91</f>
        <v>35667.020000000004</v>
      </c>
    </row>
    <row r="92" spans="1:21" x14ac:dyDescent="0.25">
      <c r="A92" s="20" t="s">
        <v>93</v>
      </c>
      <c r="B92" s="30">
        <f>SUMIF(Source_PL!$A:$A,"6690 Utilities",Source_PL!B:B)</f>
        <v>2349.3200000000002</v>
      </c>
      <c r="C92" s="30">
        <f>SUMIF(Source_PL!$A:$A,"6690 Utilities",Source_PL!C:C)</f>
        <v>2183.19</v>
      </c>
      <c r="D92" s="30">
        <f>SUMIF(Source_PL!$A:$A,"6690 Utilities",Source_PL!D:D)</f>
        <v>1091.4000000000001</v>
      </c>
      <c r="E92" s="30">
        <f>SUMIF(Source_PL!$A:$A,"6690 Utilities",Source_PL!E:E)</f>
        <v>1944.54</v>
      </c>
      <c r="F92" s="30">
        <f>SUMIF(Source_PL!$A:$A,"6690 Utilities",Source_PL!F:F)</f>
        <v>1331.97</v>
      </c>
      <c r="G92" s="30">
        <f>SUMIF(Source_PL!$A:$A,"6690 Utilities",Source_PL!G:G)</f>
        <v>4771.1099999999997</v>
      </c>
      <c r="H92" s="30">
        <f>SUMIF(Source_PL!$A:$A,"6690 Utilities",Source_PL!H:H)</f>
        <v>2246.25</v>
      </c>
      <c r="I92" s="30">
        <f>SUMIF(Source_PL!$A:$A,"6690 Utilities",Source_PL!I:I)</f>
        <v>2854.09</v>
      </c>
      <c r="J92" s="30">
        <f>SUMIF(Source_PL!$A:$A,"6690 Utilities",Source_PL!J:J)</f>
        <v>2860.83</v>
      </c>
      <c r="K92" s="30">
        <f>SUMIF(Source_PL!$A:$A,"6690 Utilities",Source_PL!K:K)</f>
        <v>2941.16</v>
      </c>
      <c r="L92" s="30">
        <f>SUMIF(Source_PL!$A:$A,"6690 Utilities",Source_PL!L:L)</f>
        <v>2038.49</v>
      </c>
      <c r="M92" s="30">
        <f>SUMIF(Source_PL!$A:$A,"6690 Utilities",Source_PL!M:M)</f>
        <v>1828.98</v>
      </c>
      <c r="N92" s="22" t="str">
        <f>IFERROR(LOOKUP(2,1/((Notes!$A$2:$A$100=TRIM($A92))*(Notes!$B$2:$B$100=Menu!$C$7)),Notes!$C$2:$C$100),"")</f>
        <v/>
      </c>
      <c r="O92" s="36"/>
      <c r="P92" s="30">
        <v>0</v>
      </c>
      <c r="Q92" s="30">
        <f>SUM(B92:M92)</f>
        <v>28441.329999999998</v>
      </c>
      <c r="R92" s="30">
        <f>Q92-P92</f>
        <v>28441.329999999998</v>
      </c>
      <c r="S92" s="33">
        <f>IFERROR(R92/P92,0)</f>
        <v>0</v>
      </c>
      <c r="T92" s="36"/>
      <c r="U92" s="30">
        <f>B92+C92+D92+E92+F92+G92+H92+I92+J92+K92+L92+M92</f>
        <v>28441.329999999998</v>
      </c>
    </row>
    <row r="93" spans="1:21" x14ac:dyDescent="0.25">
      <c r="A93" s="20" t="s">
        <v>94</v>
      </c>
      <c r="B93" s="30">
        <f>SUMIF(Source_PL!$A:$A,"7050 Bad Debt Expense",Source_PL!B:B)</f>
        <v>0</v>
      </c>
      <c r="C93" s="30">
        <f>SUMIF(Source_PL!$A:$A,"7050 Bad Debt Expense",Source_PL!C:C)</f>
        <v>0</v>
      </c>
      <c r="D93" s="30">
        <f>SUMIF(Source_PL!$A:$A,"7050 Bad Debt Expense",Source_PL!D:D)</f>
        <v>7735</v>
      </c>
      <c r="E93" s="30">
        <f>SUMIF(Source_PL!$A:$A,"7050 Bad Debt Expense",Source_PL!E:E)</f>
        <v>0</v>
      </c>
      <c r="F93" s="30">
        <f>SUMIF(Source_PL!$A:$A,"7050 Bad Debt Expense",Source_PL!F:F)</f>
        <v>0</v>
      </c>
      <c r="G93" s="30">
        <f>SUMIF(Source_PL!$A:$A,"7050 Bad Debt Expense",Source_PL!G:G)</f>
        <v>0</v>
      </c>
      <c r="H93" s="30">
        <f>SUMIF(Source_PL!$A:$A,"7050 Bad Debt Expense",Source_PL!H:H)</f>
        <v>0</v>
      </c>
      <c r="I93" s="30">
        <f>SUMIF(Source_PL!$A:$A,"7050 Bad Debt Expense",Source_PL!I:I)</f>
        <v>0</v>
      </c>
      <c r="J93" s="30">
        <f>SUMIF(Source_PL!$A:$A,"7050 Bad Debt Expense",Source_PL!J:J)</f>
        <v>0</v>
      </c>
      <c r="K93" s="30">
        <f>SUMIF(Source_PL!$A:$A,"7050 Bad Debt Expense",Source_PL!K:K)</f>
        <v>0</v>
      </c>
      <c r="L93" s="30">
        <f>SUMIF(Source_PL!$A:$A,"7050 Bad Debt Expense",Source_PL!L:L)</f>
        <v>0</v>
      </c>
      <c r="M93" s="30">
        <f>SUMIF(Source_PL!$A:$A,"7050 Bad Debt Expense",Source_PL!M:M)</f>
        <v>1515.22</v>
      </c>
      <c r="N93" s="22" t="str">
        <f>IFERROR(LOOKUP(2,1/((Notes!$A$2:$A$100=TRIM($A93))*(Notes!$B$2:$B$100=Menu!$C$7)),Notes!$C$2:$C$100),"")</f>
        <v/>
      </c>
      <c r="O93" s="36"/>
      <c r="P93" s="30">
        <v>0</v>
      </c>
      <c r="Q93" s="30">
        <f>SUM(B93:M93)</f>
        <v>9250.2199999999993</v>
      </c>
      <c r="R93" s="30">
        <f>Q93-P93</f>
        <v>9250.2199999999993</v>
      </c>
      <c r="S93" s="33">
        <f>IFERROR(R93/P93,0)</f>
        <v>0</v>
      </c>
      <c r="T93" s="36"/>
      <c r="U93" s="30">
        <f>B93+C93+D93+E93+F93+G93+H93+I93+J93+K93+L93+M93</f>
        <v>9250.2199999999993</v>
      </c>
    </row>
    <row r="94" spans="1:21" x14ac:dyDescent="0.25">
      <c r="A94" s="20" t="s">
        <v>95</v>
      </c>
      <c r="B94" s="30">
        <f>SUMIF(Source_PL!$A:$A,"7998 Unapplied Cash Bill Payment Expense",Source_PL!B:B)</f>
        <v>0</v>
      </c>
      <c r="C94" s="30">
        <f>SUMIF(Source_PL!$A:$A,"7998 Unapplied Cash Bill Payment Expense",Source_PL!C:C)</f>
        <v>0</v>
      </c>
      <c r="D94" s="30">
        <f>SUMIF(Source_PL!$A:$A,"7998 Unapplied Cash Bill Payment Expense",Source_PL!D:D)</f>
        <v>0</v>
      </c>
      <c r="E94" s="30">
        <f>SUMIF(Source_PL!$A:$A,"7998 Unapplied Cash Bill Payment Expense",Source_PL!E:E)</f>
        <v>0</v>
      </c>
      <c r="F94" s="30">
        <f>SUMIF(Source_PL!$A:$A,"7998 Unapplied Cash Bill Payment Expense",Source_PL!F:F)</f>
        <v>-94.83</v>
      </c>
      <c r="G94" s="30">
        <f>SUMIF(Source_PL!$A:$A,"7998 Unapplied Cash Bill Payment Expense",Source_PL!G:G)</f>
        <v>-1337</v>
      </c>
      <c r="H94" s="30">
        <f>SUMIF(Source_PL!$A:$A,"7998 Unapplied Cash Bill Payment Expense",Source_PL!H:H)</f>
        <v>1431.83</v>
      </c>
      <c r="I94" s="30">
        <f>SUMIF(Source_PL!$A:$A,"7998 Unapplied Cash Bill Payment Expense",Source_PL!I:I)</f>
        <v>1515.22</v>
      </c>
      <c r="J94" s="30">
        <f>SUMIF(Source_PL!$A:$A,"7998 Unapplied Cash Bill Payment Expense",Source_PL!J:J)</f>
        <v>0</v>
      </c>
      <c r="K94" s="30">
        <f>SUMIF(Source_PL!$A:$A,"7998 Unapplied Cash Bill Payment Expense",Source_PL!K:K)</f>
        <v>0</v>
      </c>
      <c r="L94" s="30">
        <f>SUMIF(Source_PL!$A:$A,"7998 Unapplied Cash Bill Payment Expense",Source_PL!L:L)</f>
        <v>0</v>
      </c>
      <c r="M94" s="30">
        <f>SUMIF(Source_PL!$A:$A,"7998 Unapplied Cash Bill Payment Expense",Source_PL!M:M)</f>
        <v>-1465.22</v>
      </c>
      <c r="N94" s="22" t="str">
        <f>IFERROR(LOOKUP(2,1/((Notes!$A$2:$A$100=TRIM($A94))*(Notes!$B$2:$B$100=Menu!$C$7)),Notes!$C$2:$C$100),"")</f>
        <v/>
      </c>
      <c r="O94" s="36"/>
      <c r="P94" s="30">
        <v>0</v>
      </c>
      <c r="Q94" s="30">
        <f>SUM(B94:M94)</f>
        <v>50</v>
      </c>
      <c r="R94" s="30">
        <f>Q94-P94</f>
        <v>50</v>
      </c>
      <c r="S94" s="33">
        <f>IFERROR(R94/P94,0)</f>
        <v>0</v>
      </c>
      <c r="T94" s="36"/>
      <c r="U94" s="30">
        <f>B94+C94+D94+E94+F94+G94+H94+I94+J94+K94+L94+M94</f>
        <v>50</v>
      </c>
    </row>
    <row r="95" spans="1:21" x14ac:dyDescent="0.25">
      <c r="A95" s="20" t="s">
        <v>96</v>
      </c>
      <c r="B95" s="30">
        <f>SUMIF(Source_PL!$A:$A,"8000 Interest Expense",Source_PL!B:B)</f>
        <v>5088.1400000000003</v>
      </c>
      <c r="C95" s="30">
        <f>SUMIF(Source_PL!$A:$A,"8000 Interest Expense",Source_PL!C:C)</f>
        <v>11421.73</v>
      </c>
      <c r="D95" s="30">
        <f>SUMIF(Source_PL!$A:$A,"8000 Interest Expense",Source_PL!D:D)</f>
        <v>11097</v>
      </c>
      <c r="E95" s="30">
        <f>SUMIF(Source_PL!$A:$A,"8000 Interest Expense",Source_PL!E:E)</f>
        <v>10390.030000000001</v>
      </c>
      <c r="F95" s="30">
        <f>SUMIF(Source_PL!$A:$A,"8000 Interest Expense",Source_PL!F:F)</f>
        <v>9624.86</v>
      </c>
      <c r="G95" s="30">
        <f>SUMIF(Source_PL!$A:$A,"8000 Interest Expense",Source_PL!G:G)</f>
        <v>8125.67</v>
      </c>
      <c r="H95" s="30">
        <f>SUMIF(Source_PL!$A:$A,"8000 Interest Expense",Source_PL!H:H)</f>
        <v>8759.39</v>
      </c>
      <c r="I95" s="30">
        <f>SUMIF(Source_PL!$A:$A,"8000 Interest Expense",Source_PL!I:I)</f>
        <v>-6056.77</v>
      </c>
      <c r="J95" s="30">
        <f>SUMIF(Source_PL!$A:$A,"8000 Interest Expense",Source_PL!J:J)</f>
        <v>7768.49</v>
      </c>
      <c r="K95" s="30">
        <f>SUMIF(Source_PL!$A:$A,"8000 Interest Expense",Source_PL!K:K)</f>
        <v>8443.31</v>
      </c>
      <c r="L95" s="30">
        <f>SUMIF(Source_PL!$A:$A,"8000 Interest Expense",Source_PL!L:L)</f>
        <v>6688.87</v>
      </c>
      <c r="M95" s="30">
        <f>SUMIF(Source_PL!$A:$A,"8000 Interest Expense",Source_PL!M:M)</f>
        <v>5698.23</v>
      </c>
      <c r="N95" s="22" t="str">
        <f>IFERROR(LOOKUP(2,1/((Notes!$A$2:$A$100=TRIM($A95))*(Notes!$B$2:$B$100=Menu!$C$7)),Notes!$C$2:$C$100),"")</f>
        <v/>
      </c>
      <c r="O95" s="36"/>
      <c r="P95" s="30">
        <v>0</v>
      </c>
      <c r="Q95" s="30">
        <f>SUM(B95:M95)</f>
        <v>87048.95</v>
      </c>
      <c r="R95" s="30">
        <f>Q95-P95</f>
        <v>87048.95</v>
      </c>
      <c r="S95" s="33">
        <f>IFERROR(R95/P95,0)</f>
        <v>0</v>
      </c>
      <c r="T95" s="36"/>
      <c r="U95" s="30">
        <f>B95+C95+D95+E95+F95+G95+H95+I95+J95+K95+L95+M95</f>
        <v>87048.95</v>
      </c>
    </row>
    <row r="96" spans="1:21" x14ac:dyDescent="0.25">
      <c r="A96" s="23" t="s">
        <v>97</v>
      </c>
      <c r="B96" s="31">
        <f>SUMIF(Source_PL!$A:$A,"Total for Expenses",Source_PL!B:B)</f>
        <v>274944.03999999998</v>
      </c>
      <c r="C96" s="31">
        <f>SUMIF(Source_PL!$A:$A,"Total for Expenses",Source_PL!C:C)</f>
        <v>253453.25999999992</v>
      </c>
      <c r="D96" s="31">
        <f>SUMIF(Source_PL!$A:$A,"Total for Expenses",Source_PL!D:D)</f>
        <v>421980.36000000004</v>
      </c>
      <c r="E96" s="31">
        <f>SUMIF(Source_PL!$A:$A,"Total for Expenses",Source_PL!E:E)</f>
        <v>257236.40000000011</v>
      </c>
      <c r="F96" s="31">
        <f>SUMIF(Source_PL!$A:$A,"Total for Expenses",Source_PL!F:F)</f>
        <v>283626.78999999998</v>
      </c>
      <c r="G96" s="31">
        <f>SUMIF(Source_PL!$A:$A,"Total for Expenses",Source_PL!G:G)</f>
        <v>251404.91999999993</v>
      </c>
      <c r="H96" s="31">
        <f>SUMIF(Source_PL!$A:$A,"Total for Expenses",Source_PL!H:H)</f>
        <v>316493.50999999995</v>
      </c>
      <c r="I96" s="31">
        <f>SUMIF(Source_PL!$A:$A,"Total for Expenses",Source_PL!I:I)</f>
        <v>348565.39000000013</v>
      </c>
      <c r="J96" s="31">
        <f>SUMIF(Source_PL!$A:$A,"Total for Expenses",Source_PL!J:J)</f>
        <v>249349.01999999996</v>
      </c>
      <c r="K96" s="31">
        <f>SUMIF(Source_PL!$A:$A,"Total for Expenses",Source_PL!K:K)</f>
        <v>233275.09000000003</v>
      </c>
      <c r="L96" s="31">
        <f>SUMIF(Source_PL!$A:$A,"Total for Expenses",Source_PL!L:L)</f>
        <v>298075.75</v>
      </c>
      <c r="M96" s="31">
        <f>SUMIF(Source_PL!$A:$A,"Total for Expenses",Source_PL!M:M)</f>
        <v>609603.90000000014</v>
      </c>
      <c r="N96" s="25" t="str">
        <f>IFERROR(LOOKUP(2,1/((Notes!$A$2:$A$100=TRIM($A96))*(Notes!$B$2:$B$100=Menu!$C$7)),Notes!$C$2:$C$100),"")</f>
        <v/>
      </c>
      <c r="O96" s="36"/>
      <c r="P96" s="31">
        <v>0</v>
      </c>
      <c r="Q96" s="31">
        <f>SUM(B96:M96)</f>
        <v>3798008.4299999997</v>
      </c>
      <c r="R96" s="31">
        <f>Q96-P96</f>
        <v>3798008.4299999997</v>
      </c>
      <c r="S96" s="34">
        <f>IFERROR(R96/P96,0)</f>
        <v>0</v>
      </c>
      <c r="T96" s="36"/>
      <c r="U96" s="31">
        <f>B96+C96+D96+E96+F96+G96+H96+I96+J96+K96+L96+M96</f>
        <v>3798008.4299999997</v>
      </c>
    </row>
    <row r="97" spans="1:21" x14ac:dyDescent="0.25">
      <c r="A97" s="20" t="s">
        <v>98</v>
      </c>
      <c r="B97" s="30">
        <f>SUMIF(Source_PL!$A:$A,"Net Operating Income",Source_PL!B:B)</f>
        <v>-541938.17999999993</v>
      </c>
      <c r="C97" s="30">
        <f>SUMIF(Source_PL!$A:$A,"Net Operating Income",Source_PL!C:C)</f>
        <v>-173718.43999999992</v>
      </c>
      <c r="D97" s="30">
        <f>SUMIF(Source_PL!$A:$A,"Net Operating Income",Source_PL!D:D)</f>
        <v>239763.25000000006</v>
      </c>
      <c r="E97" s="30">
        <f>SUMIF(Source_PL!$A:$A,"Net Operating Income",Source_PL!E:E)</f>
        <v>-43761.250000000087</v>
      </c>
      <c r="F97" s="30">
        <f>SUMIF(Source_PL!$A:$A,"Net Operating Income",Source_PL!F:F)</f>
        <v>74515.73000000004</v>
      </c>
      <c r="G97" s="30">
        <f>SUMIF(Source_PL!$A:$A,"Net Operating Income",Source_PL!G:G)</f>
        <v>13486.590000000084</v>
      </c>
      <c r="H97" s="30">
        <f>SUMIF(Source_PL!$A:$A,"Net Operating Income",Source_PL!H:H)</f>
        <v>-4721.8999999999069</v>
      </c>
      <c r="I97" s="30">
        <f>SUMIF(Source_PL!$A:$A,"Net Operating Income",Source_PL!I:I)</f>
        <v>-82622.280000000144</v>
      </c>
      <c r="J97" s="30">
        <f>SUMIF(Source_PL!$A:$A,"Net Operating Income",Source_PL!J:J)</f>
        <v>55609.870000000054</v>
      </c>
      <c r="K97" s="30">
        <f>SUMIF(Source_PL!$A:$A,"Net Operating Income",Source_PL!K:K)</f>
        <v>-100669.09000000003</v>
      </c>
      <c r="L97" s="30">
        <f>SUMIF(Source_PL!$A:$A,"Net Operating Income",Source_PL!L:L)</f>
        <v>86865.290000000037</v>
      </c>
      <c r="M97" s="30">
        <f>SUMIF(Source_PL!$A:$A,"Net Operating Income",Source_PL!M:M)</f>
        <v>-118345.68000000017</v>
      </c>
      <c r="N97" s="22" t="str">
        <f>IFERROR(LOOKUP(2,1/((Notes!$A$2:$A$100=TRIM($A97))*(Notes!$B$2:$B$100=Menu!$C$7)),Notes!$C$2:$C$100),"")</f>
        <v/>
      </c>
      <c r="O97" s="36"/>
      <c r="P97" s="30">
        <v>0</v>
      </c>
      <c r="Q97" s="30">
        <f>SUM(B97:M97)</f>
        <v>-595536.08999999985</v>
      </c>
      <c r="R97" s="30">
        <f>Q97-P97</f>
        <v>-595536.08999999985</v>
      </c>
      <c r="S97" s="33">
        <f>IFERROR(R97/P97,0)</f>
        <v>0</v>
      </c>
      <c r="T97" s="36"/>
      <c r="U97" s="30">
        <f>B97+C97+D97+E97+F97+G97+H97+I97+J97+K97+L97+M97</f>
        <v>-595536.08999999985</v>
      </c>
    </row>
    <row r="98" spans="1:21" x14ac:dyDescent="0.25">
      <c r="A98" s="20" t="s">
        <v>99</v>
      </c>
      <c r="B98" s="30">
        <f>SUMIF(Source_PL!$A:$A,"Other Income",Source_PL!B:B)</f>
        <v>0</v>
      </c>
      <c r="C98" s="30">
        <f>SUMIF(Source_PL!$A:$A,"Other Income",Source_PL!C:C)</f>
        <v>0</v>
      </c>
      <c r="D98" s="30">
        <f>SUMIF(Source_PL!$A:$A,"Other Income",Source_PL!D:D)</f>
        <v>0</v>
      </c>
      <c r="E98" s="30">
        <f>SUMIF(Source_PL!$A:$A,"Other Income",Source_PL!E:E)</f>
        <v>0</v>
      </c>
      <c r="F98" s="30">
        <f>SUMIF(Source_PL!$A:$A,"Other Income",Source_PL!F:F)</f>
        <v>0</v>
      </c>
      <c r="G98" s="30">
        <f>SUMIF(Source_PL!$A:$A,"Other Income",Source_PL!G:G)</f>
        <v>0</v>
      </c>
      <c r="H98" s="30">
        <f>SUMIF(Source_PL!$A:$A,"Other Income",Source_PL!H:H)</f>
        <v>0</v>
      </c>
      <c r="I98" s="30">
        <f>SUMIF(Source_PL!$A:$A,"Other Income",Source_PL!I:I)</f>
        <v>0</v>
      </c>
      <c r="J98" s="30">
        <f>SUMIF(Source_PL!$A:$A,"Other Income",Source_PL!J:J)</f>
        <v>0</v>
      </c>
      <c r="K98" s="30">
        <f>SUMIF(Source_PL!$A:$A,"Other Income",Source_PL!K:K)</f>
        <v>0</v>
      </c>
      <c r="L98" s="30">
        <f>SUMIF(Source_PL!$A:$A,"Other Income",Source_PL!L:L)</f>
        <v>0</v>
      </c>
      <c r="M98" s="30">
        <f>SUMIF(Source_PL!$A:$A,"Other Income",Source_PL!M:M)</f>
        <v>0</v>
      </c>
      <c r="N98" s="22" t="str">
        <f>IFERROR(LOOKUP(2,1/((Notes!$A$2:$A$100=TRIM($A98))*(Notes!$B$2:$B$100=Menu!$C$7)),Notes!$C$2:$C$100),"")</f>
        <v/>
      </c>
      <c r="O98" s="36"/>
      <c r="P98" s="30">
        <v>0</v>
      </c>
      <c r="Q98" s="30">
        <f>SUM(B98:M98)</f>
        <v>0</v>
      </c>
      <c r="R98" s="30">
        <f>Q98-P98</f>
        <v>0</v>
      </c>
      <c r="S98" s="33">
        <f>IFERROR(R98/P98,0)</f>
        <v>0</v>
      </c>
      <c r="T98" s="36"/>
      <c r="U98" s="30">
        <f>B98+C98+D98+E98+F98+G98+H98+I98+J98+K98+L98+M98</f>
        <v>0</v>
      </c>
    </row>
    <row r="99" spans="1:21" x14ac:dyDescent="0.25">
      <c r="A99" s="20" t="s">
        <v>100</v>
      </c>
      <c r="B99" s="30">
        <f>SUMIF(Source_PL!$A:$A,"7000 Other Income",Source_PL!B:B)</f>
        <v>1469</v>
      </c>
      <c r="C99" s="30">
        <f>SUMIF(Source_PL!$A:$A,"7000 Other Income",Source_PL!C:C)</f>
        <v>0</v>
      </c>
      <c r="D99" s="30">
        <f>SUMIF(Source_PL!$A:$A,"7000 Other Income",Source_PL!D:D)</f>
        <v>0</v>
      </c>
      <c r="E99" s="30">
        <f>SUMIF(Source_PL!$A:$A,"7000 Other Income",Source_PL!E:E)</f>
        <v>0</v>
      </c>
      <c r="F99" s="30">
        <f>SUMIF(Source_PL!$A:$A,"7000 Other Income",Source_PL!F:F)</f>
        <v>0</v>
      </c>
      <c r="G99" s="30">
        <f>SUMIF(Source_PL!$A:$A,"7000 Other Income",Source_PL!G:G)</f>
        <v>0</v>
      </c>
      <c r="H99" s="30">
        <f>SUMIF(Source_PL!$A:$A,"7000 Other Income",Source_PL!H:H)</f>
        <v>0</v>
      </c>
      <c r="I99" s="30">
        <f>SUMIF(Source_PL!$A:$A,"7000 Other Income",Source_PL!I:I)</f>
        <v>0</v>
      </c>
      <c r="J99" s="30">
        <f>SUMIF(Source_PL!$A:$A,"7000 Other Income",Source_PL!J:J)</f>
        <v>0</v>
      </c>
      <c r="K99" s="30">
        <f>SUMIF(Source_PL!$A:$A,"7000 Other Income",Source_PL!K:K)</f>
        <v>41273.56</v>
      </c>
      <c r="L99" s="30">
        <f>SUMIF(Source_PL!$A:$A,"7000 Other Income",Source_PL!L:L)</f>
        <v>0</v>
      </c>
      <c r="M99" s="30">
        <f>SUMIF(Source_PL!$A:$A,"7000 Other Income",Source_PL!M:M)</f>
        <v>0</v>
      </c>
      <c r="N99" s="22" t="str">
        <f>IFERROR(LOOKUP(2,1/((Notes!$A$2:$A$100=TRIM($A99))*(Notes!$B$2:$B$100=Menu!$C$7)),Notes!$C$2:$C$100),"")</f>
        <v/>
      </c>
      <c r="O99" s="36"/>
      <c r="P99" s="30">
        <v>0</v>
      </c>
      <c r="Q99" s="30">
        <f>SUM(B99:M99)</f>
        <v>42742.559999999998</v>
      </c>
      <c r="R99" s="30">
        <f>Q99-P99</f>
        <v>42742.559999999998</v>
      </c>
      <c r="S99" s="33">
        <f>IFERROR(R99/P99,0)</f>
        <v>0</v>
      </c>
      <c r="T99" s="36"/>
      <c r="U99" s="30">
        <f>B99+C99+D99+E99+F99+G99+H99+I99+J99+K99+L99+M99</f>
        <v>42742.559999999998</v>
      </c>
    </row>
    <row r="100" spans="1:21" x14ac:dyDescent="0.25">
      <c r="A100" s="23" t="s">
        <v>101</v>
      </c>
      <c r="B100" s="31">
        <f>SUMIF(Source_PL!$A:$A,"Total for Other Income",Source_PL!B:B)</f>
        <v>1469</v>
      </c>
      <c r="C100" s="31">
        <f>SUMIF(Source_PL!$A:$A,"Total for Other Income",Source_PL!C:C)</f>
        <v>0</v>
      </c>
      <c r="D100" s="31">
        <f>SUMIF(Source_PL!$A:$A,"Total for Other Income",Source_PL!D:D)</f>
        <v>0</v>
      </c>
      <c r="E100" s="31">
        <f>SUMIF(Source_PL!$A:$A,"Total for Other Income",Source_PL!E:E)</f>
        <v>0</v>
      </c>
      <c r="F100" s="31">
        <f>SUMIF(Source_PL!$A:$A,"Total for Other Income",Source_PL!F:F)</f>
        <v>0</v>
      </c>
      <c r="G100" s="31">
        <f>SUMIF(Source_PL!$A:$A,"Total for Other Income",Source_PL!G:G)</f>
        <v>0</v>
      </c>
      <c r="H100" s="31">
        <f>SUMIF(Source_PL!$A:$A,"Total for Other Income",Source_PL!H:H)</f>
        <v>0</v>
      </c>
      <c r="I100" s="31">
        <f>SUMIF(Source_PL!$A:$A,"Total for Other Income",Source_PL!I:I)</f>
        <v>0</v>
      </c>
      <c r="J100" s="31">
        <f>SUMIF(Source_PL!$A:$A,"Total for Other Income",Source_PL!J:J)</f>
        <v>0</v>
      </c>
      <c r="K100" s="31">
        <f>SUMIF(Source_PL!$A:$A,"Total for Other Income",Source_PL!K:K)</f>
        <v>41273.56</v>
      </c>
      <c r="L100" s="31">
        <f>SUMIF(Source_PL!$A:$A,"Total for Other Income",Source_PL!L:L)</f>
        <v>0</v>
      </c>
      <c r="M100" s="31">
        <f>SUMIF(Source_PL!$A:$A,"Total for Other Income",Source_PL!M:M)</f>
        <v>0</v>
      </c>
      <c r="N100" s="25" t="str">
        <f>IFERROR(LOOKUP(2,1/((Notes!$A$2:$A$100=TRIM($A100))*(Notes!$B$2:$B$100=Menu!$C$7)),Notes!$C$2:$C$100),"")</f>
        <v/>
      </c>
      <c r="O100" s="36"/>
      <c r="P100" s="31">
        <v>0</v>
      </c>
      <c r="Q100" s="31">
        <f>SUM(B100:M100)</f>
        <v>42742.559999999998</v>
      </c>
      <c r="R100" s="31">
        <f>Q100-P100</f>
        <v>42742.559999999998</v>
      </c>
      <c r="S100" s="34">
        <f>IFERROR(R100/P100,0)</f>
        <v>0</v>
      </c>
      <c r="T100" s="36"/>
      <c r="U100" s="31">
        <f>B100+C100+D100+E100+F100+G100+H100+I100+J100+K100+L100+M100</f>
        <v>42742.559999999998</v>
      </c>
    </row>
    <row r="101" spans="1:21" x14ac:dyDescent="0.25">
      <c r="A101" s="20" t="s">
        <v>102</v>
      </c>
      <c r="B101" s="30">
        <f>SUMIF(Source_PL!$A:$A,"Other Expenses",Source_PL!B:B)</f>
        <v>0</v>
      </c>
      <c r="C101" s="30">
        <f>SUMIF(Source_PL!$A:$A,"Other Expenses",Source_PL!C:C)</f>
        <v>0</v>
      </c>
      <c r="D101" s="30">
        <f>SUMIF(Source_PL!$A:$A,"Other Expenses",Source_PL!D:D)</f>
        <v>0</v>
      </c>
      <c r="E101" s="30">
        <f>SUMIF(Source_PL!$A:$A,"Other Expenses",Source_PL!E:E)</f>
        <v>0</v>
      </c>
      <c r="F101" s="30">
        <f>SUMIF(Source_PL!$A:$A,"Other Expenses",Source_PL!F:F)</f>
        <v>0</v>
      </c>
      <c r="G101" s="30">
        <f>SUMIF(Source_PL!$A:$A,"Other Expenses",Source_PL!G:G)</f>
        <v>0</v>
      </c>
      <c r="H101" s="30">
        <f>SUMIF(Source_PL!$A:$A,"Other Expenses",Source_PL!H:H)</f>
        <v>0</v>
      </c>
      <c r="I101" s="30">
        <f>SUMIF(Source_PL!$A:$A,"Other Expenses",Source_PL!I:I)</f>
        <v>0</v>
      </c>
      <c r="J101" s="30">
        <f>SUMIF(Source_PL!$A:$A,"Other Expenses",Source_PL!J:J)</f>
        <v>0</v>
      </c>
      <c r="K101" s="30">
        <f>SUMIF(Source_PL!$A:$A,"Other Expenses",Source_PL!K:K)</f>
        <v>0</v>
      </c>
      <c r="L101" s="30">
        <f>SUMIF(Source_PL!$A:$A,"Other Expenses",Source_PL!L:L)</f>
        <v>0</v>
      </c>
      <c r="M101" s="30">
        <f>SUMIF(Source_PL!$A:$A,"Other Expenses",Source_PL!M:M)</f>
        <v>0</v>
      </c>
      <c r="N101" s="22" t="str">
        <f>IFERROR(LOOKUP(2,1/((Notes!$A$2:$A$100=TRIM($A101))*(Notes!$B$2:$B$100=Menu!$C$7)),Notes!$C$2:$C$100),"")</f>
        <v/>
      </c>
      <c r="O101" s="36"/>
      <c r="P101" s="30">
        <v>0</v>
      </c>
      <c r="Q101" s="30">
        <f>SUM(B101:M101)</f>
        <v>0</v>
      </c>
      <c r="R101" s="30">
        <f>Q101-P101</f>
        <v>0</v>
      </c>
      <c r="S101" s="33">
        <f>IFERROR(R101/P101,0)</f>
        <v>0</v>
      </c>
      <c r="T101" s="36"/>
      <c r="U101" s="30">
        <f>B101+C101+D101+E101+F101+G101+H101+I101+J101+K101+L101+M101</f>
        <v>0</v>
      </c>
    </row>
    <row r="102" spans="1:21" x14ac:dyDescent="0.25">
      <c r="A102" s="20" t="s">
        <v>103</v>
      </c>
      <c r="B102" s="30">
        <f>SUMIF(Source_PL!$A:$A,"8500 Loss(Gain) on Asset Disposal",Source_PL!B:B)</f>
        <v>0</v>
      </c>
      <c r="C102" s="30">
        <f>SUMIF(Source_PL!$A:$A,"8500 Loss(Gain) on Asset Disposal",Source_PL!C:C)</f>
        <v>0</v>
      </c>
      <c r="D102" s="30">
        <f>SUMIF(Source_PL!$A:$A,"8500 Loss(Gain) on Asset Disposal",Source_PL!D:D)</f>
        <v>0</v>
      </c>
      <c r="E102" s="30">
        <f>SUMIF(Source_PL!$A:$A,"8500 Loss(Gain) on Asset Disposal",Source_PL!E:E)</f>
        <v>0</v>
      </c>
      <c r="F102" s="30">
        <f>SUMIF(Source_PL!$A:$A,"8500 Loss(Gain) on Asset Disposal",Source_PL!F:F)</f>
        <v>0</v>
      </c>
      <c r="G102" s="30">
        <f>SUMIF(Source_PL!$A:$A,"8500 Loss(Gain) on Asset Disposal",Source_PL!G:G)</f>
        <v>0</v>
      </c>
      <c r="H102" s="30">
        <f>SUMIF(Source_PL!$A:$A,"8500 Loss(Gain) on Asset Disposal",Source_PL!H:H)</f>
        <v>0</v>
      </c>
      <c r="I102" s="30">
        <f>SUMIF(Source_PL!$A:$A,"8500 Loss(Gain) on Asset Disposal",Source_PL!I:I)</f>
        <v>0</v>
      </c>
      <c r="J102" s="30">
        <f>SUMIF(Source_PL!$A:$A,"8500 Loss(Gain) on Asset Disposal",Source_PL!J:J)</f>
        <v>0</v>
      </c>
      <c r="K102" s="30">
        <f>SUMIF(Source_PL!$A:$A,"8500 Loss(Gain) on Asset Disposal",Source_PL!K:K)</f>
        <v>0</v>
      </c>
      <c r="L102" s="30">
        <f>SUMIF(Source_PL!$A:$A,"8500 Loss(Gain) on Asset Disposal",Source_PL!L:L)</f>
        <v>0</v>
      </c>
      <c r="M102" s="30">
        <f>SUMIF(Source_PL!$A:$A,"8500 Loss(Gain) on Asset Disposal",Source_PL!M:M)</f>
        <v>71836.210000000006</v>
      </c>
      <c r="N102" s="22" t="str">
        <f>IFERROR(LOOKUP(2,1/((Notes!$A$2:$A$100=TRIM($A102))*(Notes!$B$2:$B$100=Menu!$C$7)),Notes!$C$2:$C$100),"")</f>
        <v/>
      </c>
      <c r="O102" s="36"/>
      <c r="P102" s="30">
        <v>0</v>
      </c>
      <c r="Q102" s="30">
        <f>SUM(B102:M102)</f>
        <v>71836.210000000006</v>
      </c>
      <c r="R102" s="30">
        <f>Q102-P102</f>
        <v>71836.210000000006</v>
      </c>
      <c r="S102" s="33">
        <f>IFERROR(R102/P102,0)</f>
        <v>0</v>
      </c>
      <c r="T102" s="36"/>
      <c r="U102" s="30">
        <f>B102+C102+D102+E102+F102+G102+H102+I102+J102+K102+L102+M102</f>
        <v>71836.210000000006</v>
      </c>
    </row>
    <row r="103" spans="1:21" x14ac:dyDescent="0.25">
      <c r="A103" s="23" t="s">
        <v>104</v>
      </c>
      <c r="B103" s="31">
        <f>SUMIF(Source_PL!$A:$A,"Total for Other Expenses",Source_PL!B:B)</f>
        <v>0</v>
      </c>
      <c r="C103" s="31">
        <f>SUMIF(Source_PL!$A:$A,"Total for Other Expenses",Source_PL!C:C)</f>
        <v>0</v>
      </c>
      <c r="D103" s="31">
        <f>SUMIF(Source_PL!$A:$A,"Total for Other Expenses",Source_PL!D:D)</f>
        <v>0</v>
      </c>
      <c r="E103" s="31">
        <f>SUMIF(Source_PL!$A:$A,"Total for Other Expenses",Source_PL!E:E)</f>
        <v>0</v>
      </c>
      <c r="F103" s="31">
        <f>SUMIF(Source_PL!$A:$A,"Total for Other Expenses",Source_PL!F:F)</f>
        <v>0</v>
      </c>
      <c r="G103" s="31">
        <f>SUMIF(Source_PL!$A:$A,"Total for Other Expenses",Source_PL!G:G)</f>
        <v>0</v>
      </c>
      <c r="H103" s="31">
        <f>SUMIF(Source_PL!$A:$A,"Total for Other Expenses",Source_PL!H:H)</f>
        <v>0</v>
      </c>
      <c r="I103" s="31">
        <f>SUMIF(Source_PL!$A:$A,"Total for Other Expenses",Source_PL!I:I)</f>
        <v>0</v>
      </c>
      <c r="J103" s="31">
        <f>SUMIF(Source_PL!$A:$A,"Total for Other Expenses",Source_PL!J:J)</f>
        <v>0</v>
      </c>
      <c r="K103" s="31">
        <f>SUMIF(Source_PL!$A:$A,"Total for Other Expenses",Source_PL!K:K)</f>
        <v>0</v>
      </c>
      <c r="L103" s="31">
        <f>SUMIF(Source_PL!$A:$A,"Total for Other Expenses",Source_PL!L:L)</f>
        <v>0</v>
      </c>
      <c r="M103" s="31">
        <f>SUMIF(Source_PL!$A:$A,"Total for Other Expenses",Source_PL!M:M)</f>
        <v>71836.210000000006</v>
      </c>
      <c r="N103" s="25" t="str">
        <f>IFERROR(LOOKUP(2,1/((Notes!$A$2:$A$100=TRIM($A103))*(Notes!$B$2:$B$100=Menu!$C$7)),Notes!$C$2:$C$100),"")</f>
        <v/>
      </c>
      <c r="O103" s="36"/>
      <c r="P103" s="31">
        <v>0</v>
      </c>
      <c r="Q103" s="31">
        <f>SUM(B103:M103)</f>
        <v>71836.210000000006</v>
      </c>
      <c r="R103" s="31">
        <f>Q103-P103</f>
        <v>71836.210000000006</v>
      </c>
      <c r="S103" s="34">
        <f>IFERROR(R103/P103,0)</f>
        <v>0</v>
      </c>
      <c r="T103" s="36"/>
      <c r="U103" s="31">
        <f>B103+C103+D103+E103+F103+G103+H103+I103+J103+K103+L103+M103</f>
        <v>71836.210000000006</v>
      </c>
    </row>
    <row r="104" spans="1:21" ht="15.75" thickBot="1" x14ac:dyDescent="0.3">
      <c r="A104" s="20" t="s">
        <v>105</v>
      </c>
      <c r="B104" s="30">
        <f>SUMIF(Source_PL!$A:$A,"Net Other Income",Source_PL!B:B)</f>
        <v>1469</v>
      </c>
      <c r="C104" s="30">
        <f>SUMIF(Source_PL!$A:$A,"Net Other Income",Source_PL!C:C)</f>
        <v>0</v>
      </c>
      <c r="D104" s="30">
        <f>SUMIF(Source_PL!$A:$A,"Net Other Income",Source_PL!D:D)</f>
        <v>0</v>
      </c>
      <c r="E104" s="30">
        <f>SUMIF(Source_PL!$A:$A,"Net Other Income",Source_PL!E:E)</f>
        <v>0</v>
      </c>
      <c r="F104" s="30">
        <f>SUMIF(Source_PL!$A:$A,"Net Other Income",Source_PL!F:F)</f>
        <v>0</v>
      </c>
      <c r="G104" s="30">
        <f>SUMIF(Source_PL!$A:$A,"Net Other Income",Source_PL!G:G)</f>
        <v>0</v>
      </c>
      <c r="H104" s="30">
        <f>SUMIF(Source_PL!$A:$A,"Net Other Income",Source_PL!H:H)</f>
        <v>0</v>
      </c>
      <c r="I104" s="30">
        <f>SUMIF(Source_PL!$A:$A,"Net Other Income",Source_PL!I:I)</f>
        <v>0</v>
      </c>
      <c r="J104" s="30">
        <f>SUMIF(Source_PL!$A:$A,"Net Other Income",Source_PL!J:J)</f>
        <v>0</v>
      </c>
      <c r="K104" s="30">
        <f>SUMIF(Source_PL!$A:$A,"Net Other Income",Source_PL!K:K)</f>
        <v>41273.56</v>
      </c>
      <c r="L104" s="30">
        <f>SUMIF(Source_PL!$A:$A,"Net Other Income",Source_PL!L:L)</f>
        <v>0</v>
      </c>
      <c r="M104" s="30">
        <f>SUMIF(Source_PL!$A:$A,"Net Other Income",Source_PL!M:M)</f>
        <v>-71836.210000000006</v>
      </c>
      <c r="N104" s="22" t="str">
        <f>IFERROR(LOOKUP(2,1/((Notes!$A$2:$A$100=TRIM($A104))*(Notes!$B$2:$B$100=Menu!$C$7)),Notes!$C$2:$C$100),"")</f>
        <v/>
      </c>
      <c r="O104" s="36"/>
      <c r="P104" s="30">
        <v>0</v>
      </c>
      <c r="Q104" s="30">
        <f>SUM(B104:M104)</f>
        <v>-29093.650000000009</v>
      </c>
      <c r="R104" s="30">
        <f>Q104-P104</f>
        <v>-29093.650000000009</v>
      </c>
      <c r="S104" s="33">
        <f>IFERROR(R104/P104,0)</f>
        <v>0</v>
      </c>
      <c r="T104" s="36"/>
      <c r="U104" s="30">
        <f>B104+C104+D104+E104+F104+G104+H104+I104+J104+K104+L104+M104</f>
        <v>-29093.650000000009</v>
      </c>
    </row>
    <row r="105" spans="1:21" ht="15.75" thickBot="1" x14ac:dyDescent="0.3">
      <c r="A105" s="26" t="s">
        <v>106</v>
      </c>
      <c r="B105" s="32">
        <f>SUMIF(Source_PL!$A:$A,"Net Income",Source_PL!B:B)</f>
        <v>-540469.17999999993</v>
      </c>
      <c r="C105" s="32">
        <f>SUMIF(Source_PL!$A:$A,"Net Income",Source_PL!C:C)</f>
        <v>-173718.43999999992</v>
      </c>
      <c r="D105" s="32">
        <f>SUMIF(Source_PL!$A:$A,"Net Income",Source_PL!D:D)</f>
        <v>239763.25000000006</v>
      </c>
      <c r="E105" s="32">
        <f>SUMIF(Source_PL!$A:$A,"Net Income",Source_PL!E:E)</f>
        <v>-43761.250000000087</v>
      </c>
      <c r="F105" s="32">
        <f>SUMIF(Source_PL!$A:$A,"Net Income",Source_PL!F:F)</f>
        <v>74515.73000000004</v>
      </c>
      <c r="G105" s="32">
        <f>SUMIF(Source_PL!$A:$A,"Net Income",Source_PL!G:G)</f>
        <v>13486.590000000084</v>
      </c>
      <c r="H105" s="32">
        <f>SUMIF(Source_PL!$A:$A,"Net Income",Source_PL!H:H)</f>
        <v>-4721.8999999999069</v>
      </c>
      <c r="I105" s="32">
        <f>SUMIF(Source_PL!$A:$A,"Net Income",Source_PL!I:I)</f>
        <v>-82622.280000000144</v>
      </c>
      <c r="J105" s="32">
        <f>SUMIF(Source_PL!$A:$A,"Net Income",Source_PL!J:J)</f>
        <v>55609.870000000054</v>
      </c>
      <c r="K105" s="32">
        <f>SUMIF(Source_PL!$A:$A,"Net Income",Source_PL!K:K)</f>
        <v>-59395.530000000028</v>
      </c>
      <c r="L105" s="32">
        <f>SUMIF(Source_PL!$A:$A,"Net Income",Source_PL!L:L)</f>
        <v>86865.290000000037</v>
      </c>
      <c r="M105" s="32">
        <f>SUMIF(Source_PL!$A:$A,"Net Income",Source_PL!M:M)</f>
        <v>-190181.89000000019</v>
      </c>
      <c r="N105" s="27" t="str">
        <f>IFERROR(LOOKUP(2,1/((Notes!$A$2:$A$100=TRIM($A105))*(Notes!$B$2:$B$100=Menu!$C$7)),Notes!$C$2:$C$100),"")</f>
        <v/>
      </c>
      <c r="O105" s="36"/>
      <c r="P105" s="32">
        <v>0</v>
      </c>
      <c r="Q105" s="32">
        <f>SUM(B105:M105)</f>
        <v>-624629.74</v>
      </c>
      <c r="R105" s="32">
        <f>Q105-P105</f>
        <v>-624629.74</v>
      </c>
      <c r="S105" s="35">
        <f>IFERROR(R105/P105,0)</f>
        <v>0</v>
      </c>
      <c r="T105" s="36"/>
      <c r="U105" s="32">
        <f>B105+C105+D105+E105+F105+G105+H105+I105+J105+K105+L105+M105</f>
        <v>-624629.74</v>
      </c>
    </row>
    <row r="106" spans="1:21" ht="15.75" thickTop="1" x14ac:dyDescent="0.25">
      <c r="O106" s="36"/>
      <c r="T106" s="36"/>
    </row>
    <row r="107" spans="1:21" x14ac:dyDescent="0.25">
      <c r="O107" s="36"/>
      <c r="T107" s="36"/>
    </row>
    <row r="108" spans="1:21" x14ac:dyDescent="0.25">
      <c r="A108" s="37" t="s">
        <v>281</v>
      </c>
      <c r="O108" s="36"/>
      <c r="T108" s="36"/>
    </row>
    <row r="109" spans="1:21" x14ac:dyDescent="0.25">
      <c r="A109" s="1" t="s">
        <v>106</v>
      </c>
      <c r="B109" s="6">
        <f>B105</f>
        <v>-540469.17999999993</v>
      </c>
      <c r="C109" s="6">
        <f>C105</f>
        <v>-173718.43999999992</v>
      </c>
      <c r="D109" s="6">
        <f>D105</f>
        <v>239763.25000000006</v>
      </c>
      <c r="E109" s="6">
        <f>E105</f>
        <v>-43761.250000000087</v>
      </c>
      <c r="F109" s="6">
        <f>F105</f>
        <v>74515.73000000004</v>
      </c>
      <c r="G109" s="6">
        <f>G105</f>
        <v>13486.590000000084</v>
      </c>
      <c r="H109" s="6">
        <f>H105</f>
        <v>-4721.8999999999069</v>
      </c>
      <c r="I109" s="6">
        <f>I105</f>
        <v>-82622.280000000144</v>
      </c>
      <c r="J109" s="6">
        <f>J105</f>
        <v>55609.870000000054</v>
      </c>
      <c r="K109" s="6">
        <f>K105</f>
        <v>-59395.530000000028</v>
      </c>
      <c r="L109" s="6">
        <f>L105</f>
        <v>86865.290000000037</v>
      </c>
      <c r="M109" s="6">
        <f>M105</f>
        <v>-190181.89000000019</v>
      </c>
      <c r="O109" s="36"/>
      <c r="T109" s="36"/>
    </row>
    <row r="110" spans="1:21" x14ac:dyDescent="0.25">
      <c r="A110" s="1" t="s">
        <v>282</v>
      </c>
      <c r="B110" s="6">
        <f>SUMIF(Source_PL!$A:$A,"*Interest*",Source_PL!B:B)*-1</f>
        <v>-5088.1400000000003</v>
      </c>
      <c r="C110" s="6">
        <f>SUMIF(Source_PL!$A:$A,"*Interest*",Source_PL!C:C)*-1</f>
        <v>-11421.73</v>
      </c>
      <c r="D110" s="6">
        <f>SUMIF(Source_PL!$A:$A,"*Interest*",Source_PL!D:D)*-1</f>
        <v>-11097</v>
      </c>
      <c r="E110" s="6">
        <f>SUMIF(Source_PL!$A:$A,"*Interest*",Source_PL!E:E)*-1</f>
        <v>-10390.030000000001</v>
      </c>
      <c r="F110" s="6">
        <f>SUMIF(Source_PL!$A:$A,"*Interest*",Source_PL!F:F)*-1</f>
        <v>-9624.86</v>
      </c>
      <c r="G110" s="6">
        <f>SUMIF(Source_PL!$A:$A,"*Interest*",Source_PL!G:G)*-1</f>
        <v>-8125.67</v>
      </c>
      <c r="H110" s="6">
        <f>SUMIF(Source_PL!$A:$A,"*Interest*",Source_PL!H:H)*-1</f>
        <v>-8759.39</v>
      </c>
      <c r="I110" s="6">
        <f>SUMIF(Source_PL!$A:$A,"*Interest*",Source_PL!I:I)*-1</f>
        <v>6056.77</v>
      </c>
      <c r="J110" s="6">
        <f>SUMIF(Source_PL!$A:$A,"*Interest*",Source_PL!J:J)*-1</f>
        <v>-7768.49</v>
      </c>
      <c r="K110" s="6">
        <f>SUMIF(Source_PL!$A:$A,"*Interest*",Source_PL!K:K)*-1</f>
        <v>-8443.31</v>
      </c>
      <c r="L110" s="6">
        <f>SUMIF(Source_PL!$A:$A,"*Interest*",Source_PL!L:L)*-1</f>
        <v>-6688.87</v>
      </c>
      <c r="M110" s="6">
        <f>SUMIF(Source_PL!$A:$A,"*Interest*",Source_PL!M:M)*-1</f>
        <v>-5698.23</v>
      </c>
      <c r="O110" s="36"/>
      <c r="T110" s="36"/>
    </row>
    <row r="111" spans="1:21" x14ac:dyDescent="0.25">
      <c r="A111" s="1" t="s">
        <v>283</v>
      </c>
      <c r="B111" s="6">
        <f>SUMIF(Source_PL!$A:$A,"*Tax*",Source_PL!B:B)*-1</f>
        <v>-12735.11</v>
      </c>
      <c r="C111" s="6">
        <f>SUMIF(Source_PL!$A:$A,"*Tax*",Source_PL!C:C)*-1</f>
        <v>-18409.53</v>
      </c>
      <c r="D111" s="6">
        <f>SUMIF(Source_PL!$A:$A,"*Tax*",Source_PL!D:D)*-1</f>
        <v>-22293.52</v>
      </c>
      <c r="E111" s="6">
        <f>SUMIF(Source_PL!$A:$A,"*Tax*",Source_PL!E:E)*-1</f>
        <v>-13347.58</v>
      </c>
      <c r="F111" s="6">
        <f>SUMIF(Source_PL!$A:$A,"*Tax*",Source_PL!F:F)*-1</f>
        <v>-11314.49</v>
      </c>
      <c r="G111" s="6">
        <f>SUMIF(Source_PL!$A:$A,"*Tax*",Source_PL!G:G)*-1</f>
        <v>-10432.57</v>
      </c>
      <c r="H111" s="6">
        <f>SUMIF(Source_PL!$A:$A,"*Tax*",Source_PL!H:H)*-1</f>
        <v>-13589.97</v>
      </c>
      <c r="I111" s="6">
        <f>SUMIF(Source_PL!$A:$A,"*Tax*",Source_PL!I:I)*-1</f>
        <v>-20130.93</v>
      </c>
      <c r="J111" s="6">
        <f>SUMIF(Source_PL!$A:$A,"*Tax*",Source_PL!J:J)*-1</f>
        <v>-14040.390000000001</v>
      </c>
      <c r="K111" s="6">
        <f>SUMIF(Source_PL!$A:$A,"*Tax*",Source_PL!K:K)*-1</f>
        <v>-15739.68</v>
      </c>
      <c r="L111" s="6">
        <f>SUMIF(Source_PL!$A:$A,"*Tax*",Source_PL!L:L)*-1</f>
        <v>-26361.22</v>
      </c>
      <c r="M111" s="6">
        <f>SUMIF(Source_PL!$A:$A,"*Tax*",Source_PL!M:M)*-1</f>
        <v>-26187.38</v>
      </c>
      <c r="O111" s="36"/>
      <c r="T111" s="36"/>
    </row>
    <row r="112" spans="1:21" x14ac:dyDescent="0.25">
      <c r="A112" s="1" t="s">
        <v>284</v>
      </c>
      <c r="B112" s="6">
        <f>SUMIF(Source_PL!$A:$A,"*Deprec*",Source_PL!B:B)*-1+SUMIF(Source_PL!$A:$A,"*Amort*",Source_PL!B:B)*-1</f>
        <v>-154.80000000000001</v>
      </c>
      <c r="C112" s="6">
        <f>SUMIF(Source_PL!$A:$A,"*Deprec*",Source_PL!C:C)*-1+SUMIF(Source_PL!$A:$A,"*Amort*",Source_PL!C:C)*-1</f>
        <v>-19.5</v>
      </c>
      <c r="D112" s="6">
        <f>SUMIF(Source_PL!$A:$A,"*Deprec*",Source_PL!D:D)*-1+SUMIF(Source_PL!$A:$A,"*Amort*",Source_PL!D:D)*-1</f>
        <v>0</v>
      </c>
      <c r="E112" s="6">
        <f>SUMIF(Source_PL!$A:$A,"*Deprec*",Source_PL!E:E)*-1+SUMIF(Source_PL!$A:$A,"*Amort*",Source_PL!E:E)*-1</f>
        <v>0</v>
      </c>
      <c r="F112" s="6">
        <f>SUMIF(Source_PL!$A:$A,"*Deprec*",Source_PL!F:F)*-1+SUMIF(Source_PL!$A:$A,"*Amort*",Source_PL!F:F)*-1</f>
        <v>0</v>
      </c>
      <c r="G112" s="6">
        <f>SUMIF(Source_PL!$A:$A,"*Deprec*",Source_PL!G:G)*-1+SUMIF(Source_PL!$A:$A,"*Amort*",Source_PL!G:G)*-1</f>
        <v>0</v>
      </c>
      <c r="H112" s="6">
        <f>SUMIF(Source_PL!$A:$A,"*Deprec*",Source_PL!H:H)*-1+SUMIF(Source_PL!$A:$A,"*Amort*",Source_PL!H:H)*-1</f>
        <v>0</v>
      </c>
      <c r="I112" s="6">
        <f>SUMIF(Source_PL!$A:$A,"*Deprec*",Source_PL!I:I)*-1+SUMIF(Source_PL!$A:$A,"*Amort*",Source_PL!I:I)*-1</f>
        <v>0</v>
      </c>
      <c r="J112" s="6">
        <f>SUMIF(Source_PL!$A:$A,"*Deprec*",Source_PL!J:J)*-1+SUMIF(Source_PL!$A:$A,"*Amort*",Source_PL!J:J)*-1</f>
        <v>0</v>
      </c>
      <c r="K112" s="6">
        <f>SUMIF(Source_PL!$A:$A,"*Deprec*",Source_PL!K:K)*-1+SUMIF(Source_PL!$A:$A,"*Amort*",Source_PL!K:K)*-1</f>
        <v>0</v>
      </c>
      <c r="L112" s="6">
        <f>SUMIF(Source_PL!$A:$A,"*Deprec*",Source_PL!L:L)*-1+SUMIF(Source_PL!$A:$A,"*Amort*",Source_PL!L:L)*-1</f>
        <v>0</v>
      </c>
      <c r="M112" s="6">
        <f>SUMIF(Source_PL!$A:$A,"*Deprec*",Source_PL!M:M)*-1+SUMIF(Source_PL!$A:$A,"*Amort*",Source_PL!M:M)*-1</f>
        <v>-244502.89</v>
      </c>
      <c r="O112" s="36"/>
      <c r="T112" s="36"/>
    </row>
    <row r="113" spans="1:20" ht="15.75" thickBot="1" x14ac:dyDescent="0.3">
      <c r="A113" s="1" t="s">
        <v>285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O113" s="36"/>
      <c r="T113" s="36"/>
    </row>
    <row r="114" spans="1:20" ht="15.75" thickBot="1" x14ac:dyDescent="0.3">
      <c r="A114" s="38" t="s">
        <v>286</v>
      </c>
      <c r="B114" s="28">
        <f>SUM(B109:B113)</f>
        <v>-558447.23</v>
      </c>
      <c r="C114" s="28">
        <f>SUM(C109:C113)</f>
        <v>-203569.19999999992</v>
      </c>
      <c r="D114" s="28">
        <f>SUM(D109:D113)</f>
        <v>206372.73000000007</v>
      </c>
      <c r="E114" s="28">
        <f>SUM(E109:E113)</f>
        <v>-67498.860000000088</v>
      </c>
      <c r="F114" s="28">
        <f>SUM(F109:F113)</f>
        <v>53576.380000000041</v>
      </c>
      <c r="G114" s="28">
        <f>SUM(G109:G113)</f>
        <v>-5071.649999999916</v>
      </c>
      <c r="H114" s="28">
        <f>SUM(H109:H113)</f>
        <v>-27071.259999999907</v>
      </c>
      <c r="I114" s="28">
        <f>SUM(I109:I113)</f>
        <v>-96696.440000000148</v>
      </c>
      <c r="J114" s="28">
        <f>SUM(J109:J113)</f>
        <v>33800.990000000056</v>
      </c>
      <c r="K114" s="28">
        <f>SUM(K109:K113)</f>
        <v>-83578.520000000019</v>
      </c>
      <c r="L114" s="28">
        <f>SUM(L109:L113)</f>
        <v>53815.200000000041</v>
      </c>
      <c r="M114" s="28">
        <f>SUM(M109:M113)</f>
        <v>-466570.39000000025</v>
      </c>
      <c r="O114" s="36"/>
      <c r="T114" s="36"/>
    </row>
    <row r="115" spans="1:20" ht="16.5" thickTop="1" thickBot="1" x14ac:dyDescent="0.3">
      <c r="O115" s="36"/>
      <c r="T115" s="36"/>
    </row>
    <row r="116" spans="1:20" outlineLevel="1" x14ac:dyDescent="0.25">
      <c r="A116" s="40" t="s">
        <v>287</v>
      </c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2"/>
      <c r="O116" s="36"/>
      <c r="T116" s="36"/>
    </row>
    <row r="117" spans="1:20" outlineLevel="1" x14ac:dyDescent="0.25">
      <c r="A117" s="43" t="s">
        <v>288</v>
      </c>
      <c r="B117" s="44">
        <f>B17</f>
        <v>165123.75</v>
      </c>
      <c r="C117" s="44">
        <f>C17</f>
        <v>121759.1</v>
      </c>
      <c r="D117" s="44">
        <f>D17</f>
        <v>711391.42</v>
      </c>
      <c r="E117" s="44">
        <f>E17</f>
        <v>217033.56000000003</v>
      </c>
      <c r="F117" s="44">
        <f>F17</f>
        <v>391584.49</v>
      </c>
      <c r="G117" s="44">
        <f>G17</f>
        <v>271821.98</v>
      </c>
      <c r="H117" s="44">
        <f>H17</f>
        <v>440913.28</v>
      </c>
      <c r="I117" s="44">
        <f>I17</f>
        <v>574896.40999999992</v>
      </c>
      <c r="J117" s="44">
        <f>J17</f>
        <v>456264.92</v>
      </c>
      <c r="K117" s="44">
        <f>K17</f>
        <v>322167.76</v>
      </c>
      <c r="L117" s="44">
        <f>L17</f>
        <v>595721.19000000006</v>
      </c>
      <c r="M117" s="45">
        <f>M17</f>
        <v>715798.33</v>
      </c>
      <c r="O117" s="36"/>
      <c r="T117" s="36"/>
    </row>
    <row r="118" spans="1:20" outlineLevel="1" x14ac:dyDescent="0.25">
      <c r="A118" s="43" t="s">
        <v>289</v>
      </c>
      <c r="B118" s="44">
        <f>B31</f>
        <v>432117.88999999996</v>
      </c>
      <c r="C118" s="44">
        <f>C31</f>
        <v>42024.28</v>
      </c>
      <c r="D118" s="44">
        <f>D31</f>
        <v>49647.81</v>
      </c>
      <c r="E118" s="44">
        <f>E31</f>
        <v>3558.41</v>
      </c>
      <c r="F118" s="44">
        <f>F31</f>
        <v>33441.97</v>
      </c>
      <c r="G118" s="44">
        <f>G31</f>
        <v>6930.4699999999993</v>
      </c>
      <c r="H118" s="44">
        <f>H31</f>
        <v>129141.66999999998</v>
      </c>
      <c r="I118" s="44">
        <f>I31</f>
        <v>308953.29999999993</v>
      </c>
      <c r="J118" s="44">
        <f>J31</f>
        <v>151306.03</v>
      </c>
      <c r="K118" s="44">
        <f>K31</f>
        <v>189561.76</v>
      </c>
      <c r="L118" s="44">
        <f>L31</f>
        <v>210780.15000000002</v>
      </c>
      <c r="M118" s="45">
        <f>M31</f>
        <v>224540.11</v>
      </c>
      <c r="O118" s="36"/>
      <c r="T118" s="36"/>
    </row>
    <row r="119" spans="1:20" outlineLevel="1" x14ac:dyDescent="0.25">
      <c r="A119" s="43" t="s">
        <v>290</v>
      </c>
      <c r="B119" s="44">
        <f>B96</f>
        <v>274944.03999999998</v>
      </c>
      <c r="C119" s="44">
        <f>C96</f>
        <v>253453.25999999992</v>
      </c>
      <c r="D119" s="44">
        <f>D96</f>
        <v>421980.36000000004</v>
      </c>
      <c r="E119" s="44">
        <f>E96</f>
        <v>257236.40000000011</v>
      </c>
      <c r="F119" s="44">
        <f>F96</f>
        <v>283626.78999999998</v>
      </c>
      <c r="G119" s="44">
        <f>G96</f>
        <v>251404.91999999993</v>
      </c>
      <c r="H119" s="44">
        <f>H96</f>
        <v>316493.50999999995</v>
      </c>
      <c r="I119" s="44">
        <f>I96</f>
        <v>348565.39000000013</v>
      </c>
      <c r="J119" s="44">
        <f>J96</f>
        <v>249349.01999999996</v>
      </c>
      <c r="K119" s="44">
        <f>K96</f>
        <v>233275.09000000003</v>
      </c>
      <c r="L119" s="44">
        <f>L96</f>
        <v>298075.75</v>
      </c>
      <c r="M119" s="45">
        <f>M96</f>
        <v>609603.90000000014</v>
      </c>
      <c r="O119" s="36"/>
      <c r="T119" s="36"/>
    </row>
    <row r="120" spans="1:20" ht="15.75" outlineLevel="1" thickBot="1" x14ac:dyDescent="0.3">
      <c r="A120" s="49" t="s">
        <v>291</v>
      </c>
      <c r="B120" s="50">
        <f>B105</f>
        <v>-540469.17999999993</v>
      </c>
      <c r="C120" s="50">
        <f>C105</f>
        <v>-173718.43999999992</v>
      </c>
      <c r="D120" s="50">
        <f>D105</f>
        <v>239763.25000000006</v>
      </c>
      <c r="E120" s="50">
        <f>E105</f>
        <v>-43761.250000000087</v>
      </c>
      <c r="F120" s="50">
        <f>F105</f>
        <v>74515.73000000004</v>
      </c>
      <c r="G120" s="50">
        <f>G105</f>
        <v>13486.590000000084</v>
      </c>
      <c r="H120" s="50">
        <f>H105</f>
        <v>-4721.8999999999069</v>
      </c>
      <c r="I120" s="50">
        <f>I105</f>
        <v>-82622.280000000144</v>
      </c>
      <c r="J120" s="50">
        <f>J105</f>
        <v>55609.870000000054</v>
      </c>
      <c r="K120" s="50">
        <f>K105</f>
        <v>-59395.530000000028</v>
      </c>
      <c r="L120" s="50">
        <f>L105</f>
        <v>86865.290000000037</v>
      </c>
      <c r="M120" s="51">
        <f>M105</f>
        <v>-190181.89000000019</v>
      </c>
      <c r="O120" s="36"/>
      <c r="T120" s="36"/>
    </row>
    <row r="121" spans="1:20" outlineLevel="1" x14ac:dyDescent="0.25">
      <c r="A121" s="52" t="s">
        <v>292</v>
      </c>
      <c r="B121" s="53">
        <f>SUMIF(Source_PL!$A:$A,"Total for Income",Source_PL!B:B)</f>
        <v>165123.75</v>
      </c>
      <c r="C121" s="53">
        <f>SUMIF(Source_PL!$A:$A,"Total for Income",Source_PL!C:C)</f>
        <v>121759.1</v>
      </c>
      <c r="D121" s="53">
        <f>SUMIF(Source_PL!$A:$A,"Total for Income",Source_PL!D:D)</f>
        <v>711391.42</v>
      </c>
      <c r="E121" s="53">
        <f>SUMIF(Source_PL!$A:$A,"Total for Income",Source_PL!E:E)</f>
        <v>217033.56000000003</v>
      </c>
      <c r="F121" s="53">
        <f>SUMIF(Source_PL!$A:$A,"Total for Income",Source_PL!F:F)</f>
        <v>391584.49</v>
      </c>
      <c r="G121" s="53">
        <f>SUMIF(Source_PL!$A:$A,"Total for Income",Source_PL!G:G)</f>
        <v>271821.98</v>
      </c>
      <c r="H121" s="53">
        <f>SUMIF(Source_PL!$A:$A,"Total for Income",Source_PL!H:H)</f>
        <v>440913.28</v>
      </c>
      <c r="I121" s="53">
        <f>SUMIF(Source_PL!$A:$A,"Total for Income",Source_PL!I:I)</f>
        <v>574896.40999999992</v>
      </c>
      <c r="J121" s="53">
        <f>SUMIF(Source_PL!$A:$A,"Total for Income",Source_PL!J:J)</f>
        <v>456264.92</v>
      </c>
      <c r="K121" s="53">
        <f>SUMIF(Source_PL!$A:$A,"Total for Income",Source_PL!K:K)</f>
        <v>322167.76</v>
      </c>
      <c r="L121" s="53">
        <f>SUMIF(Source_PL!$A:$A,"Total for Income",Source_PL!L:L)</f>
        <v>595721.19000000006</v>
      </c>
      <c r="M121" s="54">
        <f>SUMIF(Source_PL!$A:$A,"Total for Income",Source_PL!M:M)</f>
        <v>715798.33</v>
      </c>
      <c r="O121" s="36"/>
      <c r="T121" s="36"/>
    </row>
    <row r="122" spans="1:20" outlineLevel="1" x14ac:dyDescent="0.25">
      <c r="A122" s="43" t="s">
        <v>293</v>
      </c>
      <c r="B122" s="44">
        <f>SUMIF(Source_PL!$A:$A,"Total for Cost of Sales",Source_PL!B:B)</f>
        <v>432117.88999999996</v>
      </c>
      <c r="C122" s="44">
        <f>SUMIF(Source_PL!$A:$A,"Total for Cost of Sales",Source_PL!C:C)</f>
        <v>42024.28</v>
      </c>
      <c r="D122" s="44">
        <f>SUMIF(Source_PL!$A:$A,"Total for Cost of Sales",Source_PL!D:D)</f>
        <v>49647.81</v>
      </c>
      <c r="E122" s="44">
        <f>SUMIF(Source_PL!$A:$A,"Total for Cost of Sales",Source_PL!E:E)</f>
        <v>3558.41</v>
      </c>
      <c r="F122" s="44">
        <f>SUMIF(Source_PL!$A:$A,"Total for Cost of Sales",Source_PL!F:F)</f>
        <v>33441.97</v>
      </c>
      <c r="G122" s="44">
        <f>SUMIF(Source_PL!$A:$A,"Total for Cost of Sales",Source_PL!G:G)</f>
        <v>6930.4699999999993</v>
      </c>
      <c r="H122" s="44">
        <f>SUMIF(Source_PL!$A:$A,"Total for Cost of Sales",Source_PL!H:H)</f>
        <v>129141.66999999998</v>
      </c>
      <c r="I122" s="44">
        <f>SUMIF(Source_PL!$A:$A,"Total for Cost of Sales",Source_PL!I:I)</f>
        <v>308953.29999999993</v>
      </c>
      <c r="J122" s="44">
        <f>SUMIF(Source_PL!$A:$A,"Total for Cost of Sales",Source_PL!J:J)</f>
        <v>151306.03</v>
      </c>
      <c r="K122" s="44">
        <f>SUMIF(Source_PL!$A:$A,"Total for Cost of Sales",Source_PL!K:K)</f>
        <v>189561.76</v>
      </c>
      <c r="L122" s="44">
        <f>SUMIF(Source_PL!$A:$A,"Total for Cost of Sales",Source_PL!L:L)</f>
        <v>210780.15000000002</v>
      </c>
      <c r="M122" s="45">
        <f>SUMIF(Source_PL!$A:$A,"Total for Cost of Sales",Source_PL!M:M)</f>
        <v>224540.11</v>
      </c>
      <c r="O122" s="36"/>
      <c r="T122" s="36"/>
    </row>
    <row r="123" spans="1:20" outlineLevel="1" x14ac:dyDescent="0.25">
      <c r="A123" s="43" t="s">
        <v>294</v>
      </c>
      <c r="B123" s="44">
        <f>SUMIF(Source_PL!$A:$A,"Total for Expenses",Source_PL!B:B)</f>
        <v>274944.03999999998</v>
      </c>
      <c r="C123" s="44">
        <f>SUMIF(Source_PL!$A:$A,"Total for Expenses",Source_PL!C:C)</f>
        <v>253453.25999999992</v>
      </c>
      <c r="D123" s="44">
        <f>SUMIF(Source_PL!$A:$A,"Total for Expenses",Source_PL!D:D)</f>
        <v>421980.36000000004</v>
      </c>
      <c r="E123" s="44">
        <f>SUMIF(Source_PL!$A:$A,"Total for Expenses",Source_PL!E:E)</f>
        <v>257236.40000000011</v>
      </c>
      <c r="F123" s="44">
        <f>SUMIF(Source_PL!$A:$A,"Total for Expenses",Source_PL!F:F)</f>
        <v>283626.78999999998</v>
      </c>
      <c r="G123" s="44">
        <f>SUMIF(Source_PL!$A:$A,"Total for Expenses",Source_PL!G:G)</f>
        <v>251404.91999999993</v>
      </c>
      <c r="H123" s="44">
        <f>SUMIF(Source_PL!$A:$A,"Total for Expenses",Source_PL!H:H)</f>
        <v>316493.50999999995</v>
      </c>
      <c r="I123" s="44">
        <f>SUMIF(Source_PL!$A:$A,"Total for Expenses",Source_PL!I:I)</f>
        <v>348565.39000000013</v>
      </c>
      <c r="J123" s="44">
        <f>SUMIF(Source_PL!$A:$A,"Total for Expenses",Source_PL!J:J)</f>
        <v>249349.01999999996</v>
      </c>
      <c r="K123" s="44">
        <f>SUMIF(Source_PL!$A:$A,"Total for Expenses",Source_PL!K:K)</f>
        <v>233275.09000000003</v>
      </c>
      <c r="L123" s="44">
        <f>SUMIF(Source_PL!$A:$A,"Total for Expenses",Source_PL!L:L)</f>
        <v>298075.75</v>
      </c>
      <c r="M123" s="45">
        <f>SUMIF(Source_PL!$A:$A,"Total for Expenses",Source_PL!M:M)</f>
        <v>609603.90000000014</v>
      </c>
      <c r="O123" s="36"/>
      <c r="T123" s="36"/>
    </row>
    <row r="124" spans="1:20" ht="15.75" outlineLevel="1" thickBot="1" x14ac:dyDescent="0.3">
      <c r="A124" s="49" t="s">
        <v>295</v>
      </c>
      <c r="B124" s="50">
        <f>SUMIF(Source_PL!$A:$A,"Net Income",Source_PL!B:B)</f>
        <v>-540469.17999999993</v>
      </c>
      <c r="C124" s="50">
        <f>SUMIF(Source_PL!$A:$A,"Net Income",Source_PL!C:C)</f>
        <v>-173718.43999999992</v>
      </c>
      <c r="D124" s="50">
        <f>SUMIF(Source_PL!$A:$A,"Net Income",Source_PL!D:D)</f>
        <v>239763.25000000006</v>
      </c>
      <c r="E124" s="50">
        <f>SUMIF(Source_PL!$A:$A,"Net Income",Source_PL!E:E)</f>
        <v>-43761.250000000087</v>
      </c>
      <c r="F124" s="50">
        <f>SUMIF(Source_PL!$A:$A,"Net Income",Source_PL!F:F)</f>
        <v>74515.73000000004</v>
      </c>
      <c r="G124" s="50">
        <f>SUMIF(Source_PL!$A:$A,"Net Income",Source_PL!G:G)</f>
        <v>13486.590000000084</v>
      </c>
      <c r="H124" s="50">
        <f>SUMIF(Source_PL!$A:$A,"Net Income",Source_PL!H:H)</f>
        <v>-4721.8999999999069</v>
      </c>
      <c r="I124" s="50">
        <f>SUMIF(Source_PL!$A:$A,"Net Income",Source_PL!I:I)</f>
        <v>-82622.280000000144</v>
      </c>
      <c r="J124" s="50">
        <f>SUMIF(Source_PL!$A:$A,"Net Income",Source_PL!J:J)</f>
        <v>55609.870000000054</v>
      </c>
      <c r="K124" s="50">
        <f>SUMIF(Source_PL!$A:$A,"Net Income",Source_PL!K:K)</f>
        <v>-59395.530000000028</v>
      </c>
      <c r="L124" s="50">
        <f>SUMIF(Source_PL!$A:$A,"Net Income",Source_PL!L:L)</f>
        <v>86865.290000000037</v>
      </c>
      <c r="M124" s="51">
        <f>SUMIF(Source_PL!$A:$A,"Net Income",Source_PL!M:M)</f>
        <v>-190181.89000000019</v>
      </c>
      <c r="O124" s="36"/>
      <c r="T124" s="36"/>
    </row>
    <row r="125" spans="1:20" outlineLevel="1" x14ac:dyDescent="0.25">
      <c r="A125" s="52" t="s">
        <v>296</v>
      </c>
      <c r="B125" s="53">
        <f>B117-B121</f>
        <v>0</v>
      </c>
      <c r="C125" s="53">
        <f>C117-C121</f>
        <v>0</v>
      </c>
      <c r="D125" s="53">
        <f>D117-D121</f>
        <v>0</v>
      </c>
      <c r="E125" s="53">
        <f>E117-E121</f>
        <v>0</v>
      </c>
      <c r="F125" s="53">
        <f>F117-F121</f>
        <v>0</v>
      </c>
      <c r="G125" s="53">
        <f>G117-G121</f>
        <v>0</v>
      </c>
      <c r="H125" s="53">
        <f>H117-H121</f>
        <v>0</v>
      </c>
      <c r="I125" s="53">
        <f>I117-I121</f>
        <v>0</v>
      </c>
      <c r="J125" s="53">
        <f>J117-J121</f>
        <v>0</v>
      </c>
      <c r="K125" s="53">
        <f>K117-K121</f>
        <v>0</v>
      </c>
      <c r="L125" s="53">
        <f>L117-L121</f>
        <v>0</v>
      </c>
      <c r="M125" s="54">
        <f>M117-M121</f>
        <v>0</v>
      </c>
      <c r="O125" s="36"/>
      <c r="T125" s="36"/>
    </row>
    <row r="126" spans="1:20" outlineLevel="1" x14ac:dyDescent="0.25">
      <c r="A126" s="43" t="s">
        <v>297</v>
      </c>
      <c r="B126" s="44">
        <f>B118-B122</f>
        <v>0</v>
      </c>
      <c r="C126" s="44">
        <f>C118-C122</f>
        <v>0</v>
      </c>
      <c r="D126" s="44">
        <f>D118-D122</f>
        <v>0</v>
      </c>
      <c r="E126" s="44">
        <f>E118-E122</f>
        <v>0</v>
      </c>
      <c r="F126" s="44">
        <f>F118-F122</f>
        <v>0</v>
      </c>
      <c r="G126" s="44">
        <f>G118-G122</f>
        <v>0</v>
      </c>
      <c r="H126" s="44">
        <f>H118-H122</f>
        <v>0</v>
      </c>
      <c r="I126" s="44">
        <f>I118-I122</f>
        <v>0</v>
      </c>
      <c r="J126" s="44">
        <f>J118-J122</f>
        <v>0</v>
      </c>
      <c r="K126" s="44">
        <f>K118-K122</f>
        <v>0</v>
      </c>
      <c r="L126" s="44">
        <f>L118-L122</f>
        <v>0</v>
      </c>
      <c r="M126" s="45">
        <f>M118-M122</f>
        <v>0</v>
      </c>
      <c r="O126" s="36"/>
      <c r="T126" s="36"/>
    </row>
    <row r="127" spans="1:20" outlineLevel="1" x14ac:dyDescent="0.25">
      <c r="A127" s="43" t="s">
        <v>298</v>
      </c>
      <c r="B127" s="44">
        <f>B119-B123</f>
        <v>0</v>
      </c>
      <c r="C127" s="44">
        <f>C119-C123</f>
        <v>0</v>
      </c>
      <c r="D127" s="44">
        <f>D119-D123</f>
        <v>0</v>
      </c>
      <c r="E127" s="44">
        <f>E119-E123</f>
        <v>0</v>
      </c>
      <c r="F127" s="44">
        <f>F119-F123</f>
        <v>0</v>
      </c>
      <c r="G127" s="44">
        <f>G119-G123</f>
        <v>0</v>
      </c>
      <c r="H127" s="44">
        <f>H119-H123</f>
        <v>0</v>
      </c>
      <c r="I127" s="44">
        <f>I119-I123</f>
        <v>0</v>
      </c>
      <c r="J127" s="44">
        <f>J119-J123</f>
        <v>0</v>
      </c>
      <c r="K127" s="44">
        <f>K119-K123</f>
        <v>0</v>
      </c>
      <c r="L127" s="44">
        <f>L119-L123</f>
        <v>0</v>
      </c>
      <c r="M127" s="45">
        <f>M119-M123</f>
        <v>0</v>
      </c>
      <c r="O127" s="36"/>
      <c r="T127" s="36"/>
    </row>
    <row r="128" spans="1:20" ht="15.75" outlineLevel="1" thickBot="1" x14ac:dyDescent="0.3">
      <c r="A128" s="46" t="s">
        <v>299</v>
      </c>
      <c r="B128" s="47">
        <f>B120-B124</f>
        <v>0</v>
      </c>
      <c r="C128" s="47">
        <f>C120-C124</f>
        <v>0</v>
      </c>
      <c r="D128" s="47">
        <f>D120-D124</f>
        <v>0</v>
      </c>
      <c r="E128" s="47">
        <f>E120-E124</f>
        <v>0</v>
      </c>
      <c r="F128" s="47">
        <f>F120-F124</f>
        <v>0</v>
      </c>
      <c r="G128" s="47">
        <f>G120-G124</f>
        <v>0</v>
      </c>
      <c r="H128" s="47">
        <f>H120-H124</f>
        <v>0</v>
      </c>
      <c r="I128" s="47">
        <f>I120-I124</f>
        <v>0</v>
      </c>
      <c r="J128" s="47">
        <f>J120-J124</f>
        <v>0</v>
      </c>
      <c r="K128" s="47">
        <f>K120-K124</f>
        <v>0</v>
      </c>
      <c r="L128" s="47">
        <f>L120-L124</f>
        <v>0</v>
      </c>
      <c r="M128" s="48">
        <f>M120-M124</f>
        <v>0</v>
      </c>
      <c r="O128" s="36"/>
      <c r="T128" s="36"/>
    </row>
    <row r="129" spans="15:20" x14ac:dyDescent="0.25">
      <c r="O129" s="36"/>
      <c r="T129" s="36"/>
    </row>
    <row r="130" spans="15:20" x14ac:dyDescent="0.25">
      <c r="O130" s="36"/>
      <c r="T130" s="36"/>
    </row>
    <row r="131" spans="15:20" x14ac:dyDescent="0.25">
      <c r="O131" s="36"/>
      <c r="T131" s="36"/>
    </row>
    <row r="132" spans="15:20" x14ac:dyDescent="0.25">
      <c r="O132" s="36"/>
      <c r="T132" s="36"/>
    </row>
    <row r="133" spans="15:20" x14ac:dyDescent="0.25">
      <c r="O133" s="36"/>
      <c r="T133" s="36"/>
    </row>
    <row r="134" spans="15:20" x14ac:dyDescent="0.25">
      <c r="O134" s="36"/>
      <c r="T134" s="36"/>
    </row>
    <row r="135" spans="15:20" x14ac:dyDescent="0.25">
      <c r="O135" s="36"/>
      <c r="T135" s="36"/>
    </row>
    <row r="136" spans="15:20" x14ac:dyDescent="0.25">
      <c r="O136" s="36"/>
      <c r="T136" s="36"/>
    </row>
    <row r="137" spans="15:20" x14ac:dyDescent="0.25">
      <c r="O137" s="36"/>
      <c r="T137" s="36"/>
    </row>
    <row r="138" spans="15:20" x14ac:dyDescent="0.25">
      <c r="O138" s="36"/>
      <c r="T138" s="36"/>
    </row>
    <row r="139" spans="15:20" x14ac:dyDescent="0.25">
      <c r="O139" s="36"/>
      <c r="T139" s="36"/>
    </row>
    <row r="140" spans="15:20" x14ac:dyDescent="0.25">
      <c r="O140" s="36"/>
      <c r="T140" s="36"/>
    </row>
    <row r="141" spans="15:20" x14ac:dyDescent="0.25">
      <c r="O141" s="36"/>
      <c r="T141" s="36"/>
    </row>
    <row r="142" spans="15:20" x14ac:dyDescent="0.25">
      <c r="O142" s="36"/>
      <c r="T142" s="36"/>
    </row>
    <row r="143" spans="15:20" x14ac:dyDescent="0.25">
      <c r="O143" s="36"/>
      <c r="T143" s="36"/>
    </row>
    <row r="144" spans="15:20" x14ac:dyDescent="0.25">
      <c r="O144" s="36"/>
      <c r="T144" s="36"/>
    </row>
    <row r="145" spans="15:20" x14ac:dyDescent="0.25">
      <c r="O145" s="36"/>
      <c r="T145" s="36"/>
    </row>
    <row r="146" spans="15:20" x14ac:dyDescent="0.25">
      <c r="O146" s="36"/>
      <c r="T146" s="36"/>
    </row>
    <row r="147" spans="15:20" x14ac:dyDescent="0.25">
      <c r="O147" s="36"/>
      <c r="T147" s="36"/>
    </row>
    <row r="148" spans="15:20" x14ac:dyDescent="0.25">
      <c r="O148" s="36"/>
      <c r="T148" s="36"/>
    </row>
    <row r="149" spans="15:20" x14ac:dyDescent="0.25">
      <c r="O149" s="36"/>
      <c r="T149" s="36"/>
    </row>
    <row r="150" spans="15:20" x14ac:dyDescent="0.25">
      <c r="O150" s="36"/>
      <c r="T150" s="36"/>
    </row>
    <row r="151" spans="15:20" x14ac:dyDescent="0.25">
      <c r="O151" s="36"/>
      <c r="T151" s="36"/>
    </row>
    <row r="152" spans="15:20" x14ac:dyDescent="0.25">
      <c r="O152" s="36"/>
      <c r="T152" s="36"/>
    </row>
    <row r="153" spans="15:20" x14ac:dyDescent="0.25">
      <c r="O153" s="36"/>
      <c r="T153" s="36"/>
    </row>
    <row r="154" spans="15:20" x14ac:dyDescent="0.25">
      <c r="O154" s="36"/>
      <c r="T154" s="36"/>
    </row>
    <row r="155" spans="15:20" x14ac:dyDescent="0.25">
      <c r="O155" s="36"/>
      <c r="T155" s="36"/>
    </row>
    <row r="156" spans="15:20" x14ac:dyDescent="0.25">
      <c r="O156" s="36"/>
      <c r="T156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BBB3B-66F3-4540-8B22-9EBE881E8E3E}">
  <sheetPr codeName="Sheet5"/>
  <dimension ref="A1:M136"/>
  <sheetViews>
    <sheetView workbookViewId="0"/>
  </sheetViews>
  <sheetFormatPr defaultRowHeight="15" outlineLevelRow="1" x14ac:dyDescent="0.25"/>
  <cols>
    <col min="1" max="1" width="62.42578125" bestFit="1" customWidth="1"/>
    <col min="2" max="13" width="10.140625" bestFit="1" customWidth="1"/>
  </cols>
  <sheetData>
    <row r="1" spans="1:13" ht="18.75" x14ac:dyDescent="0.3">
      <c r="A1" s="16" t="s">
        <v>224</v>
      </c>
    </row>
    <row r="2" spans="1:13" ht="15.75" x14ac:dyDescent="0.25">
      <c r="A2" s="10" t="s">
        <v>3</v>
      </c>
    </row>
    <row r="4" spans="1:13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</row>
    <row r="5" spans="1:13" x14ac:dyDescent="0.25">
      <c r="A5" s="21" t="s">
        <v>107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1:13" x14ac:dyDescent="0.25">
      <c r="A6" s="20" t="s">
        <v>300</v>
      </c>
      <c r="B6" s="30">
        <f>SUMIF(Source_BS!$A:$A,"Current Assets",Source_BS!B:B)</f>
        <v>0</v>
      </c>
      <c r="C6" s="30">
        <f>SUMIF(Source_BS!$A:$A,"Current Assets",Source_BS!C:C)</f>
        <v>0</v>
      </c>
      <c r="D6" s="30">
        <f>SUMIF(Source_BS!$A:$A,"Current Assets",Source_BS!D:D)</f>
        <v>0</v>
      </c>
      <c r="E6" s="30">
        <f>SUMIF(Source_BS!$A:$A,"Current Assets",Source_BS!E:E)</f>
        <v>0</v>
      </c>
      <c r="F6" s="30">
        <f>SUMIF(Source_BS!$A:$A,"Current Assets",Source_BS!F:F)</f>
        <v>0</v>
      </c>
      <c r="G6" s="30">
        <f>SUMIF(Source_BS!$A:$A,"Current Assets",Source_BS!G:G)</f>
        <v>0</v>
      </c>
      <c r="H6" s="30">
        <f>SUMIF(Source_BS!$A:$A,"Current Assets",Source_BS!H:H)</f>
        <v>0</v>
      </c>
      <c r="I6" s="30">
        <f>SUMIF(Source_BS!$A:$A,"Current Assets",Source_BS!I:I)</f>
        <v>0</v>
      </c>
      <c r="J6" s="30">
        <f>SUMIF(Source_BS!$A:$A,"Current Assets",Source_BS!J:J)</f>
        <v>0</v>
      </c>
      <c r="K6" s="30">
        <f>SUMIF(Source_BS!$A:$A,"Current Assets",Source_BS!K:K)</f>
        <v>0</v>
      </c>
      <c r="L6" s="30">
        <f>SUMIF(Source_BS!$A:$A,"Current Assets",Source_BS!L:L)</f>
        <v>0</v>
      </c>
      <c r="M6" s="30">
        <f>SUMIF(Source_BS!$A:$A,"Current Assets",Source_BS!M:M)</f>
        <v>0</v>
      </c>
    </row>
    <row r="7" spans="1:13" x14ac:dyDescent="0.25">
      <c r="A7" s="20" t="s">
        <v>301</v>
      </c>
      <c r="B7" s="30">
        <f>SUMIF(Source_BS!$A:$A,"Bank Accounts",Source_BS!B:B)</f>
        <v>0</v>
      </c>
      <c r="C7" s="30">
        <f>SUMIF(Source_BS!$A:$A,"Bank Accounts",Source_BS!C:C)</f>
        <v>0</v>
      </c>
      <c r="D7" s="30">
        <f>SUMIF(Source_BS!$A:$A,"Bank Accounts",Source_BS!D:D)</f>
        <v>0</v>
      </c>
      <c r="E7" s="30">
        <f>SUMIF(Source_BS!$A:$A,"Bank Accounts",Source_BS!E:E)</f>
        <v>0</v>
      </c>
      <c r="F7" s="30">
        <f>SUMIF(Source_BS!$A:$A,"Bank Accounts",Source_BS!F:F)</f>
        <v>0</v>
      </c>
      <c r="G7" s="30">
        <f>SUMIF(Source_BS!$A:$A,"Bank Accounts",Source_BS!G:G)</f>
        <v>0</v>
      </c>
      <c r="H7" s="30">
        <f>SUMIF(Source_BS!$A:$A,"Bank Accounts",Source_BS!H:H)</f>
        <v>0</v>
      </c>
      <c r="I7" s="30">
        <f>SUMIF(Source_BS!$A:$A,"Bank Accounts",Source_BS!I:I)</f>
        <v>0</v>
      </c>
      <c r="J7" s="30">
        <f>SUMIF(Source_BS!$A:$A,"Bank Accounts",Source_BS!J:J)</f>
        <v>0</v>
      </c>
      <c r="K7" s="30">
        <f>SUMIF(Source_BS!$A:$A,"Bank Accounts",Source_BS!K:K)</f>
        <v>0</v>
      </c>
      <c r="L7" s="30">
        <f>SUMIF(Source_BS!$A:$A,"Bank Accounts",Source_BS!L:L)</f>
        <v>0</v>
      </c>
      <c r="M7" s="30">
        <f>SUMIF(Source_BS!$A:$A,"Bank Accounts",Source_BS!M:M)</f>
        <v>0</v>
      </c>
    </row>
    <row r="8" spans="1:13" x14ac:dyDescent="0.25">
      <c r="A8" s="20" t="s">
        <v>302</v>
      </c>
      <c r="B8" s="30">
        <f>SUMIF(Source_BS!$A:$A,"1000 UCBI Operating (2844)",Source_BS!B:B)</f>
        <v>170906.45</v>
      </c>
      <c r="C8" s="30">
        <f>SUMIF(Source_BS!$A:$A,"1000 UCBI Operating (2844)",Source_BS!C:C)</f>
        <v>38882.110000000015</v>
      </c>
      <c r="D8" s="30">
        <f>SUMIF(Source_BS!$A:$A,"1000 UCBI Operating (2844)",Source_BS!D:D)</f>
        <v>266297.2</v>
      </c>
      <c r="E8" s="30">
        <f>SUMIF(Source_BS!$A:$A,"1000 UCBI Operating (2844)",Source_BS!E:E)</f>
        <v>199553.96000000002</v>
      </c>
      <c r="F8" s="30">
        <f>SUMIF(Source_BS!$A:$A,"1000 UCBI Operating (2844)",Source_BS!F:F)</f>
        <v>85836.180000000022</v>
      </c>
      <c r="G8" s="30">
        <f>SUMIF(Source_BS!$A:$A,"1000 UCBI Operating (2844)",Source_BS!G:G)</f>
        <v>95201.500000000029</v>
      </c>
      <c r="H8" s="30">
        <f>SUMIF(Source_BS!$A:$A,"1000 UCBI Operating (2844)",Source_BS!H:H)</f>
        <v>130676.08000000003</v>
      </c>
      <c r="I8" s="30">
        <f>SUMIF(Source_BS!$A:$A,"1000 UCBI Operating (2844)",Source_BS!I:I)</f>
        <v>119943.55000000003</v>
      </c>
      <c r="J8" s="30">
        <f>SUMIF(Source_BS!$A:$A,"1000 UCBI Operating (2844)",Source_BS!J:J)</f>
        <v>46425.340000000026</v>
      </c>
      <c r="K8" s="30">
        <f>SUMIF(Source_BS!$A:$A,"1000 UCBI Operating (2844)",Source_BS!K:K)</f>
        <v>-8497.9399999999732</v>
      </c>
      <c r="L8" s="30">
        <f>SUMIF(Source_BS!$A:$A,"1000 UCBI Operating (2844)",Source_BS!L:L)</f>
        <v>81723.61000000003</v>
      </c>
      <c r="M8" s="30">
        <f>SUMIF(Source_BS!$A:$A,"1000 UCBI Operating (2844)",Source_BS!M:M)</f>
        <v>88856.630000000034</v>
      </c>
    </row>
    <row r="9" spans="1:13" x14ac:dyDescent="0.25">
      <c r="A9" s="20" t="s">
        <v>303</v>
      </c>
      <c r="B9" s="30">
        <f>SUMIF(Source_BS!$A:$A,"1010 UCBI Payroll (2851)",Source_BS!B:B)</f>
        <v>67327.539999999994</v>
      </c>
      <c r="C9" s="30">
        <f>SUMIF(Source_BS!$A:$A,"1010 UCBI Payroll (2851)",Source_BS!C:C)</f>
        <v>111570.9</v>
      </c>
      <c r="D9" s="30">
        <f>SUMIF(Source_BS!$A:$A,"1010 UCBI Payroll (2851)",Source_BS!D:D)</f>
        <v>44014.39</v>
      </c>
      <c r="E9" s="30">
        <f>SUMIF(Source_BS!$A:$A,"1010 UCBI Payroll (2851)",Source_BS!E:E)</f>
        <v>27414.66</v>
      </c>
      <c r="F9" s="30">
        <f>SUMIF(Source_BS!$A:$A,"1010 UCBI Payroll (2851)",Source_BS!F:F)</f>
        <v>19608.72</v>
      </c>
      <c r="G9" s="30">
        <f>SUMIF(Source_BS!$A:$A,"1010 UCBI Payroll (2851)",Source_BS!G:G)</f>
        <v>30857.88</v>
      </c>
      <c r="H9" s="30">
        <f>SUMIF(Source_BS!$A:$A,"1010 UCBI Payroll (2851)",Source_BS!H:H)</f>
        <v>40649.64</v>
      </c>
      <c r="I9" s="30">
        <f>SUMIF(Source_BS!$A:$A,"1010 UCBI Payroll (2851)",Source_BS!I:I)</f>
        <v>74883.38</v>
      </c>
      <c r="J9" s="30">
        <f>SUMIF(Source_BS!$A:$A,"1010 UCBI Payroll (2851)",Source_BS!J:J)</f>
        <v>85720.77</v>
      </c>
      <c r="K9" s="30">
        <f>SUMIF(Source_BS!$A:$A,"1010 UCBI Payroll (2851)",Source_BS!K:K)</f>
        <v>71650.02</v>
      </c>
      <c r="L9" s="30">
        <f>SUMIF(Source_BS!$A:$A,"1010 UCBI Payroll (2851)",Source_BS!L:L)</f>
        <v>84307.650000000009</v>
      </c>
      <c r="M9" s="30">
        <f>SUMIF(Source_BS!$A:$A,"1010 UCBI Payroll (2851)",Source_BS!M:M)</f>
        <v>220900.89</v>
      </c>
    </row>
    <row r="10" spans="1:13" x14ac:dyDescent="0.25">
      <c r="A10" s="20" t="s">
        <v>304</v>
      </c>
      <c r="B10" s="30">
        <f>SUMIF(Source_BS!$A:$A,"1014 UCBI Holding (1738)",Source_BS!B:B)</f>
        <v>576.74000000001979</v>
      </c>
      <c r="C10" s="30">
        <f>SUMIF(Source_BS!$A:$A,"1014 UCBI Holding (1738)",Source_BS!C:C)</f>
        <v>576.74000000001979</v>
      </c>
      <c r="D10" s="30">
        <f>SUMIF(Source_BS!$A:$A,"1014 UCBI Holding (1738)",Source_BS!D:D)</f>
        <v>576.74000000001979</v>
      </c>
      <c r="E10" s="30">
        <f>SUMIF(Source_BS!$A:$A,"1014 UCBI Holding (1738)",Source_BS!E:E)</f>
        <v>576.74000000001979</v>
      </c>
      <c r="F10" s="30">
        <f>SUMIF(Source_BS!$A:$A,"1014 UCBI Holding (1738)",Source_BS!F:F)</f>
        <v>152576.74000000002</v>
      </c>
      <c r="G10" s="30">
        <f>SUMIF(Source_BS!$A:$A,"1014 UCBI Holding (1738)",Source_BS!G:G)</f>
        <v>576.74000000001979</v>
      </c>
      <c r="H10" s="30">
        <f>SUMIF(Source_BS!$A:$A,"1014 UCBI Holding (1738)",Source_BS!H:H)</f>
        <v>576.74000000001979</v>
      </c>
      <c r="I10" s="30">
        <f>SUMIF(Source_BS!$A:$A,"1014 UCBI Holding (1738)",Source_BS!I:I)</f>
        <v>576.74000000001979</v>
      </c>
      <c r="J10" s="30">
        <f>SUMIF(Source_BS!$A:$A,"1014 UCBI Holding (1738)",Source_BS!J:J)</f>
        <v>576.74000000001979</v>
      </c>
      <c r="K10" s="30">
        <f>SUMIF(Source_BS!$A:$A,"1014 UCBI Holding (1738)",Source_BS!K:K)</f>
        <v>576.74000000001979</v>
      </c>
      <c r="L10" s="30">
        <f>SUMIF(Source_BS!$A:$A,"1014 UCBI Holding (1738)",Source_BS!L:L)</f>
        <v>576.74000000001979</v>
      </c>
      <c r="M10" s="30">
        <f>SUMIF(Source_BS!$A:$A,"1014 UCBI Holding (1738)",Source_BS!M:M)</f>
        <v>576.74000000001979</v>
      </c>
    </row>
    <row r="11" spans="1:13" x14ac:dyDescent="0.25">
      <c r="A11" s="20" t="s">
        <v>305</v>
      </c>
      <c r="B11" s="30">
        <f>SUMIF(Source_BS!$A:$A,"1019 UCBI Freedom (0011) (deleted)",Source_BS!B:B)</f>
        <v>184.52</v>
      </c>
      <c r="C11" s="30">
        <f>SUMIF(Source_BS!$A:$A,"1019 UCBI Freedom (0011) (deleted)",Source_BS!C:C)</f>
        <v>184.52</v>
      </c>
      <c r="D11" s="30">
        <f>SUMIF(Source_BS!$A:$A,"1019 UCBI Freedom (0011) (deleted)",Source_BS!D:D)</f>
        <v>184.52</v>
      </c>
      <c r="E11" s="30">
        <f>SUMIF(Source_BS!$A:$A,"1019 UCBI Freedom (0011) (deleted)",Source_BS!E:E)</f>
        <v>184.52</v>
      </c>
      <c r="F11" s="30">
        <f>SUMIF(Source_BS!$A:$A,"1019 UCBI Freedom (0011) (deleted)",Source_BS!F:F)</f>
        <v>184.52</v>
      </c>
      <c r="G11" s="30">
        <f>SUMIF(Source_BS!$A:$A,"1019 UCBI Freedom (0011) (deleted)",Source_BS!G:G)</f>
        <v>8278.9500000000007</v>
      </c>
      <c r="H11" s="30">
        <f>SUMIF(Source_BS!$A:$A,"1019 UCBI Freedom (0011) (deleted)",Source_BS!H:H)</f>
        <v>8278.9500000000007</v>
      </c>
      <c r="I11" s="30">
        <f>SUMIF(Source_BS!$A:$A,"1019 UCBI Freedom (0011) (deleted)",Source_BS!I:I)</f>
        <v>184.52000000000044</v>
      </c>
      <c r="J11" s="30">
        <f>SUMIF(Source_BS!$A:$A,"1019 UCBI Freedom (0011) (deleted)",Source_BS!J:J)</f>
        <v>184.52000000000044</v>
      </c>
      <c r="K11" s="30">
        <f>SUMIF(Source_BS!$A:$A,"1019 UCBI Freedom (0011) (deleted)",Source_BS!K:K)</f>
        <v>184.52000000000044</v>
      </c>
      <c r="L11" s="30">
        <f>SUMIF(Source_BS!$A:$A,"1019 UCBI Freedom (0011) (deleted)",Source_BS!L:L)</f>
        <v>184.52000000000044</v>
      </c>
      <c r="M11" s="30">
        <f>SUMIF(Source_BS!$A:$A,"1019 UCBI Freedom (0011) (deleted)",Source_BS!M:M)</f>
        <v>4.2632564145606011E-13</v>
      </c>
    </row>
    <row r="12" spans="1:13" x14ac:dyDescent="0.25">
      <c r="A12" s="20" t="s">
        <v>306</v>
      </c>
      <c r="B12" s="30">
        <f>SUMIF(Source_BS!$A:$A,"1030 UCBI Prombo (1746)",Source_BS!B:B)</f>
        <v>74408.73</v>
      </c>
      <c r="C12" s="30">
        <f>SUMIF(Source_BS!$A:$A,"1030 UCBI Prombo (1746)",Source_BS!C:C)</f>
        <v>44635.659999999996</v>
      </c>
      <c r="D12" s="30">
        <f>SUMIF(Source_BS!$A:$A,"1030 UCBI Prombo (1746)",Source_BS!D:D)</f>
        <v>80738.679999999993</v>
      </c>
      <c r="E12" s="30">
        <f>SUMIF(Source_BS!$A:$A,"1030 UCBI Prombo (1746)",Source_BS!E:E)</f>
        <v>66160.7</v>
      </c>
      <c r="F12" s="30">
        <f>SUMIF(Source_BS!$A:$A,"1030 UCBI Prombo (1746)",Source_BS!F:F)</f>
        <v>61137.03</v>
      </c>
      <c r="G12" s="30">
        <f>SUMIF(Source_BS!$A:$A,"1030 UCBI Prombo (1746)",Source_BS!G:G)</f>
        <v>61137.03</v>
      </c>
      <c r="H12" s="30">
        <f>SUMIF(Source_BS!$A:$A,"1030 UCBI Prombo (1746)",Source_BS!H:H)</f>
        <v>74852.399999999994</v>
      </c>
      <c r="I12" s="30">
        <f>SUMIF(Source_BS!$A:$A,"1030 UCBI Prombo (1746)",Source_BS!I:I)</f>
        <v>33815.409999999996</v>
      </c>
      <c r="J12" s="30">
        <f>SUMIF(Source_BS!$A:$A,"1030 UCBI Prombo (1746)",Source_BS!J:J)</f>
        <v>185099.48</v>
      </c>
      <c r="K12" s="30">
        <f>SUMIF(Source_BS!$A:$A,"1030 UCBI Prombo (1746)",Source_BS!K:K)</f>
        <v>134696.97</v>
      </c>
      <c r="L12" s="30">
        <f>SUMIF(Source_BS!$A:$A,"1030 UCBI Prombo (1746)",Source_BS!L:L)</f>
        <v>105320.82</v>
      </c>
      <c r="M12" s="30">
        <f>SUMIF(Source_BS!$A:$A,"1030 UCBI Prombo (1746)",Source_BS!M:M)</f>
        <v>111902.34000000001</v>
      </c>
    </row>
    <row r="13" spans="1:13" x14ac:dyDescent="0.25">
      <c r="A13" s="20" t="s">
        <v>307</v>
      </c>
      <c r="B13" s="30">
        <f>SUMIF(Source_BS!$A:$A,"1051 Investments",Source_BS!B:B)</f>
        <v>0</v>
      </c>
      <c r="C13" s="30">
        <f>SUMIF(Source_BS!$A:$A,"1051 Investments",Source_BS!C:C)</f>
        <v>0</v>
      </c>
      <c r="D13" s="30">
        <f>SUMIF(Source_BS!$A:$A,"1051 Investments",Source_BS!D:D)</f>
        <v>0</v>
      </c>
      <c r="E13" s="30">
        <f>SUMIF(Source_BS!$A:$A,"1051 Investments",Source_BS!E:E)</f>
        <v>0</v>
      </c>
      <c r="F13" s="30">
        <f>SUMIF(Source_BS!$A:$A,"1051 Investments",Source_BS!F:F)</f>
        <v>0</v>
      </c>
      <c r="G13" s="30">
        <f>SUMIF(Source_BS!$A:$A,"1051 Investments",Source_BS!G:G)</f>
        <v>0</v>
      </c>
      <c r="H13" s="30">
        <f>SUMIF(Source_BS!$A:$A,"1051 Investments",Source_BS!H:H)</f>
        <v>0</v>
      </c>
      <c r="I13" s="30">
        <f>SUMIF(Source_BS!$A:$A,"1051 Investments",Source_BS!I:I)</f>
        <v>0</v>
      </c>
      <c r="J13" s="30">
        <f>SUMIF(Source_BS!$A:$A,"1051 Investments",Source_BS!J:J)</f>
        <v>0</v>
      </c>
      <c r="K13" s="30">
        <f>SUMIF(Source_BS!$A:$A,"1051 Investments",Source_BS!K:K)</f>
        <v>0</v>
      </c>
      <c r="L13" s="30">
        <f>SUMIF(Source_BS!$A:$A,"1051 Investments",Source_BS!L:L)</f>
        <v>0</v>
      </c>
      <c r="M13" s="30">
        <f>SUMIF(Source_BS!$A:$A,"1051 Investments",Source_BS!M:M)</f>
        <v>0</v>
      </c>
    </row>
    <row r="14" spans="1:13" x14ac:dyDescent="0.25">
      <c r="A14" s="20" t="s">
        <v>308</v>
      </c>
      <c r="B14" s="30">
        <f>SUMIF(Source_BS!$A:$A,"1099 zClearing (should be $0)",Source_BS!B:B)</f>
        <v>0</v>
      </c>
      <c r="C14" s="30">
        <f>SUMIF(Source_BS!$A:$A,"1099 zClearing (should be $0)",Source_BS!C:C)</f>
        <v>0</v>
      </c>
      <c r="D14" s="30">
        <f>SUMIF(Source_BS!$A:$A,"1099 zClearing (should be $0)",Source_BS!D:D)</f>
        <v>0</v>
      </c>
      <c r="E14" s="30">
        <f>SUMIF(Source_BS!$A:$A,"1099 zClearing (should be $0)",Source_BS!E:E)</f>
        <v>-555</v>
      </c>
      <c r="F14" s="30">
        <f>SUMIF(Source_BS!$A:$A,"1099 zClearing (should be $0)",Source_BS!F:F)</f>
        <v>1431.83</v>
      </c>
      <c r="G14" s="30">
        <f>SUMIF(Source_BS!$A:$A,"1099 zClearing (should be $0)",Source_BS!G:G)</f>
        <v>1431.83</v>
      </c>
      <c r="H14" s="30">
        <f>SUMIF(Source_BS!$A:$A,"1099 zClearing (should be $0)",Source_BS!H:H)</f>
        <v>5520.76</v>
      </c>
      <c r="I14" s="30">
        <f>SUMIF(Source_BS!$A:$A,"1099 zClearing (should be $0)",Source_BS!I:I)</f>
        <v>0</v>
      </c>
      <c r="J14" s="30">
        <f>SUMIF(Source_BS!$A:$A,"1099 zClearing (should be $0)",Source_BS!J:J)</f>
        <v>0</v>
      </c>
      <c r="K14" s="30">
        <f>SUMIF(Source_BS!$A:$A,"1099 zClearing (should be $0)",Source_BS!K:K)</f>
        <v>0</v>
      </c>
      <c r="L14" s="30">
        <f>SUMIF(Source_BS!$A:$A,"1099 zClearing (should be $0)",Source_BS!L:L)</f>
        <v>0</v>
      </c>
      <c r="M14" s="30">
        <f>SUMIF(Source_BS!$A:$A,"1099 zClearing (should be $0)",Source_BS!M:M)</f>
        <v>0</v>
      </c>
    </row>
    <row r="15" spans="1:13" x14ac:dyDescent="0.25">
      <c r="A15" s="23" t="s">
        <v>117</v>
      </c>
      <c r="B15" s="31">
        <f>SUMIF(Source_BS!$A:$A,"Total for Bank Accounts",Source_BS!B:B)</f>
        <v>313403.98</v>
      </c>
      <c r="C15" s="31">
        <f>SUMIF(Source_BS!$A:$A,"Total for Bank Accounts",Source_BS!C:C)</f>
        <v>195849.93000000002</v>
      </c>
      <c r="D15" s="31">
        <f>SUMIF(Source_BS!$A:$A,"Total for Bank Accounts",Source_BS!D:D)</f>
        <v>391811.53000000009</v>
      </c>
      <c r="E15" s="31">
        <f>SUMIF(Source_BS!$A:$A,"Total for Bank Accounts",Source_BS!E:E)</f>
        <v>293335.58</v>
      </c>
      <c r="F15" s="31">
        <f>SUMIF(Source_BS!$A:$A,"Total for Bank Accounts",Source_BS!F:F)</f>
        <v>320775.02000000008</v>
      </c>
      <c r="G15" s="31">
        <f>SUMIF(Source_BS!$A:$A,"Total for Bank Accounts",Source_BS!G:G)</f>
        <v>197483.93000000005</v>
      </c>
      <c r="H15" s="31">
        <f>SUMIF(Source_BS!$A:$A,"Total for Bank Accounts",Source_BS!H:H)</f>
        <v>260554.57000000007</v>
      </c>
      <c r="I15" s="31">
        <f>SUMIF(Source_BS!$A:$A,"Total for Bank Accounts",Source_BS!I:I)</f>
        <v>229403.60000000006</v>
      </c>
      <c r="J15" s="31">
        <f>SUMIF(Source_BS!$A:$A,"Total for Bank Accounts",Source_BS!J:J)</f>
        <v>318006.85000000009</v>
      </c>
      <c r="K15" s="31">
        <f>SUMIF(Source_BS!$A:$A,"Total for Bank Accounts",Source_BS!K:K)</f>
        <v>198610.31000000006</v>
      </c>
      <c r="L15" s="31">
        <f>SUMIF(Source_BS!$A:$A,"Total for Bank Accounts",Source_BS!L:L)</f>
        <v>272113.34000000008</v>
      </c>
      <c r="M15" s="31">
        <f>SUMIF(Source_BS!$A:$A,"Total for Bank Accounts",Source_BS!M:M)</f>
        <v>422236.60000000003</v>
      </c>
    </row>
    <row r="16" spans="1:13" x14ac:dyDescent="0.25">
      <c r="A16" s="20" t="s">
        <v>118</v>
      </c>
      <c r="B16" s="30">
        <f>SUMIF(Source_BS!$A:$A,"Accounts Receivable",Source_BS!B:B)</f>
        <v>0</v>
      </c>
      <c r="C16" s="30">
        <f>SUMIF(Source_BS!$A:$A,"Accounts Receivable",Source_BS!C:C)</f>
        <v>0</v>
      </c>
      <c r="D16" s="30">
        <f>SUMIF(Source_BS!$A:$A,"Accounts Receivable",Source_BS!D:D)</f>
        <v>0</v>
      </c>
      <c r="E16" s="30">
        <f>SUMIF(Source_BS!$A:$A,"Accounts Receivable",Source_BS!E:E)</f>
        <v>0</v>
      </c>
      <c r="F16" s="30">
        <f>SUMIF(Source_BS!$A:$A,"Accounts Receivable",Source_BS!F:F)</f>
        <v>0</v>
      </c>
      <c r="G16" s="30">
        <f>SUMIF(Source_BS!$A:$A,"Accounts Receivable",Source_BS!G:G)</f>
        <v>0</v>
      </c>
      <c r="H16" s="30">
        <f>SUMIF(Source_BS!$A:$A,"Accounts Receivable",Source_BS!H:H)</f>
        <v>0</v>
      </c>
      <c r="I16" s="30">
        <f>SUMIF(Source_BS!$A:$A,"Accounts Receivable",Source_BS!I:I)</f>
        <v>0</v>
      </c>
      <c r="J16" s="30">
        <f>SUMIF(Source_BS!$A:$A,"Accounts Receivable",Source_BS!J:J)</f>
        <v>0</v>
      </c>
      <c r="K16" s="30">
        <f>SUMIF(Source_BS!$A:$A,"Accounts Receivable",Source_BS!K:K)</f>
        <v>0</v>
      </c>
      <c r="L16" s="30">
        <f>SUMIF(Source_BS!$A:$A,"Accounts Receivable",Source_BS!L:L)</f>
        <v>0</v>
      </c>
      <c r="M16" s="30">
        <f>SUMIF(Source_BS!$A:$A,"Accounts Receivable",Source_BS!M:M)</f>
        <v>0</v>
      </c>
    </row>
    <row r="17" spans="1:13" x14ac:dyDescent="0.25">
      <c r="A17" s="20" t="s">
        <v>119</v>
      </c>
      <c r="B17" s="30">
        <f>SUMIF(Source_BS!$A:$A,"1100 Accounts Receivable",Source_BS!B:B)</f>
        <v>0</v>
      </c>
      <c r="C17" s="30">
        <f>SUMIF(Source_BS!$A:$A,"1100 Accounts Receivable",Source_BS!C:C)</f>
        <v>0</v>
      </c>
      <c r="D17" s="30">
        <f>SUMIF(Source_BS!$A:$A,"1100 Accounts Receivable",Source_BS!D:D)</f>
        <v>0</v>
      </c>
      <c r="E17" s="30">
        <f>SUMIF(Source_BS!$A:$A,"1100 Accounts Receivable",Source_BS!E:E)</f>
        <v>0</v>
      </c>
      <c r="F17" s="30">
        <f>SUMIF(Source_BS!$A:$A,"1100 Accounts Receivable",Source_BS!F:F)</f>
        <v>0</v>
      </c>
      <c r="G17" s="30">
        <f>SUMIF(Source_BS!$A:$A,"1100 Accounts Receivable",Source_BS!G:G)</f>
        <v>0</v>
      </c>
      <c r="H17" s="30">
        <f>SUMIF(Source_BS!$A:$A,"1100 Accounts Receivable",Source_BS!H:H)</f>
        <v>0</v>
      </c>
      <c r="I17" s="30">
        <f>SUMIF(Source_BS!$A:$A,"1100 Accounts Receivable",Source_BS!I:I)</f>
        <v>0</v>
      </c>
      <c r="J17" s="30">
        <f>SUMIF(Source_BS!$A:$A,"1100 Accounts Receivable",Source_BS!J:J)</f>
        <v>0</v>
      </c>
      <c r="K17" s="30">
        <f>SUMIF(Source_BS!$A:$A,"1100 Accounts Receivable",Source_BS!K:K)</f>
        <v>0</v>
      </c>
      <c r="L17" s="30">
        <f>SUMIF(Source_BS!$A:$A,"1100 Accounts Receivable",Source_BS!L:L)</f>
        <v>0</v>
      </c>
      <c r="M17" s="30">
        <f>SUMIF(Source_BS!$A:$A,"1100 Accounts Receivable",Source_BS!M:M)</f>
        <v>0</v>
      </c>
    </row>
    <row r="18" spans="1:13" x14ac:dyDescent="0.25">
      <c r="A18" s="23" t="s">
        <v>120</v>
      </c>
      <c r="B18" s="31">
        <f>SUMIF(Source_BS!$A:$A,"Total for Accounts Receivable",Source_BS!B:B)</f>
        <v>0</v>
      </c>
      <c r="C18" s="31">
        <f>SUMIF(Source_BS!$A:$A,"Total for Accounts Receivable",Source_BS!C:C)</f>
        <v>0</v>
      </c>
      <c r="D18" s="31">
        <f>SUMIF(Source_BS!$A:$A,"Total for Accounts Receivable",Source_BS!D:D)</f>
        <v>0</v>
      </c>
      <c r="E18" s="31">
        <f>SUMIF(Source_BS!$A:$A,"Total for Accounts Receivable",Source_BS!E:E)</f>
        <v>0</v>
      </c>
      <c r="F18" s="31">
        <f>SUMIF(Source_BS!$A:$A,"Total for Accounts Receivable",Source_BS!F:F)</f>
        <v>0</v>
      </c>
      <c r="G18" s="31">
        <f>SUMIF(Source_BS!$A:$A,"Total for Accounts Receivable",Source_BS!G:G)</f>
        <v>0</v>
      </c>
      <c r="H18" s="31">
        <f>SUMIF(Source_BS!$A:$A,"Total for Accounts Receivable",Source_BS!H:H)</f>
        <v>0</v>
      </c>
      <c r="I18" s="31">
        <f>SUMIF(Source_BS!$A:$A,"Total for Accounts Receivable",Source_BS!I:I)</f>
        <v>0</v>
      </c>
      <c r="J18" s="31">
        <f>SUMIF(Source_BS!$A:$A,"Total for Accounts Receivable",Source_BS!J:J)</f>
        <v>0</v>
      </c>
      <c r="K18" s="31">
        <f>SUMIF(Source_BS!$A:$A,"Total for Accounts Receivable",Source_BS!K:K)</f>
        <v>0</v>
      </c>
      <c r="L18" s="31">
        <f>SUMIF(Source_BS!$A:$A,"Total for Accounts Receivable",Source_BS!L:L)</f>
        <v>0</v>
      </c>
      <c r="M18" s="31">
        <f>SUMIF(Source_BS!$A:$A,"Total for Accounts Receivable",Source_BS!M:M)</f>
        <v>0</v>
      </c>
    </row>
    <row r="19" spans="1:13" x14ac:dyDescent="0.25">
      <c r="A19" s="20" t="s">
        <v>121</v>
      </c>
      <c r="B19" s="30">
        <f>SUMIF(Source_BS!$A:$A,"Other Current Assets",Source_BS!B:B)</f>
        <v>0</v>
      </c>
      <c r="C19" s="30">
        <f>SUMIF(Source_BS!$A:$A,"Other Current Assets",Source_BS!C:C)</f>
        <v>0</v>
      </c>
      <c r="D19" s="30">
        <f>SUMIF(Source_BS!$A:$A,"Other Current Assets",Source_BS!D:D)</f>
        <v>0</v>
      </c>
      <c r="E19" s="30">
        <f>SUMIF(Source_BS!$A:$A,"Other Current Assets",Source_BS!E:E)</f>
        <v>0</v>
      </c>
      <c r="F19" s="30">
        <f>SUMIF(Source_BS!$A:$A,"Other Current Assets",Source_BS!F:F)</f>
        <v>0</v>
      </c>
      <c r="G19" s="30">
        <f>SUMIF(Source_BS!$A:$A,"Other Current Assets",Source_BS!G:G)</f>
        <v>0</v>
      </c>
      <c r="H19" s="30">
        <f>SUMIF(Source_BS!$A:$A,"Other Current Assets",Source_BS!H:H)</f>
        <v>0</v>
      </c>
      <c r="I19" s="30">
        <f>SUMIF(Source_BS!$A:$A,"Other Current Assets",Source_BS!I:I)</f>
        <v>0</v>
      </c>
      <c r="J19" s="30">
        <f>SUMIF(Source_BS!$A:$A,"Other Current Assets",Source_BS!J:J)</f>
        <v>0</v>
      </c>
      <c r="K19" s="30">
        <f>SUMIF(Source_BS!$A:$A,"Other Current Assets",Source_BS!K:K)</f>
        <v>0</v>
      </c>
      <c r="L19" s="30">
        <f>SUMIF(Source_BS!$A:$A,"Other Current Assets",Source_BS!L:L)</f>
        <v>0</v>
      </c>
      <c r="M19" s="30">
        <f>SUMIF(Source_BS!$A:$A,"Other Current Assets",Source_BS!M:M)</f>
        <v>0</v>
      </c>
    </row>
    <row r="20" spans="1:13" x14ac:dyDescent="0.25">
      <c r="A20" s="20" t="s">
        <v>122</v>
      </c>
      <c r="B20" s="30">
        <f>SUMIF(Source_BS!$A:$A,"1101 Undeposited Funds",Source_BS!B:B)</f>
        <v>0</v>
      </c>
      <c r="C20" s="30">
        <f>SUMIF(Source_BS!$A:$A,"1101 Undeposited Funds",Source_BS!C:C)</f>
        <v>0</v>
      </c>
      <c r="D20" s="30">
        <f>SUMIF(Source_BS!$A:$A,"1101 Undeposited Funds",Source_BS!D:D)</f>
        <v>0</v>
      </c>
      <c r="E20" s="30">
        <f>SUMIF(Source_BS!$A:$A,"1101 Undeposited Funds",Source_BS!E:E)</f>
        <v>0</v>
      </c>
      <c r="F20" s="30">
        <f>SUMIF(Source_BS!$A:$A,"1101 Undeposited Funds",Source_BS!F:F)</f>
        <v>1846</v>
      </c>
      <c r="G20" s="30">
        <f>SUMIF(Source_BS!$A:$A,"1101 Undeposited Funds",Source_BS!G:G)</f>
        <v>0</v>
      </c>
      <c r="H20" s="30">
        <f>SUMIF(Source_BS!$A:$A,"1101 Undeposited Funds",Source_BS!H:H)</f>
        <v>0</v>
      </c>
      <c r="I20" s="30">
        <f>SUMIF(Source_BS!$A:$A,"1101 Undeposited Funds",Source_BS!I:I)</f>
        <v>0</v>
      </c>
      <c r="J20" s="30">
        <f>SUMIF(Source_BS!$A:$A,"1101 Undeposited Funds",Source_BS!J:J)</f>
        <v>0</v>
      </c>
      <c r="K20" s="30">
        <f>SUMIF(Source_BS!$A:$A,"1101 Undeposited Funds",Source_BS!K:K)</f>
        <v>0</v>
      </c>
      <c r="L20" s="30">
        <f>SUMIF(Source_BS!$A:$A,"1101 Undeposited Funds",Source_BS!L:L)</f>
        <v>0</v>
      </c>
      <c r="M20" s="30">
        <f>SUMIF(Source_BS!$A:$A,"1101 Undeposited Funds",Source_BS!M:M)</f>
        <v>0</v>
      </c>
    </row>
    <row r="21" spans="1:13" x14ac:dyDescent="0.25">
      <c r="A21" s="20" t="s">
        <v>123</v>
      </c>
      <c r="B21" s="30">
        <f>SUMIF(Source_BS!$A:$A,"1150 Due From Calibration",Source_BS!B:B)</f>
        <v>747.38</v>
      </c>
      <c r="C21" s="30">
        <f>SUMIF(Source_BS!$A:$A,"1150 Due From Calibration",Source_BS!C:C)</f>
        <v>747.38</v>
      </c>
      <c r="D21" s="30">
        <f>SUMIF(Source_BS!$A:$A,"1150 Due From Calibration",Source_BS!D:D)</f>
        <v>19358.440000000002</v>
      </c>
      <c r="E21" s="30">
        <f>SUMIF(Source_BS!$A:$A,"1150 Due From Calibration",Source_BS!E:E)</f>
        <v>28221.74</v>
      </c>
      <c r="F21" s="30">
        <f>SUMIF(Source_BS!$A:$A,"1150 Due From Calibration",Source_BS!F:F)</f>
        <v>25189.74</v>
      </c>
      <c r="G21" s="30">
        <f>SUMIF(Source_BS!$A:$A,"1150 Due From Calibration",Source_BS!G:G)</f>
        <v>30189.74</v>
      </c>
      <c r="H21" s="30">
        <f>SUMIF(Source_BS!$A:$A,"1150 Due From Calibration",Source_BS!H:H)</f>
        <v>30189.74</v>
      </c>
      <c r="I21" s="30">
        <f>SUMIF(Source_BS!$A:$A,"1150 Due From Calibration",Source_BS!I:I)</f>
        <v>28003.050000000003</v>
      </c>
      <c r="J21" s="30">
        <f>SUMIF(Source_BS!$A:$A,"1150 Due From Calibration",Source_BS!J:J)</f>
        <v>28003.050000000003</v>
      </c>
      <c r="K21" s="30">
        <f>SUMIF(Source_BS!$A:$A,"1150 Due From Calibration",Source_BS!K:K)</f>
        <v>28003.050000000003</v>
      </c>
      <c r="L21" s="30">
        <f>SUMIF(Source_BS!$A:$A,"1150 Due From Calibration",Source_BS!L:L)</f>
        <v>28003.050000000003</v>
      </c>
      <c r="M21" s="30">
        <f>SUMIF(Source_BS!$A:$A,"1150 Due From Calibration",Source_BS!M:M)</f>
        <v>28187.570000000003</v>
      </c>
    </row>
    <row r="22" spans="1:13" x14ac:dyDescent="0.25">
      <c r="A22" s="20" t="s">
        <v>124</v>
      </c>
      <c r="B22" s="30">
        <f>SUMIF(Source_BS!$A:$A,"1155 Due from Armadillo",Source_BS!B:B)</f>
        <v>0</v>
      </c>
      <c r="C22" s="30">
        <f>SUMIF(Source_BS!$A:$A,"1155 Due from Armadillo",Source_BS!C:C)</f>
        <v>0</v>
      </c>
      <c r="D22" s="30">
        <f>SUMIF(Source_BS!$A:$A,"1155 Due from Armadillo",Source_BS!D:D)</f>
        <v>0</v>
      </c>
      <c r="E22" s="30">
        <f>SUMIF(Source_BS!$A:$A,"1155 Due from Armadillo",Source_BS!E:E)</f>
        <v>0</v>
      </c>
      <c r="F22" s="30">
        <f>SUMIF(Source_BS!$A:$A,"1155 Due from Armadillo",Source_BS!F:F)</f>
        <v>11849</v>
      </c>
      <c r="G22" s="30">
        <f>SUMIF(Source_BS!$A:$A,"1155 Due from Armadillo",Source_BS!G:G)</f>
        <v>11849</v>
      </c>
      <c r="H22" s="30">
        <f>SUMIF(Source_BS!$A:$A,"1155 Due from Armadillo",Source_BS!H:H)</f>
        <v>11849</v>
      </c>
      <c r="I22" s="30">
        <f>SUMIF(Source_BS!$A:$A,"1155 Due from Armadillo",Source_BS!I:I)</f>
        <v>11849</v>
      </c>
      <c r="J22" s="30">
        <f>SUMIF(Source_BS!$A:$A,"1155 Due from Armadillo",Source_BS!J:J)</f>
        <v>11849</v>
      </c>
      <c r="K22" s="30">
        <f>SUMIF(Source_BS!$A:$A,"1155 Due from Armadillo",Source_BS!K:K)</f>
        <v>11849</v>
      </c>
      <c r="L22" s="30">
        <f>SUMIF(Source_BS!$A:$A,"1155 Due from Armadillo",Source_BS!L:L)</f>
        <v>11849</v>
      </c>
      <c r="M22" s="30">
        <f>SUMIF(Source_BS!$A:$A,"1155 Due from Armadillo",Source_BS!M:M)</f>
        <v>11849</v>
      </c>
    </row>
    <row r="23" spans="1:13" x14ac:dyDescent="0.25">
      <c r="A23" s="20" t="s">
        <v>125</v>
      </c>
      <c r="B23" s="30">
        <f>SUMIF(Source_BS!$A:$A,"1250 Employee Advances",Source_BS!B:B)</f>
        <v>0</v>
      </c>
      <c r="C23" s="30">
        <f>SUMIF(Source_BS!$A:$A,"1250 Employee Advances",Source_BS!C:C)</f>
        <v>0</v>
      </c>
      <c r="D23" s="30">
        <f>SUMIF(Source_BS!$A:$A,"1250 Employee Advances",Source_BS!D:D)</f>
        <v>0</v>
      </c>
      <c r="E23" s="30">
        <f>SUMIF(Source_BS!$A:$A,"1250 Employee Advances",Source_BS!E:E)</f>
        <v>0</v>
      </c>
      <c r="F23" s="30">
        <f>SUMIF(Source_BS!$A:$A,"1250 Employee Advances",Source_BS!F:F)</f>
        <v>0</v>
      </c>
      <c r="G23" s="30">
        <f>SUMIF(Source_BS!$A:$A,"1250 Employee Advances",Source_BS!G:G)</f>
        <v>0</v>
      </c>
      <c r="H23" s="30">
        <f>SUMIF(Source_BS!$A:$A,"1250 Employee Advances",Source_BS!H:H)</f>
        <v>0</v>
      </c>
      <c r="I23" s="30">
        <f>SUMIF(Source_BS!$A:$A,"1250 Employee Advances",Source_BS!I:I)</f>
        <v>0</v>
      </c>
      <c r="J23" s="30">
        <f>SUMIF(Source_BS!$A:$A,"1250 Employee Advances",Source_BS!J:J)</f>
        <v>0</v>
      </c>
      <c r="K23" s="30">
        <f>SUMIF(Source_BS!$A:$A,"1250 Employee Advances",Source_BS!K:K)</f>
        <v>0</v>
      </c>
      <c r="L23" s="30">
        <f>SUMIF(Source_BS!$A:$A,"1250 Employee Advances",Source_BS!L:L)</f>
        <v>0</v>
      </c>
      <c r="M23" s="30">
        <f>SUMIF(Source_BS!$A:$A,"1250 Employee Advances",Source_BS!M:M)</f>
        <v>0</v>
      </c>
    </row>
    <row r="24" spans="1:13" x14ac:dyDescent="0.25">
      <c r="A24" s="20" t="s">
        <v>126</v>
      </c>
      <c r="B24" s="30">
        <f>SUMIF(Source_BS!$A:$A,"1255 Employee Repayment",Source_BS!B:B)</f>
        <v>0</v>
      </c>
      <c r="C24" s="30">
        <f>SUMIF(Source_BS!$A:$A,"1255 Employee Repayment",Source_BS!C:C)</f>
        <v>0</v>
      </c>
      <c r="D24" s="30">
        <f>SUMIF(Source_BS!$A:$A,"1255 Employee Repayment",Source_BS!D:D)</f>
        <v>0</v>
      </c>
      <c r="E24" s="30">
        <f>SUMIF(Source_BS!$A:$A,"1255 Employee Repayment",Source_BS!E:E)</f>
        <v>0</v>
      </c>
      <c r="F24" s="30">
        <f>SUMIF(Source_BS!$A:$A,"1255 Employee Repayment",Source_BS!F:F)</f>
        <v>0</v>
      </c>
      <c r="G24" s="30">
        <f>SUMIF(Source_BS!$A:$A,"1255 Employee Repayment",Source_BS!G:G)</f>
        <v>0</v>
      </c>
      <c r="H24" s="30">
        <f>SUMIF(Source_BS!$A:$A,"1255 Employee Repayment",Source_BS!H:H)</f>
        <v>0</v>
      </c>
      <c r="I24" s="30">
        <f>SUMIF(Source_BS!$A:$A,"1255 Employee Repayment",Source_BS!I:I)</f>
        <v>0</v>
      </c>
      <c r="J24" s="30">
        <f>SUMIF(Source_BS!$A:$A,"1255 Employee Repayment",Source_BS!J:J)</f>
        <v>0</v>
      </c>
      <c r="K24" s="30">
        <f>SUMIF(Source_BS!$A:$A,"1255 Employee Repayment",Source_BS!K:K)</f>
        <v>0</v>
      </c>
      <c r="L24" s="30">
        <f>SUMIF(Source_BS!$A:$A,"1255 Employee Repayment",Source_BS!L:L)</f>
        <v>0</v>
      </c>
      <c r="M24" s="30">
        <f>SUMIF(Source_BS!$A:$A,"1255 Employee Repayment",Source_BS!M:M)</f>
        <v>0</v>
      </c>
    </row>
    <row r="25" spans="1:13" x14ac:dyDescent="0.25">
      <c r="A25" s="23" t="s">
        <v>127</v>
      </c>
      <c r="B25" s="31">
        <f>SUMIF(Source_BS!$A:$A,"Total for Other Current Assets",Source_BS!B:B)</f>
        <v>747.38</v>
      </c>
      <c r="C25" s="31">
        <f>SUMIF(Source_BS!$A:$A,"Total for Other Current Assets",Source_BS!C:C)</f>
        <v>747.38</v>
      </c>
      <c r="D25" s="31">
        <f>SUMIF(Source_BS!$A:$A,"Total for Other Current Assets",Source_BS!D:D)</f>
        <v>19358.440000000002</v>
      </c>
      <c r="E25" s="31">
        <f>SUMIF(Source_BS!$A:$A,"Total for Other Current Assets",Source_BS!E:E)</f>
        <v>28221.74</v>
      </c>
      <c r="F25" s="31">
        <f>SUMIF(Source_BS!$A:$A,"Total for Other Current Assets",Source_BS!F:F)</f>
        <v>38884.740000000005</v>
      </c>
      <c r="G25" s="31">
        <f>SUMIF(Source_BS!$A:$A,"Total for Other Current Assets",Source_BS!G:G)</f>
        <v>42038.740000000005</v>
      </c>
      <c r="H25" s="31">
        <f>SUMIF(Source_BS!$A:$A,"Total for Other Current Assets",Source_BS!H:H)</f>
        <v>42038.740000000005</v>
      </c>
      <c r="I25" s="31">
        <f>SUMIF(Source_BS!$A:$A,"Total for Other Current Assets",Source_BS!I:I)</f>
        <v>39852.050000000003</v>
      </c>
      <c r="J25" s="31">
        <f>SUMIF(Source_BS!$A:$A,"Total for Other Current Assets",Source_BS!J:J)</f>
        <v>39852.050000000003</v>
      </c>
      <c r="K25" s="31">
        <f>SUMIF(Source_BS!$A:$A,"Total for Other Current Assets",Source_BS!K:K)</f>
        <v>39852.050000000003</v>
      </c>
      <c r="L25" s="31">
        <f>SUMIF(Source_BS!$A:$A,"Total for Other Current Assets",Source_BS!L:L)</f>
        <v>39852.050000000003</v>
      </c>
      <c r="M25" s="31">
        <f>SUMIF(Source_BS!$A:$A,"Total for Other Current Assets",Source_BS!M:M)</f>
        <v>40036.570000000007</v>
      </c>
    </row>
    <row r="26" spans="1:13" x14ac:dyDescent="0.25">
      <c r="A26" s="23" t="s">
        <v>128</v>
      </c>
      <c r="B26" s="31">
        <f>SUMIF(Source_BS!$A:$A,"Total for Current Assets",Source_BS!B:B)</f>
        <v>314151.36</v>
      </c>
      <c r="C26" s="31">
        <f>SUMIF(Source_BS!$A:$A,"Total for Current Assets",Source_BS!C:C)</f>
        <v>196597.31000000003</v>
      </c>
      <c r="D26" s="31">
        <f>SUMIF(Source_BS!$A:$A,"Total for Current Assets",Source_BS!D:D)</f>
        <v>411169.97000000009</v>
      </c>
      <c r="E26" s="31">
        <f>SUMIF(Source_BS!$A:$A,"Total for Current Assets",Source_BS!E:E)</f>
        <v>321557.32</v>
      </c>
      <c r="F26" s="31">
        <f>SUMIF(Source_BS!$A:$A,"Total for Current Assets",Source_BS!F:F)</f>
        <v>359659.76000000007</v>
      </c>
      <c r="G26" s="31">
        <f>SUMIF(Source_BS!$A:$A,"Total for Current Assets",Source_BS!G:G)</f>
        <v>239522.67000000004</v>
      </c>
      <c r="H26" s="31">
        <f>SUMIF(Source_BS!$A:$A,"Total for Current Assets",Source_BS!H:H)</f>
        <v>302593.31000000006</v>
      </c>
      <c r="I26" s="31">
        <f>SUMIF(Source_BS!$A:$A,"Total for Current Assets",Source_BS!I:I)</f>
        <v>269255.65000000008</v>
      </c>
      <c r="J26" s="31">
        <f>SUMIF(Source_BS!$A:$A,"Total for Current Assets",Source_BS!J:J)</f>
        <v>357858.90000000008</v>
      </c>
      <c r="K26" s="31">
        <f>SUMIF(Source_BS!$A:$A,"Total for Current Assets",Source_BS!K:K)</f>
        <v>238462.36000000004</v>
      </c>
      <c r="L26" s="31">
        <f>SUMIF(Source_BS!$A:$A,"Total for Current Assets",Source_BS!L:L)</f>
        <v>311965.39000000007</v>
      </c>
      <c r="M26" s="31">
        <f>SUMIF(Source_BS!$A:$A,"Total for Current Assets",Source_BS!M:M)</f>
        <v>462273.17000000004</v>
      </c>
    </row>
    <row r="27" spans="1:13" x14ac:dyDescent="0.25">
      <c r="A27" s="20" t="s">
        <v>129</v>
      </c>
      <c r="B27" s="30">
        <f>SUMIF(Source_BS!$A:$A,"Fixed Assets",Source_BS!B:B)</f>
        <v>0</v>
      </c>
      <c r="C27" s="30">
        <f>SUMIF(Source_BS!$A:$A,"Fixed Assets",Source_BS!C:C)</f>
        <v>0</v>
      </c>
      <c r="D27" s="30">
        <f>SUMIF(Source_BS!$A:$A,"Fixed Assets",Source_BS!D:D)</f>
        <v>0</v>
      </c>
      <c r="E27" s="30">
        <f>SUMIF(Source_BS!$A:$A,"Fixed Assets",Source_BS!E:E)</f>
        <v>0</v>
      </c>
      <c r="F27" s="30">
        <f>SUMIF(Source_BS!$A:$A,"Fixed Assets",Source_BS!F:F)</f>
        <v>0</v>
      </c>
      <c r="G27" s="30">
        <f>SUMIF(Source_BS!$A:$A,"Fixed Assets",Source_BS!G:G)</f>
        <v>0</v>
      </c>
      <c r="H27" s="30">
        <f>SUMIF(Source_BS!$A:$A,"Fixed Assets",Source_BS!H:H)</f>
        <v>0</v>
      </c>
      <c r="I27" s="30">
        <f>SUMIF(Source_BS!$A:$A,"Fixed Assets",Source_BS!I:I)</f>
        <v>0</v>
      </c>
      <c r="J27" s="30">
        <f>SUMIF(Source_BS!$A:$A,"Fixed Assets",Source_BS!J:J)</f>
        <v>0</v>
      </c>
      <c r="K27" s="30">
        <f>SUMIF(Source_BS!$A:$A,"Fixed Assets",Source_BS!K:K)</f>
        <v>0</v>
      </c>
      <c r="L27" s="30">
        <f>SUMIF(Source_BS!$A:$A,"Fixed Assets",Source_BS!L:L)</f>
        <v>0</v>
      </c>
      <c r="M27" s="30">
        <f>SUMIF(Source_BS!$A:$A,"Fixed Assets",Source_BS!M:M)</f>
        <v>0</v>
      </c>
    </row>
    <row r="28" spans="1:13" x14ac:dyDescent="0.25">
      <c r="A28" s="20" t="s">
        <v>130</v>
      </c>
      <c r="B28" s="30">
        <f>SUMIF(Source_BS!$A:$A,"1500 Company Assets",Source_BS!B:B)</f>
        <v>0</v>
      </c>
      <c r="C28" s="30">
        <f>SUMIF(Source_BS!$A:$A,"1500 Company Assets",Source_BS!C:C)</f>
        <v>0</v>
      </c>
      <c r="D28" s="30">
        <f>SUMIF(Source_BS!$A:$A,"1500 Company Assets",Source_BS!D:D)</f>
        <v>0</v>
      </c>
      <c r="E28" s="30">
        <f>SUMIF(Source_BS!$A:$A,"1500 Company Assets",Source_BS!E:E)</f>
        <v>0</v>
      </c>
      <c r="F28" s="30">
        <f>SUMIF(Source_BS!$A:$A,"1500 Company Assets",Source_BS!F:F)</f>
        <v>0</v>
      </c>
      <c r="G28" s="30">
        <f>SUMIF(Source_BS!$A:$A,"1500 Company Assets",Source_BS!G:G)</f>
        <v>0</v>
      </c>
      <c r="H28" s="30">
        <f>SUMIF(Source_BS!$A:$A,"1500 Company Assets",Source_BS!H:H)</f>
        <v>0</v>
      </c>
      <c r="I28" s="30">
        <f>SUMIF(Source_BS!$A:$A,"1500 Company Assets",Source_BS!I:I)</f>
        <v>0</v>
      </c>
      <c r="J28" s="30">
        <f>SUMIF(Source_BS!$A:$A,"1500 Company Assets",Source_BS!J:J)</f>
        <v>0</v>
      </c>
      <c r="K28" s="30">
        <f>SUMIF(Source_BS!$A:$A,"1500 Company Assets",Source_BS!K:K)</f>
        <v>0</v>
      </c>
      <c r="L28" s="30">
        <f>SUMIF(Source_BS!$A:$A,"1500 Company Assets",Source_BS!L:L)</f>
        <v>0</v>
      </c>
      <c r="M28" s="30">
        <f>SUMIF(Source_BS!$A:$A,"1500 Company Assets",Source_BS!M:M)</f>
        <v>0</v>
      </c>
    </row>
    <row r="29" spans="1:13" x14ac:dyDescent="0.25">
      <c r="A29" s="20" t="s">
        <v>131</v>
      </c>
      <c r="B29" s="30">
        <f>SUMIF(Source_BS!$A:$A,"1510 Machinery &amp; Equipment",Source_BS!B:B)</f>
        <v>887944.59</v>
      </c>
      <c r="C29" s="30">
        <f>SUMIF(Source_BS!$A:$A,"1510 Machinery &amp; Equipment",Source_BS!C:C)</f>
        <v>887944.59</v>
      </c>
      <c r="D29" s="30">
        <f>SUMIF(Source_BS!$A:$A,"1510 Machinery &amp; Equipment",Source_BS!D:D)</f>
        <v>887944.59</v>
      </c>
      <c r="E29" s="30">
        <f>SUMIF(Source_BS!$A:$A,"1510 Machinery &amp; Equipment",Source_BS!E:E)</f>
        <v>887944.59</v>
      </c>
      <c r="F29" s="30">
        <f>SUMIF(Source_BS!$A:$A,"1510 Machinery &amp; Equipment",Source_BS!F:F)</f>
        <v>887944.59</v>
      </c>
      <c r="G29" s="30">
        <f>SUMIF(Source_BS!$A:$A,"1510 Machinery &amp; Equipment",Source_BS!G:G)</f>
        <v>887944.59</v>
      </c>
      <c r="H29" s="30">
        <f>SUMIF(Source_BS!$A:$A,"1510 Machinery &amp; Equipment",Source_BS!H:H)</f>
        <v>887944.59</v>
      </c>
      <c r="I29" s="30">
        <f>SUMIF(Source_BS!$A:$A,"1510 Machinery &amp; Equipment",Source_BS!I:I)</f>
        <v>887944.59</v>
      </c>
      <c r="J29" s="30">
        <f>SUMIF(Source_BS!$A:$A,"1510 Machinery &amp; Equipment",Source_BS!J:J)</f>
        <v>979155.2</v>
      </c>
      <c r="K29" s="30">
        <f>SUMIF(Source_BS!$A:$A,"1510 Machinery &amp; Equipment",Source_BS!K:K)</f>
        <v>1007973.58</v>
      </c>
      <c r="L29" s="30">
        <f>SUMIF(Source_BS!$A:$A,"1510 Machinery &amp; Equipment",Source_BS!L:L)</f>
        <v>1007973.58</v>
      </c>
      <c r="M29" s="30">
        <f>SUMIF(Source_BS!$A:$A,"1510 Machinery &amp; Equipment",Source_BS!M:M)</f>
        <v>798927.54999999993</v>
      </c>
    </row>
    <row r="30" spans="1:13" x14ac:dyDescent="0.25">
      <c r="A30" s="20" t="s">
        <v>132</v>
      </c>
      <c r="B30" s="30">
        <f>SUMIF(Source_BS!$A:$A,"1530 Furniture and Small Equipment",Source_BS!B:B)</f>
        <v>23657.119999999999</v>
      </c>
      <c r="C30" s="30">
        <f>SUMIF(Source_BS!$A:$A,"1530 Furniture and Small Equipment",Source_BS!C:C)</f>
        <v>23657.119999999999</v>
      </c>
      <c r="D30" s="30">
        <f>SUMIF(Source_BS!$A:$A,"1530 Furniture and Small Equipment",Source_BS!D:D)</f>
        <v>23657.119999999999</v>
      </c>
      <c r="E30" s="30">
        <f>SUMIF(Source_BS!$A:$A,"1530 Furniture and Small Equipment",Source_BS!E:E)</f>
        <v>23657.119999999999</v>
      </c>
      <c r="F30" s="30">
        <f>SUMIF(Source_BS!$A:$A,"1530 Furniture and Small Equipment",Source_BS!F:F)</f>
        <v>23657.119999999999</v>
      </c>
      <c r="G30" s="30">
        <f>SUMIF(Source_BS!$A:$A,"1530 Furniture and Small Equipment",Source_BS!G:G)</f>
        <v>23657.119999999999</v>
      </c>
      <c r="H30" s="30">
        <f>SUMIF(Source_BS!$A:$A,"1530 Furniture and Small Equipment",Source_BS!H:H)</f>
        <v>23657.119999999999</v>
      </c>
      <c r="I30" s="30">
        <f>SUMIF(Source_BS!$A:$A,"1530 Furniture and Small Equipment",Source_BS!I:I)</f>
        <v>23657.119999999999</v>
      </c>
      <c r="J30" s="30">
        <f>SUMIF(Source_BS!$A:$A,"1530 Furniture and Small Equipment",Source_BS!J:J)</f>
        <v>23657.119999999999</v>
      </c>
      <c r="K30" s="30">
        <f>SUMIF(Source_BS!$A:$A,"1530 Furniture and Small Equipment",Source_BS!K:K)</f>
        <v>23657.119999999999</v>
      </c>
      <c r="L30" s="30">
        <f>SUMIF(Source_BS!$A:$A,"1530 Furniture and Small Equipment",Source_BS!L:L)</f>
        <v>23657.119999999999</v>
      </c>
      <c r="M30" s="30">
        <f>SUMIF(Source_BS!$A:$A,"1530 Furniture and Small Equipment",Source_BS!M:M)</f>
        <v>4995.4500000000007</v>
      </c>
    </row>
    <row r="31" spans="1:13" x14ac:dyDescent="0.25">
      <c r="A31" s="20" t="s">
        <v>133</v>
      </c>
      <c r="B31" s="30">
        <f>SUMIF(Source_BS!$A:$A,"1600 Buildings",Source_BS!B:B)</f>
        <v>0</v>
      </c>
      <c r="C31" s="30">
        <f>SUMIF(Source_BS!$A:$A,"1600 Buildings",Source_BS!C:C)</f>
        <v>0</v>
      </c>
      <c r="D31" s="30">
        <f>SUMIF(Source_BS!$A:$A,"1600 Buildings",Source_BS!D:D)</f>
        <v>0</v>
      </c>
      <c r="E31" s="30">
        <f>SUMIF(Source_BS!$A:$A,"1600 Buildings",Source_BS!E:E)</f>
        <v>0</v>
      </c>
      <c r="F31" s="30">
        <f>SUMIF(Source_BS!$A:$A,"1600 Buildings",Source_BS!F:F)</f>
        <v>0</v>
      </c>
      <c r="G31" s="30">
        <f>SUMIF(Source_BS!$A:$A,"1600 Buildings",Source_BS!G:G)</f>
        <v>0</v>
      </c>
      <c r="H31" s="30">
        <f>SUMIF(Source_BS!$A:$A,"1600 Buildings",Source_BS!H:H)</f>
        <v>0</v>
      </c>
      <c r="I31" s="30">
        <f>SUMIF(Source_BS!$A:$A,"1600 Buildings",Source_BS!I:I)</f>
        <v>0</v>
      </c>
      <c r="J31" s="30">
        <f>SUMIF(Source_BS!$A:$A,"1600 Buildings",Source_BS!J:J)</f>
        <v>0</v>
      </c>
      <c r="K31" s="30">
        <f>SUMIF(Source_BS!$A:$A,"1600 Buildings",Source_BS!K:K)</f>
        <v>0</v>
      </c>
      <c r="L31" s="30">
        <f>SUMIF(Source_BS!$A:$A,"1600 Buildings",Source_BS!L:L)</f>
        <v>0</v>
      </c>
      <c r="M31" s="30">
        <f>SUMIF(Source_BS!$A:$A,"1600 Buildings",Source_BS!M:M)</f>
        <v>0</v>
      </c>
    </row>
    <row r="32" spans="1:13" x14ac:dyDescent="0.25">
      <c r="A32" s="20" t="s">
        <v>134</v>
      </c>
      <c r="B32" s="30">
        <f>SUMIF(Source_BS!$A:$A,"1601 AMP New Building #1",Source_BS!B:B)</f>
        <v>54871.06</v>
      </c>
      <c r="C32" s="30">
        <f>SUMIF(Source_BS!$A:$A,"1601 AMP New Building #1",Source_BS!C:C)</f>
        <v>54871.06</v>
      </c>
      <c r="D32" s="30">
        <f>SUMIF(Source_BS!$A:$A,"1601 AMP New Building #1",Source_BS!D:D)</f>
        <v>54871.06</v>
      </c>
      <c r="E32" s="30">
        <f>SUMIF(Source_BS!$A:$A,"1601 AMP New Building #1",Source_BS!E:E)</f>
        <v>54871.06</v>
      </c>
      <c r="F32" s="30">
        <f>SUMIF(Source_BS!$A:$A,"1601 AMP New Building #1",Source_BS!F:F)</f>
        <v>54871.06</v>
      </c>
      <c r="G32" s="30">
        <f>SUMIF(Source_BS!$A:$A,"1601 AMP New Building #1",Source_BS!G:G)</f>
        <v>54871.06</v>
      </c>
      <c r="H32" s="30">
        <f>SUMIF(Source_BS!$A:$A,"1601 AMP New Building #1",Source_BS!H:H)</f>
        <v>54871.06</v>
      </c>
      <c r="I32" s="30">
        <f>SUMIF(Source_BS!$A:$A,"1601 AMP New Building #1",Source_BS!I:I)</f>
        <v>54871.06</v>
      </c>
      <c r="J32" s="30">
        <f>SUMIF(Source_BS!$A:$A,"1601 AMP New Building #1",Source_BS!J:J)</f>
        <v>54871.06</v>
      </c>
      <c r="K32" s="30">
        <f>SUMIF(Source_BS!$A:$A,"1601 AMP New Building #1",Source_BS!K:K)</f>
        <v>54871.06</v>
      </c>
      <c r="L32" s="30">
        <f>SUMIF(Source_BS!$A:$A,"1601 AMP New Building #1",Source_BS!L:L)</f>
        <v>54871.06</v>
      </c>
      <c r="M32" s="30">
        <f>SUMIF(Source_BS!$A:$A,"1601 AMP New Building #1",Source_BS!M:M)</f>
        <v>0</v>
      </c>
    </row>
    <row r="33" spans="1:13" x14ac:dyDescent="0.25">
      <c r="A33" s="20" t="s">
        <v>135</v>
      </c>
      <c r="B33" s="30">
        <f>SUMIF(Source_BS!$A:$A,"1602 AMP New Building #2",Source_BS!B:B)</f>
        <v>18384.43</v>
      </c>
      <c r="C33" s="30">
        <f>SUMIF(Source_BS!$A:$A,"1602 AMP New Building #2",Source_BS!C:C)</f>
        <v>18384.43</v>
      </c>
      <c r="D33" s="30">
        <f>SUMIF(Source_BS!$A:$A,"1602 AMP New Building #2",Source_BS!D:D)</f>
        <v>18384.43</v>
      </c>
      <c r="E33" s="30">
        <f>SUMIF(Source_BS!$A:$A,"1602 AMP New Building #2",Source_BS!E:E)</f>
        <v>18384.43</v>
      </c>
      <c r="F33" s="30">
        <f>SUMIF(Source_BS!$A:$A,"1602 AMP New Building #2",Source_BS!F:F)</f>
        <v>18384.43</v>
      </c>
      <c r="G33" s="30">
        <f>SUMIF(Source_BS!$A:$A,"1602 AMP New Building #2",Source_BS!G:G)</f>
        <v>18384.43</v>
      </c>
      <c r="H33" s="30">
        <f>SUMIF(Source_BS!$A:$A,"1602 AMP New Building #2",Source_BS!H:H)</f>
        <v>18384.43</v>
      </c>
      <c r="I33" s="30">
        <f>SUMIF(Source_BS!$A:$A,"1602 AMP New Building #2",Source_BS!I:I)</f>
        <v>18384.43</v>
      </c>
      <c r="J33" s="30">
        <f>SUMIF(Source_BS!$A:$A,"1602 AMP New Building #2",Source_BS!J:J)</f>
        <v>18384.43</v>
      </c>
      <c r="K33" s="30">
        <f>SUMIF(Source_BS!$A:$A,"1602 AMP New Building #2",Source_BS!K:K)</f>
        <v>18384.43</v>
      </c>
      <c r="L33" s="30">
        <f>SUMIF(Source_BS!$A:$A,"1602 AMP New Building #2",Source_BS!L:L)</f>
        <v>18384.43</v>
      </c>
      <c r="M33" s="30">
        <f>SUMIF(Source_BS!$A:$A,"1602 AMP New Building #2",Source_BS!M:M)</f>
        <v>0</v>
      </c>
    </row>
    <row r="34" spans="1:13" x14ac:dyDescent="0.25">
      <c r="A34" s="20" t="s">
        <v>136</v>
      </c>
      <c r="B34" s="30">
        <f>SUMIF(Source_BS!$A:$A,"1603 Building Renovations",Source_BS!B:B)</f>
        <v>103275.77</v>
      </c>
      <c r="C34" s="30">
        <f>SUMIF(Source_BS!$A:$A,"1603 Building Renovations",Source_BS!C:C)</f>
        <v>172805.96000000002</v>
      </c>
      <c r="D34" s="30">
        <f>SUMIF(Source_BS!$A:$A,"1603 Building Renovations",Source_BS!D:D)</f>
        <v>172805.96000000002</v>
      </c>
      <c r="E34" s="30">
        <f>SUMIF(Source_BS!$A:$A,"1603 Building Renovations",Source_BS!E:E)</f>
        <v>172805.96000000002</v>
      </c>
      <c r="F34" s="30">
        <f>SUMIF(Source_BS!$A:$A,"1603 Building Renovations",Source_BS!F:F)</f>
        <v>172805.96000000002</v>
      </c>
      <c r="G34" s="30">
        <f>SUMIF(Source_BS!$A:$A,"1603 Building Renovations",Source_BS!G:G)</f>
        <v>172805.96000000002</v>
      </c>
      <c r="H34" s="30">
        <f>SUMIF(Source_BS!$A:$A,"1603 Building Renovations",Source_BS!H:H)</f>
        <v>172805.96000000002</v>
      </c>
      <c r="I34" s="30">
        <f>SUMIF(Source_BS!$A:$A,"1603 Building Renovations",Source_BS!I:I)</f>
        <v>172805.96000000002</v>
      </c>
      <c r="J34" s="30">
        <f>SUMIF(Source_BS!$A:$A,"1603 Building Renovations",Source_BS!J:J)</f>
        <v>172805.96000000002</v>
      </c>
      <c r="K34" s="30">
        <f>SUMIF(Source_BS!$A:$A,"1603 Building Renovations",Source_BS!K:K)</f>
        <v>193555.96000000002</v>
      </c>
      <c r="L34" s="30">
        <f>SUMIF(Source_BS!$A:$A,"1603 Building Renovations",Source_BS!L:L)</f>
        <v>193555.96000000002</v>
      </c>
      <c r="M34" s="30">
        <f>SUMIF(Source_BS!$A:$A,"1603 Building Renovations",Source_BS!M:M)</f>
        <v>193555.96000000002</v>
      </c>
    </row>
    <row r="35" spans="1:13" x14ac:dyDescent="0.25">
      <c r="A35" s="23" t="s">
        <v>137</v>
      </c>
      <c r="B35" s="31">
        <f>SUMIF(Source_BS!$A:$A,"Total for 1600 Buildings",Source_BS!B:B)</f>
        <v>176531.26</v>
      </c>
      <c r="C35" s="31">
        <f>SUMIF(Source_BS!$A:$A,"Total for 1600 Buildings",Source_BS!C:C)</f>
        <v>246061.45</v>
      </c>
      <c r="D35" s="31">
        <f>SUMIF(Source_BS!$A:$A,"Total for 1600 Buildings",Source_BS!D:D)</f>
        <v>246061.45</v>
      </c>
      <c r="E35" s="31">
        <f>SUMIF(Source_BS!$A:$A,"Total for 1600 Buildings",Source_BS!E:E)</f>
        <v>246061.45</v>
      </c>
      <c r="F35" s="31">
        <f>SUMIF(Source_BS!$A:$A,"Total for 1600 Buildings",Source_BS!F:F)</f>
        <v>246061.45</v>
      </c>
      <c r="G35" s="31">
        <f>SUMIF(Source_BS!$A:$A,"Total for 1600 Buildings",Source_BS!G:G)</f>
        <v>246061.45</v>
      </c>
      <c r="H35" s="31">
        <f>SUMIF(Source_BS!$A:$A,"Total for 1600 Buildings",Source_BS!H:H)</f>
        <v>246061.45</v>
      </c>
      <c r="I35" s="31">
        <f>SUMIF(Source_BS!$A:$A,"Total for 1600 Buildings",Source_BS!I:I)</f>
        <v>246061.45</v>
      </c>
      <c r="J35" s="31">
        <f>SUMIF(Source_BS!$A:$A,"Total for 1600 Buildings",Source_BS!J:J)</f>
        <v>246061.45</v>
      </c>
      <c r="K35" s="31">
        <f>SUMIF(Source_BS!$A:$A,"Total for 1600 Buildings",Source_BS!K:K)</f>
        <v>266811.45</v>
      </c>
      <c r="L35" s="31">
        <f>SUMIF(Source_BS!$A:$A,"Total for 1600 Buildings",Source_BS!L:L)</f>
        <v>266811.45</v>
      </c>
      <c r="M35" s="31">
        <f>SUMIF(Source_BS!$A:$A,"Total for 1600 Buildings",Source_BS!M:M)</f>
        <v>193555.96000000002</v>
      </c>
    </row>
    <row r="36" spans="1:13" x14ac:dyDescent="0.25">
      <c r="A36" s="20" t="s">
        <v>138</v>
      </c>
      <c r="B36" s="30">
        <f>SUMIF(Source_BS!$A:$A,"1700 Computers &amp; Software",Source_BS!B:B)</f>
        <v>33286.22</v>
      </c>
      <c r="C36" s="30">
        <f>SUMIF(Source_BS!$A:$A,"1700 Computers &amp; Software",Source_BS!C:C)</f>
        <v>33286.22</v>
      </c>
      <c r="D36" s="30">
        <f>SUMIF(Source_BS!$A:$A,"1700 Computers &amp; Software",Source_BS!D:D)</f>
        <v>33286.22</v>
      </c>
      <c r="E36" s="30">
        <f>SUMIF(Source_BS!$A:$A,"1700 Computers &amp; Software",Source_BS!E:E)</f>
        <v>33286.22</v>
      </c>
      <c r="F36" s="30">
        <f>SUMIF(Source_BS!$A:$A,"1700 Computers &amp; Software",Source_BS!F:F)</f>
        <v>33286.22</v>
      </c>
      <c r="G36" s="30">
        <f>SUMIF(Source_BS!$A:$A,"1700 Computers &amp; Software",Source_BS!G:G)</f>
        <v>33286.22</v>
      </c>
      <c r="H36" s="30">
        <f>SUMIF(Source_BS!$A:$A,"1700 Computers &amp; Software",Source_BS!H:H)</f>
        <v>33286.22</v>
      </c>
      <c r="I36" s="30">
        <f>SUMIF(Source_BS!$A:$A,"1700 Computers &amp; Software",Source_BS!I:I)</f>
        <v>33286.22</v>
      </c>
      <c r="J36" s="30">
        <f>SUMIF(Source_BS!$A:$A,"1700 Computers &amp; Software",Source_BS!J:J)</f>
        <v>33286.22</v>
      </c>
      <c r="K36" s="30">
        <f>SUMIF(Source_BS!$A:$A,"1700 Computers &amp; Software",Source_BS!K:K)</f>
        <v>38358.300000000003</v>
      </c>
      <c r="L36" s="30">
        <f>SUMIF(Source_BS!$A:$A,"1700 Computers &amp; Software",Source_BS!L:L)</f>
        <v>47272.060000000005</v>
      </c>
      <c r="M36" s="30">
        <f>SUMIF(Source_BS!$A:$A,"1700 Computers &amp; Software",Source_BS!M:M)</f>
        <v>41549.47</v>
      </c>
    </row>
    <row r="37" spans="1:13" x14ac:dyDescent="0.25">
      <c r="A37" s="20" t="s">
        <v>139</v>
      </c>
      <c r="B37" s="30">
        <f>SUMIF(Source_BS!$A:$A,"1800 Automobiles &amp; Trucks",Source_BS!B:B)</f>
        <v>761069.27</v>
      </c>
      <c r="C37" s="30">
        <f>SUMIF(Source_BS!$A:$A,"1800 Automobiles &amp; Trucks",Source_BS!C:C)</f>
        <v>761069.27</v>
      </c>
      <c r="D37" s="30">
        <f>SUMIF(Source_BS!$A:$A,"1800 Automobiles &amp; Trucks",Source_BS!D:D)</f>
        <v>761069.27</v>
      </c>
      <c r="E37" s="30">
        <f>SUMIF(Source_BS!$A:$A,"1800 Automobiles &amp; Trucks",Source_BS!E:E)</f>
        <v>761069.27</v>
      </c>
      <c r="F37" s="30">
        <f>SUMIF(Source_BS!$A:$A,"1800 Automobiles &amp; Trucks",Source_BS!F:F)</f>
        <v>811454.27</v>
      </c>
      <c r="G37" s="30">
        <f>SUMIF(Source_BS!$A:$A,"1800 Automobiles &amp; Trucks",Source_BS!G:G)</f>
        <v>932344.27</v>
      </c>
      <c r="H37" s="30">
        <f>SUMIF(Source_BS!$A:$A,"1800 Automobiles &amp; Trucks",Source_BS!H:H)</f>
        <v>932344.27</v>
      </c>
      <c r="I37" s="30">
        <f>SUMIF(Source_BS!$A:$A,"1800 Automobiles &amp; Trucks",Source_BS!I:I)</f>
        <v>932344.27</v>
      </c>
      <c r="J37" s="30">
        <f>SUMIF(Source_BS!$A:$A,"1800 Automobiles &amp; Trucks",Source_BS!J:J)</f>
        <v>932344.27</v>
      </c>
      <c r="K37" s="30">
        <f>SUMIF(Source_BS!$A:$A,"1800 Automobiles &amp; Trucks",Source_BS!K:K)</f>
        <v>932344.27</v>
      </c>
      <c r="L37" s="30">
        <f>SUMIF(Source_BS!$A:$A,"1800 Automobiles &amp; Trucks",Source_BS!L:L)</f>
        <v>932344.27</v>
      </c>
      <c r="M37" s="30">
        <f>SUMIF(Source_BS!$A:$A,"1800 Automobiles &amp; Trucks",Source_BS!M:M)</f>
        <v>916024.9</v>
      </c>
    </row>
    <row r="38" spans="1:13" x14ac:dyDescent="0.25">
      <c r="A38" s="20" t="s">
        <v>140</v>
      </c>
      <c r="B38" s="30">
        <f>SUMIF(Source_BS!$A:$A,"1805 Truck 26 - 2018 Ford F150",Source_BS!B:B)</f>
        <v>48500</v>
      </c>
      <c r="C38" s="30">
        <f>SUMIF(Source_BS!$A:$A,"1805 Truck 26 - 2018 Ford F150",Source_BS!C:C)</f>
        <v>48500</v>
      </c>
      <c r="D38" s="30">
        <f>SUMIF(Source_BS!$A:$A,"1805 Truck 26 - 2018 Ford F150",Source_BS!D:D)</f>
        <v>48500</v>
      </c>
      <c r="E38" s="30">
        <f>SUMIF(Source_BS!$A:$A,"1805 Truck 26 - 2018 Ford F150",Source_BS!E:E)</f>
        <v>48500</v>
      </c>
      <c r="F38" s="30">
        <f>SUMIF(Source_BS!$A:$A,"1805 Truck 26 - 2018 Ford F150",Source_BS!F:F)</f>
        <v>48500</v>
      </c>
      <c r="G38" s="30">
        <f>SUMIF(Source_BS!$A:$A,"1805 Truck 26 - 2018 Ford F150",Source_BS!G:G)</f>
        <v>48500</v>
      </c>
      <c r="H38" s="30">
        <f>SUMIF(Source_BS!$A:$A,"1805 Truck 26 - 2018 Ford F150",Source_BS!H:H)</f>
        <v>48500</v>
      </c>
      <c r="I38" s="30">
        <f>SUMIF(Source_BS!$A:$A,"1805 Truck 26 - 2018 Ford F150",Source_BS!I:I)</f>
        <v>48500</v>
      </c>
      <c r="J38" s="30">
        <f>SUMIF(Source_BS!$A:$A,"1805 Truck 26 - 2018 Ford F150",Source_BS!J:J)</f>
        <v>48500</v>
      </c>
      <c r="K38" s="30">
        <f>SUMIF(Source_BS!$A:$A,"1805 Truck 26 - 2018 Ford F150",Source_BS!K:K)</f>
        <v>48500</v>
      </c>
      <c r="L38" s="30">
        <f>SUMIF(Source_BS!$A:$A,"1805 Truck 26 - 2018 Ford F150",Source_BS!L:L)</f>
        <v>48500</v>
      </c>
      <c r="M38" s="30">
        <f>SUMIF(Source_BS!$A:$A,"1805 Truck 26 - 2018 Ford F150",Source_BS!M:M)</f>
        <v>48500</v>
      </c>
    </row>
    <row r="39" spans="1:13" x14ac:dyDescent="0.25">
      <c r="A39" s="20" t="s">
        <v>141</v>
      </c>
      <c r="B39" s="30">
        <f>SUMIF(Source_BS!$A:$A,"1801 Truck 22 - 2022 Ford Bronco",Source_BS!B:B)</f>
        <v>70555.56</v>
      </c>
      <c r="C39" s="30">
        <f>SUMIF(Source_BS!$A:$A,"1801 Truck 22 - 2022 Ford Bronco",Source_BS!C:C)</f>
        <v>70555.56</v>
      </c>
      <c r="D39" s="30">
        <f>SUMIF(Source_BS!$A:$A,"1801 Truck 22 - 2022 Ford Bronco",Source_BS!D:D)</f>
        <v>70555.56</v>
      </c>
      <c r="E39" s="30">
        <f>SUMIF(Source_BS!$A:$A,"1801 Truck 22 - 2022 Ford Bronco",Source_BS!E:E)</f>
        <v>70555.56</v>
      </c>
      <c r="F39" s="30">
        <f>SUMIF(Source_BS!$A:$A,"1801 Truck 22 - 2022 Ford Bronco",Source_BS!F:F)</f>
        <v>70555.56</v>
      </c>
      <c r="G39" s="30">
        <f>SUMIF(Source_BS!$A:$A,"1801 Truck 22 - 2022 Ford Bronco",Source_BS!G:G)</f>
        <v>70555.56</v>
      </c>
      <c r="H39" s="30">
        <f>SUMIF(Source_BS!$A:$A,"1801 Truck 22 - 2022 Ford Bronco",Source_BS!H:H)</f>
        <v>70555.56</v>
      </c>
      <c r="I39" s="30">
        <f>SUMIF(Source_BS!$A:$A,"1801 Truck 22 - 2022 Ford Bronco",Source_BS!I:I)</f>
        <v>70555.56</v>
      </c>
      <c r="J39" s="30">
        <f>SUMIF(Source_BS!$A:$A,"1801 Truck 22 - 2022 Ford Bronco",Source_BS!J:J)</f>
        <v>70555.56</v>
      </c>
      <c r="K39" s="30">
        <f>SUMIF(Source_BS!$A:$A,"1801 Truck 22 - 2022 Ford Bronco",Source_BS!K:K)</f>
        <v>70555.56</v>
      </c>
      <c r="L39" s="30">
        <f>SUMIF(Source_BS!$A:$A,"1801 Truck 22 - 2022 Ford Bronco",Source_BS!L:L)</f>
        <v>70555.56</v>
      </c>
      <c r="M39" s="30">
        <f>SUMIF(Source_BS!$A:$A,"1801 Truck 22 - 2022 Ford Bronco",Source_BS!M:M)</f>
        <v>70555.56</v>
      </c>
    </row>
    <row r="40" spans="1:13" x14ac:dyDescent="0.25">
      <c r="A40" s="23" t="s">
        <v>142</v>
      </c>
      <c r="B40" s="31">
        <f>SUMIF(Source_BS!$A:$A,"Total for 1800 Automobiles &amp; Trucks",Source_BS!B:B)</f>
        <v>880124.83000000007</v>
      </c>
      <c r="C40" s="31">
        <f>SUMIF(Source_BS!$A:$A,"Total for 1800 Automobiles &amp; Trucks",Source_BS!C:C)</f>
        <v>880124.83000000007</v>
      </c>
      <c r="D40" s="31">
        <f>SUMIF(Source_BS!$A:$A,"Total for 1800 Automobiles &amp; Trucks",Source_BS!D:D)</f>
        <v>880124.83000000007</v>
      </c>
      <c r="E40" s="31">
        <f>SUMIF(Source_BS!$A:$A,"Total for 1800 Automobiles &amp; Trucks",Source_BS!E:E)</f>
        <v>880124.83000000007</v>
      </c>
      <c r="F40" s="31">
        <f>SUMIF(Source_BS!$A:$A,"Total for 1800 Automobiles &amp; Trucks",Source_BS!F:F)</f>
        <v>930509.83000000007</v>
      </c>
      <c r="G40" s="31">
        <f>SUMIF(Source_BS!$A:$A,"Total for 1800 Automobiles &amp; Trucks",Source_BS!G:G)</f>
        <v>1051399.83</v>
      </c>
      <c r="H40" s="31">
        <f>SUMIF(Source_BS!$A:$A,"Total for 1800 Automobiles &amp; Trucks",Source_BS!H:H)</f>
        <v>1051399.83</v>
      </c>
      <c r="I40" s="31">
        <f>SUMIF(Source_BS!$A:$A,"Total for 1800 Automobiles &amp; Trucks",Source_BS!I:I)</f>
        <v>1051399.83</v>
      </c>
      <c r="J40" s="31">
        <f>SUMIF(Source_BS!$A:$A,"Total for 1800 Automobiles &amp; Trucks",Source_BS!J:J)</f>
        <v>1051399.83</v>
      </c>
      <c r="K40" s="31">
        <f>SUMIF(Source_BS!$A:$A,"Total for 1800 Automobiles &amp; Trucks",Source_BS!K:K)</f>
        <v>1051399.83</v>
      </c>
      <c r="L40" s="31">
        <f>SUMIF(Source_BS!$A:$A,"Total for 1800 Automobiles &amp; Trucks",Source_BS!L:L)</f>
        <v>1051399.83</v>
      </c>
      <c r="M40" s="31">
        <f>SUMIF(Source_BS!$A:$A,"Total for 1800 Automobiles &amp; Trucks",Source_BS!M:M)</f>
        <v>1035080.46</v>
      </c>
    </row>
    <row r="41" spans="1:13" x14ac:dyDescent="0.25">
      <c r="A41" s="20" t="s">
        <v>143</v>
      </c>
      <c r="B41" s="30">
        <f>SUMIF(Source_BS!$A:$A,"1899 Accumulated Depreciation",Source_BS!B:B)</f>
        <v>-1047115.16</v>
      </c>
      <c r="C41" s="30">
        <f>SUMIF(Source_BS!$A:$A,"1899 Accumulated Depreciation",Source_BS!C:C)</f>
        <v>-1047115.16</v>
      </c>
      <c r="D41" s="30">
        <f>SUMIF(Source_BS!$A:$A,"1899 Accumulated Depreciation",Source_BS!D:D)</f>
        <v>-1047115.16</v>
      </c>
      <c r="E41" s="30">
        <f>SUMIF(Source_BS!$A:$A,"1899 Accumulated Depreciation",Source_BS!E:E)</f>
        <v>-1047115.16</v>
      </c>
      <c r="F41" s="30">
        <f>SUMIF(Source_BS!$A:$A,"1899 Accumulated Depreciation",Source_BS!F:F)</f>
        <v>-1047115.16</v>
      </c>
      <c r="G41" s="30">
        <f>SUMIF(Source_BS!$A:$A,"1899 Accumulated Depreciation",Source_BS!G:G)</f>
        <v>-1047115.16</v>
      </c>
      <c r="H41" s="30">
        <f>SUMIF(Source_BS!$A:$A,"1899 Accumulated Depreciation",Source_BS!H:H)</f>
        <v>-1047115.16</v>
      </c>
      <c r="I41" s="30">
        <f>SUMIF(Source_BS!$A:$A,"1899 Accumulated Depreciation",Source_BS!I:I)</f>
        <v>-1047115.16</v>
      </c>
      <c r="J41" s="30">
        <f>SUMIF(Source_BS!$A:$A,"1899 Accumulated Depreciation",Source_BS!J:J)</f>
        <v>-1047115.16</v>
      </c>
      <c r="K41" s="30">
        <f>SUMIF(Source_BS!$A:$A,"1899 Accumulated Depreciation",Source_BS!K:K)</f>
        <v>-1047115.16</v>
      </c>
      <c r="L41" s="30">
        <f>SUMIF(Source_BS!$A:$A,"1899 Accumulated Depreciation",Source_BS!L:L)</f>
        <v>-1047115.16</v>
      </c>
      <c r="M41" s="30">
        <f>SUMIF(Source_BS!$A:$A,"1899 Accumulated Depreciation",Source_BS!M:M)</f>
        <v>-991109.9</v>
      </c>
    </row>
    <row r="42" spans="1:13" x14ac:dyDescent="0.25">
      <c r="A42" s="23" t="s">
        <v>144</v>
      </c>
      <c r="B42" s="31">
        <f>SUMIF(Source_BS!$A:$A,"Total for 1500 Company Assets",Source_BS!B:B)</f>
        <v>954428.86</v>
      </c>
      <c r="C42" s="31">
        <f>SUMIF(Source_BS!$A:$A,"Total for 1500 Company Assets",Source_BS!C:C)</f>
        <v>1023959.0499999999</v>
      </c>
      <c r="D42" s="31">
        <f>SUMIF(Source_BS!$A:$A,"Total for 1500 Company Assets",Source_BS!D:D)</f>
        <v>1023959.0499999999</v>
      </c>
      <c r="E42" s="31">
        <f>SUMIF(Source_BS!$A:$A,"Total for 1500 Company Assets",Source_BS!E:E)</f>
        <v>1023959.0499999999</v>
      </c>
      <c r="F42" s="31">
        <f>SUMIF(Source_BS!$A:$A,"Total for 1500 Company Assets",Source_BS!F:F)</f>
        <v>1074344.0499999998</v>
      </c>
      <c r="G42" s="31">
        <f>SUMIF(Source_BS!$A:$A,"Total for 1500 Company Assets",Source_BS!G:G)</f>
        <v>1195234.0499999998</v>
      </c>
      <c r="H42" s="31">
        <f>SUMIF(Source_BS!$A:$A,"Total for 1500 Company Assets",Source_BS!H:H)</f>
        <v>1195234.0499999998</v>
      </c>
      <c r="I42" s="31">
        <f>SUMIF(Source_BS!$A:$A,"Total for 1500 Company Assets",Source_BS!I:I)</f>
        <v>1195234.0499999998</v>
      </c>
      <c r="J42" s="31">
        <f>SUMIF(Source_BS!$A:$A,"Total for 1500 Company Assets",Source_BS!J:J)</f>
        <v>1286444.6600000001</v>
      </c>
      <c r="K42" s="31">
        <f>SUMIF(Source_BS!$A:$A,"Total for 1500 Company Assets",Source_BS!K:K)</f>
        <v>1341085.1200000001</v>
      </c>
      <c r="L42" s="31">
        <f>SUMIF(Source_BS!$A:$A,"Total for 1500 Company Assets",Source_BS!L:L)</f>
        <v>1349998.88</v>
      </c>
      <c r="M42" s="31">
        <f>SUMIF(Source_BS!$A:$A,"Total for 1500 Company Assets",Source_BS!M:M)</f>
        <v>1082998.9899999998</v>
      </c>
    </row>
    <row r="43" spans="1:13" x14ac:dyDescent="0.25">
      <c r="A43" s="23" t="s">
        <v>145</v>
      </c>
      <c r="B43" s="31">
        <f>SUMIF(Source_BS!$A:$A,"Total for Fixed Assets",Source_BS!B:B)</f>
        <v>954428.86</v>
      </c>
      <c r="C43" s="31">
        <f>SUMIF(Source_BS!$A:$A,"Total for Fixed Assets",Source_BS!C:C)</f>
        <v>1023959.0499999999</v>
      </c>
      <c r="D43" s="31">
        <f>SUMIF(Source_BS!$A:$A,"Total for Fixed Assets",Source_BS!D:D)</f>
        <v>1023959.0499999999</v>
      </c>
      <c r="E43" s="31">
        <f>SUMIF(Source_BS!$A:$A,"Total for Fixed Assets",Source_BS!E:E)</f>
        <v>1023959.0499999999</v>
      </c>
      <c r="F43" s="31">
        <f>SUMIF(Source_BS!$A:$A,"Total for Fixed Assets",Source_BS!F:F)</f>
        <v>1074344.0499999998</v>
      </c>
      <c r="G43" s="31">
        <f>SUMIF(Source_BS!$A:$A,"Total for Fixed Assets",Source_BS!G:G)</f>
        <v>1195234.0499999998</v>
      </c>
      <c r="H43" s="31">
        <f>SUMIF(Source_BS!$A:$A,"Total for Fixed Assets",Source_BS!H:H)</f>
        <v>1195234.0499999998</v>
      </c>
      <c r="I43" s="31">
        <f>SUMIF(Source_BS!$A:$A,"Total for Fixed Assets",Source_BS!I:I)</f>
        <v>1195234.0499999998</v>
      </c>
      <c r="J43" s="31">
        <f>SUMIF(Source_BS!$A:$A,"Total for Fixed Assets",Source_BS!J:J)</f>
        <v>1286444.6600000001</v>
      </c>
      <c r="K43" s="31">
        <f>SUMIF(Source_BS!$A:$A,"Total for Fixed Assets",Source_BS!K:K)</f>
        <v>1341085.1200000001</v>
      </c>
      <c r="L43" s="31">
        <f>SUMIF(Source_BS!$A:$A,"Total for Fixed Assets",Source_BS!L:L)</f>
        <v>1349998.88</v>
      </c>
      <c r="M43" s="31">
        <f>SUMIF(Source_BS!$A:$A,"Total for Fixed Assets",Source_BS!M:M)</f>
        <v>1082998.9899999998</v>
      </c>
    </row>
    <row r="44" spans="1:13" x14ac:dyDescent="0.25">
      <c r="A44" s="20" t="s">
        <v>146</v>
      </c>
      <c r="B44" s="30">
        <f>SUMIF(Source_BS!$A:$A,"Other Assets",Source_BS!B:B)</f>
        <v>0</v>
      </c>
      <c r="C44" s="30">
        <f>SUMIF(Source_BS!$A:$A,"Other Assets",Source_BS!C:C)</f>
        <v>0</v>
      </c>
      <c r="D44" s="30">
        <f>SUMIF(Source_BS!$A:$A,"Other Assets",Source_BS!D:D)</f>
        <v>0</v>
      </c>
      <c r="E44" s="30">
        <f>SUMIF(Source_BS!$A:$A,"Other Assets",Source_BS!E:E)</f>
        <v>0</v>
      </c>
      <c r="F44" s="30">
        <f>SUMIF(Source_BS!$A:$A,"Other Assets",Source_BS!F:F)</f>
        <v>0</v>
      </c>
      <c r="G44" s="30">
        <f>SUMIF(Source_BS!$A:$A,"Other Assets",Source_BS!G:G)</f>
        <v>0</v>
      </c>
      <c r="H44" s="30">
        <f>SUMIF(Source_BS!$A:$A,"Other Assets",Source_BS!H:H)</f>
        <v>0</v>
      </c>
      <c r="I44" s="30">
        <f>SUMIF(Source_BS!$A:$A,"Other Assets",Source_BS!I:I)</f>
        <v>0</v>
      </c>
      <c r="J44" s="30">
        <f>SUMIF(Source_BS!$A:$A,"Other Assets",Source_BS!J:J)</f>
        <v>0</v>
      </c>
      <c r="K44" s="30">
        <f>SUMIF(Source_BS!$A:$A,"Other Assets",Source_BS!K:K)</f>
        <v>0</v>
      </c>
      <c r="L44" s="30">
        <f>SUMIF(Source_BS!$A:$A,"Other Assets",Source_BS!L:L)</f>
        <v>0</v>
      </c>
      <c r="M44" s="30">
        <f>SUMIF(Source_BS!$A:$A,"Other Assets",Source_BS!M:M)</f>
        <v>0</v>
      </c>
    </row>
    <row r="45" spans="1:13" x14ac:dyDescent="0.25">
      <c r="A45" s="20" t="s">
        <v>147</v>
      </c>
      <c r="B45" s="30">
        <f>SUMIF(Source_BS!$A:$A,"1925 Atlis Motors Inc",Source_BS!B:B)</f>
        <v>824</v>
      </c>
      <c r="C45" s="30">
        <f>SUMIF(Source_BS!$A:$A,"1925 Atlis Motors Inc",Source_BS!C:C)</f>
        <v>824</v>
      </c>
      <c r="D45" s="30">
        <f>SUMIF(Source_BS!$A:$A,"1925 Atlis Motors Inc",Source_BS!D:D)</f>
        <v>824</v>
      </c>
      <c r="E45" s="30">
        <f>SUMIF(Source_BS!$A:$A,"1925 Atlis Motors Inc",Source_BS!E:E)</f>
        <v>824</v>
      </c>
      <c r="F45" s="30">
        <f>SUMIF(Source_BS!$A:$A,"1925 Atlis Motors Inc",Source_BS!F:F)</f>
        <v>824</v>
      </c>
      <c r="G45" s="30">
        <f>SUMIF(Source_BS!$A:$A,"1925 Atlis Motors Inc",Source_BS!G:G)</f>
        <v>824</v>
      </c>
      <c r="H45" s="30">
        <f>SUMIF(Source_BS!$A:$A,"1925 Atlis Motors Inc",Source_BS!H:H)</f>
        <v>824</v>
      </c>
      <c r="I45" s="30">
        <f>SUMIF(Source_BS!$A:$A,"1925 Atlis Motors Inc",Source_BS!I:I)</f>
        <v>824</v>
      </c>
      <c r="J45" s="30">
        <f>SUMIF(Source_BS!$A:$A,"1925 Atlis Motors Inc",Source_BS!J:J)</f>
        <v>824</v>
      </c>
      <c r="K45" s="30">
        <f>SUMIF(Source_BS!$A:$A,"1925 Atlis Motors Inc",Source_BS!K:K)</f>
        <v>824</v>
      </c>
      <c r="L45" s="30">
        <f>SUMIF(Source_BS!$A:$A,"1925 Atlis Motors Inc",Source_BS!L:L)</f>
        <v>824</v>
      </c>
      <c r="M45" s="30">
        <f>SUMIF(Source_BS!$A:$A,"1925 Atlis Motors Inc",Source_BS!M:M)</f>
        <v>0</v>
      </c>
    </row>
    <row r="46" spans="1:13" x14ac:dyDescent="0.25">
      <c r="A46" s="20" t="s">
        <v>148</v>
      </c>
      <c r="B46" s="30">
        <f>SUMIF(Source_BS!$A:$A,"1950 Trademarks",Source_BS!B:B)</f>
        <v>0</v>
      </c>
      <c r="C46" s="30">
        <f>SUMIF(Source_BS!$A:$A,"1950 Trademarks",Source_BS!C:C)</f>
        <v>0</v>
      </c>
      <c r="D46" s="30">
        <f>SUMIF(Source_BS!$A:$A,"1950 Trademarks",Source_BS!D:D)</f>
        <v>0</v>
      </c>
      <c r="E46" s="30">
        <f>SUMIF(Source_BS!$A:$A,"1950 Trademarks",Source_BS!E:E)</f>
        <v>700</v>
      </c>
      <c r="F46" s="30">
        <f>SUMIF(Source_BS!$A:$A,"1950 Trademarks",Source_BS!F:F)</f>
        <v>700</v>
      </c>
      <c r="G46" s="30">
        <f>SUMIF(Source_BS!$A:$A,"1950 Trademarks",Source_BS!G:G)</f>
        <v>700</v>
      </c>
      <c r="H46" s="30">
        <f>SUMIF(Source_BS!$A:$A,"1950 Trademarks",Source_BS!H:H)</f>
        <v>700</v>
      </c>
      <c r="I46" s="30">
        <f>SUMIF(Source_BS!$A:$A,"1950 Trademarks",Source_BS!I:I)</f>
        <v>700</v>
      </c>
      <c r="J46" s="30">
        <f>SUMIF(Source_BS!$A:$A,"1950 Trademarks",Source_BS!J:J)</f>
        <v>700</v>
      </c>
      <c r="K46" s="30">
        <f>SUMIF(Source_BS!$A:$A,"1950 Trademarks",Source_BS!K:K)</f>
        <v>700</v>
      </c>
      <c r="L46" s="30">
        <f>SUMIF(Source_BS!$A:$A,"1950 Trademarks",Source_BS!L:L)</f>
        <v>700</v>
      </c>
      <c r="M46" s="30">
        <f>SUMIF(Source_BS!$A:$A,"1950 Trademarks",Source_BS!M:M)</f>
        <v>700</v>
      </c>
    </row>
    <row r="47" spans="1:13" ht="15.75" thickBot="1" x14ac:dyDescent="0.3">
      <c r="A47" s="23" t="s">
        <v>149</v>
      </c>
      <c r="B47" s="31">
        <f>SUMIF(Source_BS!$A:$A,"Total for Other Assets",Source_BS!B:B)</f>
        <v>824</v>
      </c>
      <c r="C47" s="31">
        <f>SUMIF(Source_BS!$A:$A,"Total for Other Assets",Source_BS!C:C)</f>
        <v>824</v>
      </c>
      <c r="D47" s="31">
        <f>SUMIF(Source_BS!$A:$A,"Total for Other Assets",Source_BS!D:D)</f>
        <v>824</v>
      </c>
      <c r="E47" s="31">
        <f>SUMIF(Source_BS!$A:$A,"Total for Other Assets",Source_BS!E:E)</f>
        <v>1524</v>
      </c>
      <c r="F47" s="31">
        <f>SUMIF(Source_BS!$A:$A,"Total for Other Assets",Source_BS!F:F)</f>
        <v>1524</v>
      </c>
      <c r="G47" s="31">
        <f>SUMIF(Source_BS!$A:$A,"Total for Other Assets",Source_BS!G:G)</f>
        <v>1524</v>
      </c>
      <c r="H47" s="31">
        <f>SUMIF(Source_BS!$A:$A,"Total for Other Assets",Source_BS!H:H)</f>
        <v>1524</v>
      </c>
      <c r="I47" s="31">
        <f>SUMIF(Source_BS!$A:$A,"Total for Other Assets",Source_BS!I:I)</f>
        <v>1524</v>
      </c>
      <c r="J47" s="31">
        <f>SUMIF(Source_BS!$A:$A,"Total for Other Assets",Source_BS!J:J)</f>
        <v>1524</v>
      </c>
      <c r="K47" s="31">
        <f>SUMIF(Source_BS!$A:$A,"Total for Other Assets",Source_BS!K:K)</f>
        <v>1524</v>
      </c>
      <c r="L47" s="31">
        <f>SUMIF(Source_BS!$A:$A,"Total for Other Assets",Source_BS!L:L)</f>
        <v>1524</v>
      </c>
      <c r="M47" s="31">
        <f>SUMIF(Source_BS!$A:$A,"Total for Other Assets",Source_BS!M:M)</f>
        <v>700</v>
      </c>
    </row>
    <row r="48" spans="1:13" ht="15.75" thickBot="1" x14ac:dyDescent="0.3">
      <c r="A48" s="26" t="s">
        <v>150</v>
      </c>
      <c r="B48" s="32">
        <f>SUMIF(Source_BS!$A:$A,"Total for Assets",Source_BS!B:B)</f>
        <v>1269404.22</v>
      </c>
      <c r="C48" s="32">
        <f>SUMIF(Source_BS!$A:$A,"Total for Assets",Source_BS!C:C)</f>
        <v>1221380.3599999999</v>
      </c>
      <c r="D48" s="32">
        <f>SUMIF(Source_BS!$A:$A,"Total for Assets",Source_BS!D:D)</f>
        <v>1435953.02</v>
      </c>
      <c r="E48" s="32">
        <f>SUMIF(Source_BS!$A:$A,"Total for Assets",Source_BS!E:E)</f>
        <v>1347040.3699999999</v>
      </c>
      <c r="F48" s="32">
        <f>SUMIF(Source_BS!$A:$A,"Total for Assets",Source_BS!F:F)</f>
        <v>1435527.8099999998</v>
      </c>
      <c r="G48" s="32">
        <f>SUMIF(Source_BS!$A:$A,"Total for Assets",Source_BS!G:G)</f>
        <v>1436280.7199999997</v>
      </c>
      <c r="H48" s="32">
        <f>SUMIF(Source_BS!$A:$A,"Total for Assets",Source_BS!H:H)</f>
        <v>1499351.3599999999</v>
      </c>
      <c r="I48" s="32">
        <f>SUMIF(Source_BS!$A:$A,"Total for Assets",Source_BS!I:I)</f>
        <v>1466013.7</v>
      </c>
      <c r="J48" s="32">
        <f>SUMIF(Source_BS!$A:$A,"Total for Assets",Source_BS!J:J)</f>
        <v>1645827.5600000003</v>
      </c>
      <c r="K48" s="32">
        <f>SUMIF(Source_BS!$A:$A,"Total for Assets",Source_BS!K:K)</f>
        <v>1581071.4800000002</v>
      </c>
      <c r="L48" s="32">
        <f>SUMIF(Source_BS!$A:$A,"Total for Assets",Source_BS!L:L)</f>
        <v>1663488.27</v>
      </c>
      <c r="M48" s="32">
        <f>SUMIF(Source_BS!$A:$A,"Total for Assets",Source_BS!M:M)</f>
        <v>1545972.1599999997</v>
      </c>
    </row>
    <row r="49" spans="1:13" ht="15.75" thickTop="1" x14ac:dyDescent="0.25">
      <c r="A49" s="20" t="s">
        <v>151</v>
      </c>
      <c r="B49" s="30">
        <f>SUMIF(Source_BS!$A:$A,"Liabilities and Equity",Source_BS!B:B)</f>
        <v>0</v>
      </c>
      <c r="C49" s="30">
        <f>SUMIF(Source_BS!$A:$A,"Liabilities and Equity",Source_BS!C:C)</f>
        <v>0</v>
      </c>
      <c r="D49" s="30">
        <f>SUMIF(Source_BS!$A:$A,"Liabilities and Equity",Source_BS!D:D)</f>
        <v>0</v>
      </c>
      <c r="E49" s="30">
        <f>SUMIF(Source_BS!$A:$A,"Liabilities and Equity",Source_BS!E:E)</f>
        <v>0</v>
      </c>
      <c r="F49" s="30">
        <f>SUMIF(Source_BS!$A:$A,"Liabilities and Equity",Source_BS!F:F)</f>
        <v>0</v>
      </c>
      <c r="G49" s="30">
        <f>SUMIF(Source_BS!$A:$A,"Liabilities and Equity",Source_BS!G:G)</f>
        <v>0</v>
      </c>
      <c r="H49" s="30">
        <f>SUMIF(Source_BS!$A:$A,"Liabilities and Equity",Source_BS!H:H)</f>
        <v>0</v>
      </c>
      <c r="I49" s="30">
        <f>SUMIF(Source_BS!$A:$A,"Liabilities and Equity",Source_BS!I:I)</f>
        <v>0</v>
      </c>
      <c r="J49" s="30">
        <f>SUMIF(Source_BS!$A:$A,"Liabilities and Equity",Source_BS!J:J)</f>
        <v>0</v>
      </c>
      <c r="K49" s="30">
        <f>SUMIF(Source_BS!$A:$A,"Liabilities and Equity",Source_BS!K:K)</f>
        <v>0</v>
      </c>
      <c r="L49" s="30">
        <f>SUMIF(Source_BS!$A:$A,"Liabilities and Equity",Source_BS!L:L)</f>
        <v>0</v>
      </c>
      <c r="M49" s="30">
        <f>SUMIF(Source_BS!$A:$A,"Liabilities and Equity",Source_BS!M:M)</f>
        <v>0</v>
      </c>
    </row>
    <row r="50" spans="1:13" x14ac:dyDescent="0.25">
      <c r="A50" s="21" t="s">
        <v>152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</row>
    <row r="51" spans="1:13" x14ac:dyDescent="0.25">
      <c r="A51" s="20" t="s">
        <v>309</v>
      </c>
      <c r="B51" s="30">
        <f>SUMIF(Source_BS!$A:$A,"Current Liabilities",Source_BS!B:B)</f>
        <v>0</v>
      </c>
      <c r="C51" s="30">
        <f>SUMIF(Source_BS!$A:$A,"Current Liabilities",Source_BS!C:C)</f>
        <v>0</v>
      </c>
      <c r="D51" s="30">
        <f>SUMIF(Source_BS!$A:$A,"Current Liabilities",Source_BS!D:D)</f>
        <v>0</v>
      </c>
      <c r="E51" s="30">
        <f>SUMIF(Source_BS!$A:$A,"Current Liabilities",Source_BS!E:E)</f>
        <v>0</v>
      </c>
      <c r="F51" s="30">
        <f>SUMIF(Source_BS!$A:$A,"Current Liabilities",Source_BS!F:F)</f>
        <v>0</v>
      </c>
      <c r="G51" s="30">
        <f>SUMIF(Source_BS!$A:$A,"Current Liabilities",Source_BS!G:G)</f>
        <v>0</v>
      </c>
      <c r="H51" s="30">
        <f>SUMIF(Source_BS!$A:$A,"Current Liabilities",Source_BS!H:H)</f>
        <v>0</v>
      </c>
      <c r="I51" s="30">
        <f>SUMIF(Source_BS!$A:$A,"Current Liabilities",Source_BS!I:I)</f>
        <v>0</v>
      </c>
      <c r="J51" s="30">
        <f>SUMIF(Source_BS!$A:$A,"Current Liabilities",Source_BS!J:J)</f>
        <v>0</v>
      </c>
      <c r="K51" s="30">
        <f>SUMIF(Source_BS!$A:$A,"Current Liabilities",Source_BS!K:K)</f>
        <v>0</v>
      </c>
      <c r="L51" s="30">
        <f>SUMIF(Source_BS!$A:$A,"Current Liabilities",Source_BS!L:L)</f>
        <v>0</v>
      </c>
      <c r="M51" s="30">
        <f>SUMIF(Source_BS!$A:$A,"Current Liabilities",Source_BS!M:M)</f>
        <v>0</v>
      </c>
    </row>
    <row r="52" spans="1:13" x14ac:dyDescent="0.25">
      <c r="A52" s="20" t="s">
        <v>310</v>
      </c>
      <c r="B52" s="30">
        <f>SUMIF(Source_BS!$A:$A,"Accounts Payable",Source_BS!B:B)</f>
        <v>0</v>
      </c>
      <c r="C52" s="30">
        <f>SUMIF(Source_BS!$A:$A,"Accounts Payable",Source_BS!C:C)</f>
        <v>0</v>
      </c>
      <c r="D52" s="30">
        <f>SUMIF(Source_BS!$A:$A,"Accounts Payable",Source_BS!D:D)</f>
        <v>0</v>
      </c>
      <c r="E52" s="30">
        <f>SUMIF(Source_BS!$A:$A,"Accounts Payable",Source_BS!E:E)</f>
        <v>0</v>
      </c>
      <c r="F52" s="30">
        <f>SUMIF(Source_BS!$A:$A,"Accounts Payable",Source_BS!F:F)</f>
        <v>0</v>
      </c>
      <c r="G52" s="30">
        <f>SUMIF(Source_BS!$A:$A,"Accounts Payable",Source_BS!G:G)</f>
        <v>0</v>
      </c>
      <c r="H52" s="30">
        <f>SUMIF(Source_BS!$A:$A,"Accounts Payable",Source_BS!H:H)</f>
        <v>0</v>
      </c>
      <c r="I52" s="30">
        <f>SUMIF(Source_BS!$A:$A,"Accounts Payable",Source_BS!I:I)</f>
        <v>0</v>
      </c>
      <c r="J52" s="30">
        <f>SUMIF(Source_BS!$A:$A,"Accounts Payable",Source_BS!J:J)</f>
        <v>0</v>
      </c>
      <c r="K52" s="30">
        <f>SUMIF(Source_BS!$A:$A,"Accounts Payable",Source_BS!K:K)</f>
        <v>0</v>
      </c>
      <c r="L52" s="30">
        <f>SUMIF(Source_BS!$A:$A,"Accounts Payable",Source_BS!L:L)</f>
        <v>0</v>
      </c>
      <c r="M52" s="30">
        <f>SUMIF(Source_BS!$A:$A,"Accounts Payable",Source_BS!M:M)</f>
        <v>0</v>
      </c>
    </row>
    <row r="53" spans="1:13" x14ac:dyDescent="0.25">
      <c r="A53" s="20" t="s">
        <v>311</v>
      </c>
      <c r="B53" s="30">
        <f>SUMIF(Source_BS!$A:$A,"Credit Cards",Source_BS!B:B)</f>
        <v>0</v>
      </c>
      <c r="C53" s="30">
        <f>SUMIF(Source_BS!$A:$A,"Credit Cards",Source_BS!C:C)</f>
        <v>0</v>
      </c>
      <c r="D53" s="30">
        <f>SUMIF(Source_BS!$A:$A,"Credit Cards",Source_BS!D:D)</f>
        <v>0</v>
      </c>
      <c r="E53" s="30">
        <f>SUMIF(Source_BS!$A:$A,"Credit Cards",Source_BS!E:E)</f>
        <v>0</v>
      </c>
      <c r="F53" s="30">
        <f>SUMIF(Source_BS!$A:$A,"Credit Cards",Source_BS!F:F)</f>
        <v>0</v>
      </c>
      <c r="G53" s="30">
        <f>SUMIF(Source_BS!$A:$A,"Credit Cards",Source_BS!G:G)</f>
        <v>0</v>
      </c>
      <c r="H53" s="30">
        <f>SUMIF(Source_BS!$A:$A,"Credit Cards",Source_BS!H:H)</f>
        <v>0</v>
      </c>
      <c r="I53" s="30">
        <f>SUMIF(Source_BS!$A:$A,"Credit Cards",Source_BS!I:I)</f>
        <v>0</v>
      </c>
      <c r="J53" s="30">
        <f>SUMIF(Source_BS!$A:$A,"Credit Cards",Source_BS!J:J)</f>
        <v>0</v>
      </c>
      <c r="K53" s="30">
        <f>SUMIF(Source_BS!$A:$A,"Credit Cards",Source_BS!K:K)</f>
        <v>0</v>
      </c>
      <c r="L53" s="30">
        <f>SUMIF(Source_BS!$A:$A,"Credit Cards",Source_BS!L:L)</f>
        <v>0</v>
      </c>
      <c r="M53" s="30">
        <f>SUMIF(Source_BS!$A:$A,"Credit Cards",Source_BS!M:M)</f>
        <v>0</v>
      </c>
    </row>
    <row r="54" spans="1:13" x14ac:dyDescent="0.25">
      <c r="A54" s="20" t="s">
        <v>312</v>
      </c>
      <c r="B54" s="30">
        <f>SUMIF(Source_BS!$A:$A,"2100 Pcard Billing (1784)",Source_BS!B:B)</f>
        <v>15476.72</v>
      </c>
      <c r="C54" s="30">
        <f>SUMIF(Source_BS!$A:$A,"2100 Pcard Billing (1784)",Source_BS!C:C)</f>
        <v>7848.3399999999992</v>
      </c>
      <c r="D54" s="30">
        <f>SUMIF(Source_BS!$A:$A,"2100 Pcard Billing (1784)",Source_BS!D:D)</f>
        <v>6781.2199999999993</v>
      </c>
      <c r="E54" s="30">
        <f>SUMIF(Source_BS!$A:$A,"2100 Pcard Billing (1784)",Source_BS!E:E)</f>
        <v>8776.119999999999</v>
      </c>
      <c r="F54" s="30">
        <f>SUMIF(Source_BS!$A:$A,"2100 Pcard Billing (1784)",Source_BS!F:F)</f>
        <v>6202.9399999999987</v>
      </c>
      <c r="G54" s="30">
        <f>SUMIF(Source_BS!$A:$A,"2100 Pcard Billing (1784)",Source_BS!G:G)</f>
        <v>11732.259999999998</v>
      </c>
      <c r="H54" s="30">
        <f>SUMIF(Source_BS!$A:$A,"2100 Pcard Billing (1784)",Source_BS!H:H)</f>
        <v>15515.469999999998</v>
      </c>
      <c r="I54" s="30">
        <f>SUMIF(Source_BS!$A:$A,"2100 Pcard Billing (1784)",Source_BS!I:I)</f>
        <v>8655.9099999999962</v>
      </c>
      <c r="J54" s="30">
        <f>SUMIF(Source_BS!$A:$A,"2100 Pcard Billing (1784)",Source_BS!J:J)</f>
        <v>9312.8799999999956</v>
      </c>
      <c r="K54" s="30">
        <f>SUMIF(Source_BS!$A:$A,"2100 Pcard Billing (1784)",Source_BS!K:K)</f>
        <v>3059.9199999999955</v>
      </c>
      <c r="L54" s="30">
        <f>SUMIF(Source_BS!$A:$A,"2100 Pcard Billing (1784)",Source_BS!L:L)</f>
        <v>19646.339999999993</v>
      </c>
      <c r="M54" s="30">
        <f>SUMIF(Source_BS!$A:$A,"2100 Pcard Billing (1784)",Source_BS!M:M)</f>
        <v>17417.709999999992</v>
      </c>
    </row>
    <row r="55" spans="1:13" x14ac:dyDescent="0.25">
      <c r="A55" s="20" t="s">
        <v>313</v>
      </c>
      <c r="B55" s="30">
        <f>SUMIF(Source_BS!$A:$A,"2105 CC Billing (1707)",Source_BS!B:B)</f>
        <v>32621.91</v>
      </c>
      <c r="C55" s="30">
        <f>SUMIF(Source_BS!$A:$A,"2105 CC Billing (1707)",Source_BS!C:C)</f>
        <v>23081.52</v>
      </c>
      <c r="D55" s="30">
        <f>SUMIF(Source_BS!$A:$A,"2105 CC Billing (1707)",Source_BS!D:D)</f>
        <v>76.290000000000873</v>
      </c>
      <c r="E55" s="30">
        <f>SUMIF(Source_BS!$A:$A,"2105 CC Billing (1707)",Source_BS!E:E)</f>
        <v>4558.5400000000009</v>
      </c>
      <c r="F55" s="30">
        <f>SUMIF(Source_BS!$A:$A,"2105 CC Billing (1707)",Source_BS!F:F)</f>
        <v>3321.2400000000007</v>
      </c>
      <c r="G55" s="30">
        <f>SUMIF(Source_BS!$A:$A,"2105 CC Billing (1707)",Source_BS!G:G)</f>
        <v>5889.4900000000007</v>
      </c>
      <c r="H55" s="30">
        <f>SUMIF(Source_BS!$A:$A,"2105 CC Billing (1707)",Source_BS!H:H)</f>
        <v>18385.43</v>
      </c>
      <c r="I55" s="30">
        <f>SUMIF(Source_BS!$A:$A,"2105 CC Billing (1707)",Source_BS!I:I)</f>
        <v>579.45000000000073</v>
      </c>
      <c r="J55" s="30">
        <f>SUMIF(Source_BS!$A:$A,"2105 CC Billing (1707)",Source_BS!J:J)</f>
        <v>16522.27</v>
      </c>
      <c r="K55" s="30">
        <f>SUMIF(Source_BS!$A:$A,"2105 CC Billing (1707)",Source_BS!K:K)</f>
        <v>24019.57</v>
      </c>
      <c r="L55" s="30">
        <f>SUMIF(Source_BS!$A:$A,"2105 CC Billing (1707)",Source_BS!L:L)</f>
        <v>4913.2099999999991</v>
      </c>
      <c r="M55" s="30">
        <f>SUMIF(Source_BS!$A:$A,"2105 CC Billing (1707)",Source_BS!M:M)</f>
        <v>32047.829999999998</v>
      </c>
    </row>
    <row r="56" spans="1:13" x14ac:dyDescent="0.25">
      <c r="A56" s="20" t="s">
        <v>314</v>
      </c>
      <c r="B56" s="30">
        <f>SUMIF(Source_BS!$A:$A,"2110 Brian Rodgers AMEX Bonvoy",Source_BS!B:B)</f>
        <v>1754.21</v>
      </c>
      <c r="C56" s="30">
        <f>SUMIF(Source_BS!$A:$A,"2110 Brian Rodgers AMEX Bonvoy",Source_BS!C:C)</f>
        <v>1974.46</v>
      </c>
      <c r="D56" s="30">
        <f>SUMIF(Source_BS!$A:$A,"2110 Brian Rodgers AMEX Bonvoy",Source_BS!D:D)</f>
        <v>0</v>
      </c>
      <c r="E56" s="30">
        <f>SUMIF(Source_BS!$A:$A,"2110 Brian Rodgers AMEX Bonvoy",Source_BS!E:E)</f>
        <v>0</v>
      </c>
      <c r="F56" s="30">
        <f>SUMIF(Source_BS!$A:$A,"2110 Brian Rodgers AMEX Bonvoy",Source_BS!F:F)</f>
        <v>0</v>
      </c>
      <c r="G56" s="30">
        <f>SUMIF(Source_BS!$A:$A,"2110 Brian Rodgers AMEX Bonvoy",Source_BS!G:G)</f>
        <v>0</v>
      </c>
      <c r="H56" s="30">
        <f>SUMIF(Source_BS!$A:$A,"2110 Brian Rodgers AMEX Bonvoy",Source_BS!H:H)</f>
        <v>0</v>
      </c>
      <c r="I56" s="30">
        <f>SUMIF(Source_BS!$A:$A,"2110 Brian Rodgers AMEX Bonvoy",Source_BS!I:I)</f>
        <v>0</v>
      </c>
      <c r="J56" s="30">
        <f>SUMIF(Source_BS!$A:$A,"2110 Brian Rodgers AMEX Bonvoy",Source_BS!J:J)</f>
        <v>0</v>
      </c>
      <c r="K56" s="30">
        <f>SUMIF(Source_BS!$A:$A,"2110 Brian Rodgers AMEX Bonvoy",Source_BS!K:K)</f>
        <v>0</v>
      </c>
      <c r="L56" s="30">
        <f>SUMIF(Source_BS!$A:$A,"2110 Brian Rodgers AMEX Bonvoy",Source_BS!L:L)</f>
        <v>0</v>
      </c>
      <c r="M56" s="30">
        <f>SUMIF(Source_BS!$A:$A,"2110 Brian Rodgers AMEX Bonvoy",Source_BS!M:M)</f>
        <v>0</v>
      </c>
    </row>
    <row r="57" spans="1:13" x14ac:dyDescent="0.25">
      <c r="A57" s="20" t="s">
        <v>315</v>
      </c>
      <c r="B57" s="30">
        <f>SUMIF(Source_BS!$A:$A,"2111 Brian Rodgers AMEX Green",Source_BS!B:B)</f>
        <v>29485.98</v>
      </c>
      <c r="C57" s="30">
        <f>SUMIF(Source_BS!$A:$A,"2111 Brian Rodgers AMEX Green",Source_BS!C:C)</f>
        <v>14813.039999999999</v>
      </c>
      <c r="D57" s="30">
        <f>SUMIF(Source_BS!$A:$A,"2111 Brian Rodgers AMEX Green",Source_BS!D:D)</f>
        <v>7994.8399999999992</v>
      </c>
      <c r="E57" s="30">
        <f>SUMIF(Source_BS!$A:$A,"2111 Brian Rodgers AMEX Green",Source_BS!E:E)</f>
        <v>2084.7199999999993</v>
      </c>
      <c r="F57" s="30">
        <f>SUMIF(Source_BS!$A:$A,"2111 Brian Rodgers AMEX Green",Source_BS!F:F)</f>
        <v>16586.080000000002</v>
      </c>
      <c r="G57" s="30">
        <f>SUMIF(Source_BS!$A:$A,"2111 Brian Rodgers AMEX Green",Source_BS!G:G)</f>
        <v>13327.130000000001</v>
      </c>
      <c r="H57" s="30">
        <f>SUMIF(Source_BS!$A:$A,"2111 Brian Rodgers AMEX Green",Source_BS!H:H)</f>
        <v>13405.34</v>
      </c>
      <c r="I57" s="30">
        <f>SUMIF(Source_BS!$A:$A,"2111 Brian Rodgers AMEX Green",Source_BS!I:I)</f>
        <v>23086.73</v>
      </c>
      <c r="J57" s="30">
        <f>SUMIF(Source_BS!$A:$A,"2111 Brian Rodgers AMEX Green",Source_BS!J:J)</f>
        <v>16269.57</v>
      </c>
      <c r="K57" s="30">
        <f>SUMIF(Source_BS!$A:$A,"2111 Brian Rodgers AMEX Green",Source_BS!K:K)</f>
        <v>21621.8</v>
      </c>
      <c r="L57" s="30">
        <f>SUMIF(Source_BS!$A:$A,"2111 Brian Rodgers AMEX Green",Source_BS!L:L)</f>
        <v>1949.1499999999978</v>
      </c>
      <c r="M57" s="30">
        <f>SUMIF(Source_BS!$A:$A,"2111 Brian Rodgers AMEX Green",Source_BS!M:M)</f>
        <v>8999.6899999999987</v>
      </c>
    </row>
    <row r="58" spans="1:13" x14ac:dyDescent="0.25">
      <c r="A58" s="20" t="s">
        <v>316</v>
      </c>
      <c r="B58" s="30">
        <f>SUMIF(Source_BS!$A:$A,"2112 Brian Rodgers Amex (1000) Delta",Source_BS!B:B)</f>
        <v>0</v>
      </c>
      <c r="C58" s="30">
        <f>SUMIF(Source_BS!$A:$A,"2112 Brian Rodgers Amex (1000) Delta",Source_BS!C:C)</f>
        <v>0</v>
      </c>
      <c r="D58" s="30">
        <f>SUMIF(Source_BS!$A:$A,"2112 Brian Rodgers Amex (1000) Delta",Source_BS!D:D)</f>
        <v>0</v>
      </c>
      <c r="E58" s="30">
        <f>SUMIF(Source_BS!$A:$A,"2112 Brian Rodgers Amex (1000) Delta",Source_BS!E:E)</f>
        <v>694.4</v>
      </c>
      <c r="F58" s="30">
        <f>SUMIF(Source_BS!$A:$A,"2112 Brian Rodgers Amex (1000) Delta",Source_BS!F:F)</f>
        <v>694.4</v>
      </c>
      <c r="G58" s="30">
        <f>SUMIF(Source_BS!$A:$A,"2112 Brian Rodgers Amex (1000) Delta",Source_BS!G:G)</f>
        <v>740.85</v>
      </c>
      <c r="H58" s="30">
        <f>SUMIF(Source_BS!$A:$A,"2112 Brian Rodgers Amex (1000) Delta",Source_BS!H:H)</f>
        <v>0</v>
      </c>
      <c r="I58" s="30">
        <f>SUMIF(Source_BS!$A:$A,"2112 Brian Rodgers Amex (1000) Delta",Source_BS!I:I)</f>
        <v>0</v>
      </c>
      <c r="J58" s="30">
        <f>SUMIF(Source_BS!$A:$A,"2112 Brian Rodgers Amex (1000) Delta",Source_BS!J:J)</f>
        <v>0</v>
      </c>
      <c r="K58" s="30">
        <f>SUMIF(Source_BS!$A:$A,"2112 Brian Rodgers Amex (1000) Delta",Source_BS!K:K)</f>
        <v>0</v>
      </c>
      <c r="L58" s="30">
        <f>SUMIF(Source_BS!$A:$A,"2112 Brian Rodgers Amex (1000) Delta",Source_BS!L:L)</f>
        <v>0</v>
      </c>
      <c r="M58" s="30">
        <f>SUMIF(Source_BS!$A:$A,"2112 Brian Rodgers Amex (1000) Delta",Source_BS!M:M)</f>
        <v>0</v>
      </c>
    </row>
    <row r="59" spans="1:13" x14ac:dyDescent="0.25">
      <c r="A59" s="20" t="s">
        <v>317</v>
      </c>
      <c r="B59" s="30">
        <f>SUMIF(Source_BS!$A:$A,"2130 B.Rodgers (7408) Chase Ink Intl Group",Source_BS!B:B)</f>
        <v>0</v>
      </c>
      <c r="C59" s="30">
        <f>SUMIF(Source_BS!$A:$A,"2130 B.Rodgers (7408) Chase Ink Intl Group",Source_BS!C:C)</f>
        <v>6506.06</v>
      </c>
      <c r="D59" s="30">
        <f>SUMIF(Source_BS!$A:$A,"2130 B.Rodgers (7408) Chase Ink Intl Group",Source_BS!D:D)</f>
        <v>-3472.5299999999997</v>
      </c>
      <c r="E59" s="30">
        <f>SUMIF(Source_BS!$A:$A,"2130 B.Rodgers (7408) Chase Ink Intl Group",Source_BS!E:E)</f>
        <v>-61.869999999999891</v>
      </c>
      <c r="F59" s="30">
        <f>SUMIF(Source_BS!$A:$A,"2130 B.Rodgers (7408) Chase Ink Intl Group",Source_BS!F:F)</f>
        <v>1.0658141036401503E-13</v>
      </c>
      <c r="G59" s="30">
        <f>SUMIF(Source_BS!$A:$A,"2130 B.Rodgers (7408) Chase Ink Intl Group",Source_BS!G:G)</f>
        <v>1.0658141036401503E-13</v>
      </c>
      <c r="H59" s="30">
        <f>SUMIF(Source_BS!$A:$A,"2130 B.Rodgers (7408) Chase Ink Intl Group",Source_BS!H:H)</f>
        <v>11811.61</v>
      </c>
      <c r="I59" s="30">
        <f>SUMIF(Source_BS!$A:$A,"2130 B.Rodgers (7408) Chase Ink Intl Group",Source_BS!I:I)</f>
        <v>0</v>
      </c>
      <c r="J59" s="30">
        <f>SUMIF(Source_BS!$A:$A,"2130 B.Rodgers (7408) Chase Ink Intl Group",Source_BS!J:J)</f>
        <v>0</v>
      </c>
      <c r="K59" s="30">
        <f>SUMIF(Source_BS!$A:$A,"2130 B.Rodgers (7408) Chase Ink Intl Group",Source_BS!K:K)</f>
        <v>10562.31</v>
      </c>
      <c r="L59" s="30">
        <f>SUMIF(Source_BS!$A:$A,"2130 B.Rodgers (7408) Chase Ink Intl Group",Source_BS!L:L)</f>
        <v>0</v>
      </c>
      <c r="M59" s="30">
        <f>SUMIF(Source_BS!$A:$A,"2130 B.Rodgers (7408) Chase Ink Intl Group",Source_BS!M:M)</f>
        <v>0</v>
      </c>
    </row>
    <row r="60" spans="1:13" x14ac:dyDescent="0.25">
      <c r="A60" s="20" t="s">
        <v>318</v>
      </c>
      <c r="B60" s="30">
        <f>SUMIF(Source_BS!$A:$A,"2131 M.Prombo (7416) Chase Ink Intl",Source_BS!B:B)</f>
        <v>4896.88</v>
      </c>
      <c r="C60" s="30">
        <f>SUMIF(Source_BS!$A:$A,"2131 M.Prombo (7416) Chase Ink Intl",Source_BS!C:C)</f>
        <v>9265.4700000000012</v>
      </c>
      <c r="D60" s="30">
        <f>SUMIF(Source_BS!$A:$A,"2131 M.Prombo (7416) Chase Ink Intl",Source_BS!D:D)</f>
        <v>9738.69</v>
      </c>
      <c r="E60" s="30">
        <f>SUMIF(Source_BS!$A:$A,"2131 M.Prombo (7416) Chase Ink Intl",Source_BS!E:E)</f>
        <v>117.54000000000087</v>
      </c>
      <c r="F60" s="30">
        <f>SUMIF(Source_BS!$A:$A,"2131 M.Prombo (7416) Chase Ink Intl",Source_BS!F:F)</f>
        <v>8.6686213762732223E-13</v>
      </c>
      <c r="G60" s="30">
        <f>SUMIF(Source_BS!$A:$A,"2131 M.Prombo (7416) Chase Ink Intl",Source_BS!G:G)</f>
        <v>8969.5300000000007</v>
      </c>
      <c r="H60" s="30">
        <f>SUMIF(Source_BS!$A:$A,"2131 M.Prombo (7416) Chase Ink Intl",Source_BS!H:H)</f>
        <v>7869.2400000000007</v>
      </c>
      <c r="I60" s="30">
        <f>SUMIF(Source_BS!$A:$A,"2131 M.Prombo (7416) Chase Ink Intl",Source_BS!I:I)</f>
        <v>7608.1600000000008</v>
      </c>
      <c r="J60" s="30">
        <f>SUMIF(Source_BS!$A:$A,"2131 M.Prombo (7416) Chase Ink Intl",Source_BS!J:J)</f>
        <v>10621.68</v>
      </c>
      <c r="K60" s="30">
        <f>SUMIF(Source_BS!$A:$A,"2131 M.Prombo (7416) Chase Ink Intl",Source_BS!K:K)</f>
        <v>2171.6200000000008</v>
      </c>
      <c r="L60" s="30">
        <f>SUMIF(Source_BS!$A:$A,"2131 M.Prombo (7416) Chase Ink Intl",Source_BS!L:L)</f>
        <v>9.0949470177292824E-13</v>
      </c>
      <c r="M60" s="30">
        <f>SUMIF(Source_BS!$A:$A,"2131 M.Prombo (7416) Chase Ink Intl",Source_BS!M:M)</f>
        <v>11.74000000000091</v>
      </c>
    </row>
    <row r="61" spans="1:13" x14ac:dyDescent="0.25">
      <c r="A61" s="20" t="s">
        <v>319</v>
      </c>
      <c r="B61" s="30">
        <f>SUMIF(Source_BS!$A:$A,"2132 L.Wright (2564) Chase",Source_BS!B:B)</f>
        <v>1619.52</v>
      </c>
      <c r="C61" s="30">
        <f>SUMIF(Source_BS!$A:$A,"2132 L.Wright (2564) Chase",Source_BS!C:C)</f>
        <v>209.98000000000002</v>
      </c>
      <c r="D61" s="30">
        <f>SUMIF(Source_BS!$A:$A,"2132 L.Wright (2564) Chase",Source_BS!D:D)</f>
        <v>327.43</v>
      </c>
      <c r="E61" s="30">
        <f>SUMIF(Source_BS!$A:$A,"2132 L.Wright (2564) Chase",Source_BS!E:E)</f>
        <v>0</v>
      </c>
      <c r="F61" s="30">
        <f>SUMIF(Source_BS!$A:$A,"2132 L.Wright (2564) Chase",Source_BS!F:F)</f>
        <v>0</v>
      </c>
      <c r="G61" s="30">
        <f>SUMIF(Source_BS!$A:$A,"2132 L.Wright (2564) Chase",Source_BS!G:G)</f>
        <v>628.16</v>
      </c>
      <c r="H61" s="30">
        <f>SUMIF(Source_BS!$A:$A,"2132 L.Wright (2564) Chase",Source_BS!H:H)</f>
        <v>642.79</v>
      </c>
      <c r="I61" s="30">
        <f>SUMIF(Source_BS!$A:$A,"2132 L.Wright (2564) Chase",Source_BS!I:I)</f>
        <v>367.99999999999994</v>
      </c>
      <c r="J61" s="30">
        <f>SUMIF(Source_BS!$A:$A,"2132 L.Wright (2564) Chase",Source_BS!J:J)</f>
        <v>-5.6843418860808015E-14</v>
      </c>
      <c r="K61" s="30">
        <f>SUMIF(Source_BS!$A:$A,"2132 L.Wright (2564) Chase",Source_BS!K:K)</f>
        <v>-5.6843418860808015E-14</v>
      </c>
      <c r="L61" s="30">
        <f>SUMIF(Source_BS!$A:$A,"2132 L.Wright (2564) Chase",Source_BS!L:L)</f>
        <v>-5.6843418860808015E-14</v>
      </c>
      <c r="M61" s="30">
        <f>SUMIF(Source_BS!$A:$A,"2132 L.Wright (2564) Chase",Source_BS!M:M)</f>
        <v>-5.6843418860808015E-14</v>
      </c>
    </row>
    <row r="62" spans="1:13" x14ac:dyDescent="0.25">
      <c r="A62" s="20" t="s">
        <v>320</v>
      </c>
      <c r="B62" s="30">
        <f>SUMIF(Source_BS!$A:$A,"2133 R.Bennett (4397) Chase",Source_BS!B:B)</f>
        <v>0</v>
      </c>
      <c r="C62" s="30">
        <f>SUMIF(Source_BS!$A:$A,"2133 R.Bennett (4397) Chase",Source_BS!C:C)</f>
        <v>126.33</v>
      </c>
      <c r="D62" s="30">
        <f>SUMIF(Source_BS!$A:$A,"2133 R.Bennett (4397) Chase",Source_BS!D:D)</f>
        <v>0</v>
      </c>
      <c r="E62" s="30">
        <f>SUMIF(Source_BS!$A:$A,"2133 R.Bennett (4397) Chase",Source_BS!E:E)</f>
        <v>0</v>
      </c>
      <c r="F62" s="30">
        <f>SUMIF(Source_BS!$A:$A,"2133 R.Bennett (4397) Chase",Source_BS!F:F)</f>
        <v>0</v>
      </c>
      <c r="G62" s="30">
        <f>SUMIF(Source_BS!$A:$A,"2133 R.Bennett (4397) Chase",Source_BS!G:G)</f>
        <v>0</v>
      </c>
      <c r="H62" s="30">
        <f>SUMIF(Source_BS!$A:$A,"2133 R.Bennett (4397) Chase",Source_BS!H:H)</f>
        <v>0</v>
      </c>
      <c r="I62" s="30">
        <f>SUMIF(Source_BS!$A:$A,"2133 R.Bennett (4397) Chase",Source_BS!I:I)</f>
        <v>336.64</v>
      </c>
      <c r="J62" s="30">
        <f>SUMIF(Source_BS!$A:$A,"2133 R.Bennett (4397) Chase",Source_BS!J:J)</f>
        <v>46.629999999999995</v>
      </c>
      <c r="K62" s="30">
        <f>SUMIF(Source_BS!$A:$A,"2133 R.Bennett (4397) Chase",Source_BS!K:K)</f>
        <v>-7.1054273576010019E-15</v>
      </c>
      <c r="L62" s="30">
        <f>SUMIF(Source_BS!$A:$A,"2133 R.Bennett (4397) Chase",Source_BS!L:L)</f>
        <v>-7.1054273576010019E-15</v>
      </c>
      <c r="M62" s="30">
        <f>SUMIF(Source_BS!$A:$A,"2133 R.Bennett (4397) Chase",Source_BS!M:M)</f>
        <v>-7.1054273576010019E-15</v>
      </c>
    </row>
    <row r="63" spans="1:13" x14ac:dyDescent="0.25">
      <c r="A63" s="20" t="s">
        <v>321</v>
      </c>
      <c r="B63" s="30">
        <f>SUMIF(Source_BS!$A:$A,"2134 B Rodgers (8621) Chase",Source_BS!B:B)</f>
        <v>0</v>
      </c>
      <c r="C63" s="30">
        <f>SUMIF(Source_BS!$A:$A,"2134 B Rodgers (8621) Chase",Source_BS!C:C)</f>
        <v>0</v>
      </c>
      <c r="D63" s="30">
        <f>SUMIF(Source_BS!$A:$A,"2134 B Rodgers (8621) Chase",Source_BS!D:D)</f>
        <v>30.56</v>
      </c>
      <c r="E63" s="30">
        <f>SUMIF(Source_BS!$A:$A,"2134 B Rodgers (8621) Chase",Source_BS!E:E)</f>
        <v>0</v>
      </c>
      <c r="F63" s="30">
        <f>SUMIF(Source_BS!$A:$A,"2134 B Rodgers (8621) Chase",Source_BS!F:F)</f>
        <v>0</v>
      </c>
      <c r="G63" s="30">
        <f>SUMIF(Source_BS!$A:$A,"2134 B Rodgers (8621) Chase",Source_BS!G:G)</f>
        <v>23.17</v>
      </c>
      <c r="H63" s="30">
        <f>SUMIF(Source_BS!$A:$A,"2134 B Rodgers (8621) Chase",Source_BS!H:H)</f>
        <v>0</v>
      </c>
      <c r="I63" s="30">
        <f>SUMIF(Source_BS!$A:$A,"2134 B Rodgers (8621) Chase",Source_BS!I:I)</f>
        <v>0</v>
      </c>
      <c r="J63" s="30">
        <f>SUMIF(Source_BS!$A:$A,"2134 B Rodgers (8621) Chase",Source_BS!J:J)</f>
        <v>0</v>
      </c>
      <c r="K63" s="30">
        <f>SUMIF(Source_BS!$A:$A,"2134 B Rodgers (8621) Chase",Source_BS!K:K)</f>
        <v>0</v>
      </c>
      <c r="L63" s="30">
        <f>SUMIF(Source_BS!$A:$A,"2134 B Rodgers (8621) Chase",Source_BS!L:L)</f>
        <v>0</v>
      </c>
      <c r="M63" s="30">
        <f>SUMIF(Source_BS!$A:$A,"2134 B Rodgers (8621) Chase",Source_BS!M:M)</f>
        <v>0</v>
      </c>
    </row>
    <row r="64" spans="1:13" x14ac:dyDescent="0.25">
      <c r="A64" s="20" t="s">
        <v>322</v>
      </c>
      <c r="B64" s="30">
        <f>SUMIF(Source_BS!$A:$A,"2140 Brian (7718) Citi Diamond Preferred",Source_BS!B:B)</f>
        <v>67.039999999999992</v>
      </c>
      <c r="C64" s="30">
        <f>SUMIF(Source_BS!$A:$A,"2140 Brian (7718) Citi Diamond Preferred",Source_BS!C:C)</f>
        <v>-1.4210854715202004E-14</v>
      </c>
      <c r="D64" s="30">
        <f>SUMIF(Source_BS!$A:$A,"2140 Brian (7718) Citi Diamond Preferred",Source_BS!D:D)</f>
        <v>-1.4210854715202004E-14</v>
      </c>
      <c r="E64" s="30">
        <f>SUMIF(Source_BS!$A:$A,"2140 Brian (7718) Citi Diamond Preferred",Source_BS!E:E)</f>
        <v>-1.4210854715202004E-14</v>
      </c>
      <c r="F64" s="30">
        <f>SUMIF(Source_BS!$A:$A,"2140 Brian (7718) Citi Diamond Preferred",Source_BS!F:F)</f>
        <v>-1.4210854715202004E-14</v>
      </c>
      <c r="G64" s="30">
        <f>SUMIF(Source_BS!$A:$A,"2140 Brian (7718) Citi Diamond Preferred",Source_BS!G:G)</f>
        <v>-1.4210854715202004E-14</v>
      </c>
      <c r="H64" s="30">
        <f>SUMIF(Source_BS!$A:$A,"2140 Brian (7718) Citi Diamond Preferred",Source_BS!H:H)</f>
        <v>-1.4210854715202004E-14</v>
      </c>
      <c r="I64" s="30">
        <f>SUMIF(Source_BS!$A:$A,"2140 Brian (7718) Citi Diamond Preferred",Source_BS!I:I)</f>
        <v>-1.4210854715202004E-14</v>
      </c>
      <c r="J64" s="30">
        <f>SUMIF(Source_BS!$A:$A,"2140 Brian (7718) Citi Diamond Preferred",Source_BS!J:J)</f>
        <v>-1.4210854715202004E-14</v>
      </c>
      <c r="K64" s="30">
        <f>SUMIF(Source_BS!$A:$A,"2140 Brian (7718) Citi Diamond Preferred",Source_BS!K:K)</f>
        <v>-1.4210854715202004E-14</v>
      </c>
      <c r="L64" s="30">
        <f>SUMIF(Source_BS!$A:$A,"2140 Brian (7718) Citi Diamond Preferred",Source_BS!L:L)</f>
        <v>-1.4210854715202004E-14</v>
      </c>
      <c r="M64" s="30">
        <f>SUMIF(Source_BS!$A:$A,"2140 Brian (7718) Citi Diamond Preferred",Source_BS!M:M)</f>
        <v>-1.4210854715202004E-14</v>
      </c>
    </row>
    <row r="65" spans="1:13" x14ac:dyDescent="0.25">
      <c r="A65" s="20" t="s">
        <v>323</v>
      </c>
      <c r="B65" s="30">
        <f>SUMIF(Source_BS!$A:$A,"2150 Brian Discover IT Card",Source_BS!B:B)</f>
        <v>7556.7199999999993</v>
      </c>
      <c r="C65" s="30">
        <f>SUMIF(Source_BS!$A:$A,"2150 Brian Discover IT Card",Source_BS!C:C)</f>
        <v>7536.1299999999992</v>
      </c>
      <c r="D65" s="30">
        <f>SUMIF(Source_BS!$A:$A,"2150 Brian Discover IT Card",Source_BS!D:D)</f>
        <v>-9.0949470177292824E-13</v>
      </c>
      <c r="E65" s="30">
        <f>SUMIF(Source_BS!$A:$A,"2150 Brian Discover IT Card",Source_BS!E:E)</f>
        <v>-9.0949470177292824E-13</v>
      </c>
      <c r="F65" s="30">
        <f>SUMIF(Source_BS!$A:$A,"2150 Brian Discover IT Card",Source_BS!F:F)</f>
        <v>-9.0949470177292824E-13</v>
      </c>
      <c r="G65" s="30">
        <f>SUMIF(Source_BS!$A:$A,"2150 Brian Discover IT Card",Source_BS!G:G)</f>
        <v>-9.0949470177292824E-13</v>
      </c>
      <c r="H65" s="30">
        <f>SUMIF(Source_BS!$A:$A,"2150 Brian Discover IT Card",Source_BS!H:H)</f>
        <v>-9.0949470177292824E-13</v>
      </c>
      <c r="I65" s="30">
        <f>SUMIF(Source_BS!$A:$A,"2150 Brian Discover IT Card",Source_BS!I:I)</f>
        <v>-9.0949470177292824E-13</v>
      </c>
      <c r="J65" s="30">
        <f>SUMIF(Source_BS!$A:$A,"2150 Brian Discover IT Card",Source_BS!J:J)</f>
        <v>49.999999999999091</v>
      </c>
      <c r="K65" s="30">
        <f>SUMIF(Source_BS!$A:$A,"2150 Brian Discover IT Card",Source_BS!K:K)</f>
        <v>-9.0949470177292824E-13</v>
      </c>
      <c r="L65" s="30">
        <f>SUMIF(Source_BS!$A:$A,"2150 Brian Discover IT Card",Source_BS!L:L)</f>
        <v>-9.0949470177292824E-13</v>
      </c>
      <c r="M65" s="30">
        <f>SUMIF(Source_BS!$A:$A,"2150 Brian Discover IT Card",Source_BS!M:M)</f>
        <v>-9.0949470177292824E-13</v>
      </c>
    </row>
    <row r="66" spans="1:13" x14ac:dyDescent="0.25">
      <c r="A66" s="23" t="s">
        <v>168</v>
      </c>
      <c r="B66" s="31">
        <f>SUMIF(Source_BS!$A:$A,"Total for Credit Cards",Source_BS!B:B)</f>
        <v>93478.98</v>
      </c>
      <c r="C66" s="31">
        <f>SUMIF(Source_BS!$A:$A,"Total for Credit Cards",Source_BS!C:C)</f>
        <v>71361.33</v>
      </c>
      <c r="D66" s="31">
        <f>SUMIF(Source_BS!$A:$A,"Total for Credit Cards",Source_BS!D:D)</f>
        <v>21476.500000000004</v>
      </c>
      <c r="E66" s="31">
        <f>SUMIF(Source_BS!$A:$A,"Total for Credit Cards",Source_BS!E:E)</f>
        <v>16169.45</v>
      </c>
      <c r="F66" s="31">
        <f>SUMIF(Source_BS!$A:$A,"Total for Credit Cards",Source_BS!F:F)</f>
        <v>26804.660000000003</v>
      </c>
      <c r="G66" s="31">
        <f>SUMIF(Source_BS!$A:$A,"Total for Credit Cards",Source_BS!G:G)</f>
        <v>41310.590000000004</v>
      </c>
      <c r="H66" s="31">
        <f>SUMIF(Source_BS!$A:$A,"Total for Credit Cards",Source_BS!H:H)</f>
        <v>67629.87999999999</v>
      </c>
      <c r="I66" s="31">
        <f>SUMIF(Source_BS!$A:$A,"Total for Credit Cards",Source_BS!I:I)</f>
        <v>40634.89</v>
      </c>
      <c r="J66" s="31">
        <f>SUMIF(Source_BS!$A:$A,"Total for Credit Cards",Source_BS!J:J)</f>
        <v>52823.029999999992</v>
      </c>
      <c r="K66" s="31">
        <f>SUMIF(Source_BS!$A:$A,"Total for Credit Cards",Source_BS!K:K)</f>
        <v>61435.219999999994</v>
      </c>
      <c r="L66" s="31">
        <f>SUMIF(Source_BS!$A:$A,"Total for Credit Cards",Source_BS!L:L)</f>
        <v>26508.69999999999</v>
      </c>
      <c r="M66" s="31">
        <f>SUMIF(Source_BS!$A:$A,"Total for Credit Cards",Source_BS!M:M)</f>
        <v>58476.969999999994</v>
      </c>
    </row>
    <row r="67" spans="1:13" x14ac:dyDescent="0.25">
      <c r="A67" s="20" t="s">
        <v>169</v>
      </c>
      <c r="B67" s="30">
        <f>SUMIF(Source_BS!$A:$A,"Other Current Liabilities",Source_BS!B:B)</f>
        <v>0</v>
      </c>
      <c r="C67" s="30">
        <f>SUMIF(Source_BS!$A:$A,"Other Current Liabilities",Source_BS!C:C)</f>
        <v>0</v>
      </c>
      <c r="D67" s="30">
        <f>SUMIF(Source_BS!$A:$A,"Other Current Liabilities",Source_BS!D:D)</f>
        <v>0</v>
      </c>
      <c r="E67" s="30">
        <f>SUMIF(Source_BS!$A:$A,"Other Current Liabilities",Source_BS!E:E)</f>
        <v>0</v>
      </c>
      <c r="F67" s="30">
        <f>SUMIF(Source_BS!$A:$A,"Other Current Liabilities",Source_BS!F:F)</f>
        <v>0</v>
      </c>
      <c r="G67" s="30">
        <f>SUMIF(Source_BS!$A:$A,"Other Current Liabilities",Source_BS!G:G)</f>
        <v>0</v>
      </c>
      <c r="H67" s="30">
        <f>SUMIF(Source_BS!$A:$A,"Other Current Liabilities",Source_BS!H:H)</f>
        <v>0</v>
      </c>
      <c r="I67" s="30">
        <f>SUMIF(Source_BS!$A:$A,"Other Current Liabilities",Source_BS!I:I)</f>
        <v>0</v>
      </c>
      <c r="J67" s="30">
        <f>SUMIF(Source_BS!$A:$A,"Other Current Liabilities",Source_BS!J:J)</f>
        <v>0</v>
      </c>
      <c r="K67" s="30">
        <f>SUMIF(Source_BS!$A:$A,"Other Current Liabilities",Source_BS!K:K)</f>
        <v>0</v>
      </c>
      <c r="L67" s="30">
        <f>SUMIF(Source_BS!$A:$A,"Other Current Liabilities",Source_BS!L:L)</f>
        <v>0</v>
      </c>
      <c r="M67" s="30">
        <f>SUMIF(Source_BS!$A:$A,"Other Current Liabilities",Source_BS!M:M)</f>
        <v>0</v>
      </c>
    </row>
    <row r="68" spans="1:13" x14ac:dyDescent="0.25">
      <c r="A68" s="20" t="s">
        <v>170</v>
      </c>
      <c r="B68" s="30">
        <f>SUMIF(Source_BS!$A:$A,"2250 LOC - United Community Bank (4344)",Source_BS!B:B)</f>
        <v>210000</v>
      </c>
      <c r="C68" s="30">
        <f>SUMIF(Source_BS!$A:$A,"2250 LOC - United Community Bank (4344)",Source_BS!C:C)</f>
        <v>360000</v>
      </c>
      <c r="D68" s="30">
        <f>SUMIF(Source_BS!$A:$A,"2250 LOC - United Community Bank (4344)",Source_BS!D:D)</f>
        <v>375707.44</v>
      </c>
      <c r="E68" s="30">
        <f>SUMIF(Source_BS!$A:$A,"2250 LOC - United Community Bank (4344)",Source_BS!E:E)</f>
        <v>375707.44</v>
      </c>
      <c r="F68" s="30">
        <f>SUMIF(Source_BS!$A:$A,"2250 LOC - United Community Bank (4344)",Source_BS!F:F)</f>
        <v>367707.44</v>
      </c>
      <c r="G68" s="30">
        <f>SUMIF(Source_BS!$A:$A,"2250 LOC - United Community Bank (4344)",Source_BS!G:G)</f>
        <v>215707.44</v>
      </c>
      <c r="H68" s="30">
        <f>SUMIF(Source_BS!$A:$A,"2250 LOC - United Community Bank (4344)",Source_BS!H:H)</f>
        <v>255707.44</v>
      </c>
      <c r="I68" s="30">
        <f>SUMIF(Source_BS!$A:$A,"2250 LOC - United Community Bank (4344)",Source_BS!I:I)</f>
        <v>318000</v>
      </c>
      <c r="J68" s="30">
        <f>SUMIF(Source_BS!$A:$A,"2250 LOC - United Community Bank (4344)",Source_BS!J:J)</f>
        <v>360000</v>
      </c>
      <c r="K68" s="30">
        <f>SUMIF(Source_BS!$A:$A,"2250 LOC - United Community Bank (4344)",Source_BS!K:K)</f>
        <v>360000</v>
      </c>
      <c r="L68" s="30">
        <f>SUMIF(Source_BS!$A:$A,"2250 LOC - United Community Bank (4344)",Source_BS!L:L)</f>
        <v>400000</v>
      </c>
      <c r="M68" s="30">
        <f>SUMIF(Source_BS!$A:$A,"2250 LOC - United Community Bank (4344)",Source_BS!M:M)</f>
        <v>400000</v>
      </c>
    </row>
    <row r="69" spans="1:13" x14ac:dyDescent="0.25">
      <c r="A69" s="20" t="s">
        <v>171</v>
      </c>
      <c r="B69" s="30">
        <f>SUMIF(Source_BS!$A:$A,"2300A Payroll Tax Liabilities OLD (deleted)",Source_BS!B:B)</f>
        <v>0</v>
      </c>
      <c r="C69" s="30">
        <f>SUMIF(Source_BS!$A:$A,"2300A Payroll Tax Liabilities OLD (deleted)",Source_BS!C:C)</f>
        <v>0</v>
      </c>
      <c r="D69" s="30">
        <f>SUMIF(Source_BS!$A:$A,"2300A Payroll Tax Liabilities OLD (deleted)",Source_BS!D:D)</f>
        <v>17533.63</v>
      </c>
      <c r="E69" s="30">
        <f>SUMIF(Source_BS!$A:$A,"2300A Payroll Tax Liabilities OLD (deleted)",Source_BS!E:E)</f>
        <v>-14640.48</v>
      </c>
      <c r="F69" s="30">
        <f>SUMIF(Source_BS!$A:$A,"2300A Payroll Tax Liabilities OLD (deleted)",Source_BS!F:F)</f>
        <v>-14640.48</v>
      </c>
      <c r="G69" s="30">
        <f>SUMIF(Source_BS!$A:$A,"2300A Payroll Tax Liabilities OLD (deleted)",Source_BS!G:G)</f>
        <v>-14822.48</v>
      </c>
      <c r="H69" s="30">
        <f>SUMIF(Source_BS!$A:$A,"2300A Payroll Tax Liabilities OLD (deleted)",Source_BS!H:H)</f>
        <v>-14822.48</v>
      </c>
      <c r="I69" s="30">
        <f>SUMIF(Source_BS!$A:$A,"2300A Payroll Tax Liabilities OLD (deleted)",Source_BS!I:I)</f>
        <v>-14822.48</v>
      </c>
      <c r="J69" s="30">
        <f>SUMIF(Source_BS!$A:$A,"2300A Payroll Tax Liabilities OLD (deleted)",Source_BS!J:J)</f>
        <v>-14822.48</v>
      </c>
      <c r="K69" s="30">
        <f>SUMIF(Source_BS!$A:$A,"2300A Payroll Tax Liabilities OLD (deleted)",Source_BS!K:K)</f>
        <v>-14822.48</v>
      </c>
      <c r="L69" s="30">
        <f>SUMIF(Source_BS!$A:$A,"2300A Payroll Tax Liabilities OLD (deleted)",Source_BS!L:L)</f>
        <v>-14822.48</v>
      </c>
      <c r="M69" s="30">
        <f>SUMIF(Source_BS!$A:$A,"2300A Payroll Tax Liabilities OLD (deleted)",Source_BS!M:M)</f>
        <v>0</v>
      </c>
    </row>
    <row r="70" spans="1:13" x14ac:dyDescent="0.25">
      <c r="A70" s="20" t="s">
        <v>172</v>
      </c>
      <c r="B70" s="30">
        <f>SUMIF(Source_BS!$A:$A,"2300 Payroll Tax Liabilities",Source_BS!B:B)</f>
        <v>0</v>
      </c>
      <c r="C70" s="30">
        <f>SUMIF(Source_BS!$A:$A,"2300 Payroll Tax Liabilities",Source_BS!C:C)</f>
        <v>0</v>
      </c>
      <c r="D70" s="30">
        <f>SUMIF(Source_BS!$A:$A,"2300 Payroll Tax Liabilities",Source_BS!D:D)</f>
        <v>0</v>
      </c>
      <c r="E70" s="30">
        <f>SUMIF(Source_BS!$A:$A,"2300 Payroll Tax Liabilities",Source_BS!E:E)</f>
        <v>0</v>
      </c>
      <c r="F70" s="30">
        <f>SUMIF(Source_BS!$A:$A,"2300 Payroll Tax Liabilities",Source_BS!F:F)</f>
        <v>0</v>
      </c>
      <c r="G70" s="30">
        <f>SUMIF(Source_BS!$A:$A,"2300 Payroll Tax Liabilities",Source_BS!G:G)</f>
        <v>0</v>
      </c>
      <c r="H70" s="30">
        <f>SUMIF(Source_BS!$A:$A,"2300 Payroll Tax Liabilities",Source_BS!H:H)</f>
        <v>0</v>
      </c>
      <c r="I70" s="30">
        <f>SUMIF(Source_BS!$A:$A,"2300 Payroll Tax Liabilities",Source_BS!I:I)</f>
        <v>0</v>
      </c>
      <c r="J70" s="30">
        <f>SUMIF(Source_BS!$A:$A,"2300 Payroll Tax Liabilities",Source_BS!J:J)</f>
        <v>0</v>
      </c>
      <c r="K70" s="30">
        <f>SUMIF(Source_BS!$A:$A,"2300 Payroll Tax Liabilities",Source_BS!K:K)</f>
        <v>0</v>
      </c>
      <c r="L70" s="30">
        <f>SUMIF(Source_BS!$A:$A,"2300 Payroll Tax Liabilities",Source_BS!L:L)</f>
        <v>0</v>
      </c>
      <c r="M70" s="30">
        <f>SUMIF(Source_BS!$A:$A,"2300 Payroll Tax Liabilities",Source_BS!M:M)</f>
        <v>0</v>
      </c>
    </row>
    <row r="71" spans="1:13" x14ac:dyDescent="0.25">
      <c r="A71" s="20" t="s">
        <v>173</v>
      </c>
      <c r="B71" s="30">
        <f>SUMIF(Source_BS!$A:$A,"2301 941",Source_BS!B:B)</f>
        <v>32174.11</v>
      </c>
      <c r="C71" s="30">
        <f>SUMIF(Source_BS!$A:$A,"2301 941",Source_BS!C:C)</f>
        <v>32174.11</v>
      </c>
      <c r="D71" s="30">
        <f>SUMIF(Source_BS!$A:$A,"2301 941",Source_BS!D:D)</f>
        <v>31648.95</v>
      </c>
      <c r="E71" s="30">
        <f>SUMIF(Source_BS!$A:$A,"2301 941",Source_BS!E:E)</f>
        <v>32380.280000000002</v>
      </c>
      <c r="F71" s="30">
        <f>SUMIF(Source_BS!$A:$A,"2301 941",Source_BS!F:F)</f>
        <v>15061.220000000001</v>
      </c>
      <c r="G71" s="30">
        <f>SUMIF(Source_BS!$A:$A,"2301 941",Source_BS!G:G)</f>
        <v>15061.220000000001</v>
      </c>
      <c r="H71" s="30">
        <f>SUMIF(Source_BS!$A:$A,"2301 941",Source_BS!H:H)</f>
        <v>15061.220000000001</v>
      </c>
      <c r="I71" s="30">
        <f>SUMIF(Source_BS!$A:$A,"2301 941",Source_BS!I:I)</f>
        <v>33832.43</v>
      </c>
      <c r="J71" s="30">
        <f>SUMIF(Source_BS!$A:$A,"2301 941",Source_BS!J:J)</f>
        <v>37046.629999999997</v>
      </c>
      <c r="K71" s="30">
        <f>SUMIF(Source_BS!$A:$A,"2301 941",Source_BS!K:K)</f>
        <v>15061.219999999998</v>
      </c>
      <c r="L71" s="30">
        <f>SUMIF(Source_BS!$A:$A,"2301 941",Source_BS!L:L)</f>
        <v>15061.219999999998</v>
      </c>
      <c r="M71" s="30">
        <f>SUMIF(Source_BS!$A:$A,"2301 941",Source_BS!M:M)</f>
        <v>-1.8189894035458565E-12</v>
      </c>
    </row>
    <row r="72" spans="1:13" x14ac:dyDescent="0.25">
      <c r="A72" s="20" t="s">
        <v>174</v>
      </c>
      <c r="B72" s="30">
        <f>SUMIF(Source_BS!$A:$A,"2302 940",Source_BS!B:B)</f>
        <v>546</v>
      </c>
      <c r="C72" s="30">
        <f>SUMIF(Source_BS!$A:$A,"2302 940",Source_BS!C:C)</f>
        <v>821.6</v>
      </c>
      <c r="D72" s="30">
        <f>SUMIF(Source_BS!$A:$A,"2302 940",Source_BS!D:D)</f>
        <v>947.49</v>
      </c>
      <c r="E72" s="30">
        <f>SUMIF(Source_BS!$A:$A,"2302 940",Source_BS!E:E)</f>
        <v>-122.52999999999997</v>
      </c>
      <c r="F72" s="30">
        <f>SUMIF(Source_BS!$A:$A,"2302 940",Source_BS!F:F)</f>
        <v>-118.08999999999997</v>
      </c>
      <c r="G72" s="30">
        <f>SUMIF(Source_BS!$A:$A,"2302 940",Source_BS!G:G)</f>
        <v>-67.259999999999977</v>
      </c>
      <c r="H72" s="30">
        <f>SUMIF(Source_BS!$A:$A,"2302 940",Source_BS!H:H)</f>
        <v>-33.219999999999978</v>
      </c>
      <c r="I72" s="30">
        <f>SUMIF(Source_BS!$A:$A,"2302 940",Source_BS!I:I)</f>
        <v>-28.349999999999977</v>
      </c>
      <c r="J72" s="30">
        <f>SUMIF(Source_BS!$A:$A,"2302 940",Source_BS!J:J)</f>
        <v>17.860000000000024</v>
      </c>
      <c r="K72" s="30">
        <f>SUMIF(Source_BS!$A:$A,"2302 940",Source_BS!K:K)</f>
        <v>88.270000000000024</v>
      </c>
      <c r="L72" s="30">
        <f>SUMIF(Source_BS!$A:$A,"2302 940",Source_BS!L:L)</f>
        <v>254.82000000000005</v>
      </c>
      <c r="M72" s="30">
        <f>SUMIF(Source_BS!$A:$A,"2302 940",Source_BS!M:M)</f>
        <v>599.23</v>
      </c>
    </row>
    <row r="73" spans="1:13" x14ac:dyDescent="0.25">
      <c r="A73" s="20" t="s">
        <v>175</v>
      </c>
      <c r="B73" s="30">
        <f>SUMIF(Source_BS!$A:$A,"2303 AL Withholding",Source_BS!B:B)</f>
        <v>11107.67</v>
      </c>
      <c r="C73" s="30">
        <f>SUMIF(Source_BS!$A:$A,"2303 AL Withholding",Source_BS!C:C)</f>
        <v>15942.2</v>
      </c>
      <c r="D73" s="30">
        <f>SUMIF(Source_BS!$A:$A,"2303 AL Withholding",Source_BS!D:D)</f>
        <v>17170.580000000002</v>
      </c>
      <c r="E73" s="30">
        <f>SUMIF(Source_BS!$A:$A,"2303 AL Withholding",Source_BS!E:E)</f>
        <v>14831.880000000001</v>
      </c>
      <c r="F73" s="30">
        <f>SUMIF(Source_BS!$A:$A,"2303 AL Withholding",Source_BS!F:F)</f>
        <v>14906.95</v>
      </c>
      <c r="G73" s="30">
        <f>SUMIF(Source_BS!$A:$A,"2303 AL Withholding",Source_BS!G:G)</f>
        <v>14896.83</v>
      </c>
      <c r="H73" s="30">
        <f>SUMIF(Source_BS!$A:$A,"2303 AL Withholding",Source_BS!H:H)</f>
        <v>14768.91</v>
      </c>
      <c r="I73" s="30">
        <f>SUMIF(Source_BS!$A:$A,"2303 AL Withholding",Source_BS!I:I)</f>
        <v>17559.89</v>
      </c>
      <c r="J73" s="30">
        <f>SUMIF(Source_BS!$A:$A,"2303 AL Withholding",Source_BS!J:J)</f>
        <v>15549.8</v>
      </c>
      <c r="K73" s="30">
        <f>SUMIF(Source_BS!$A:$A,"2303 AL Withholding",Source_BS!K:K)</f>
        <v>16389.649999999998</v>
      </c>
      <c r="L73" s="30">
        <f>SUMIF(Source_BS!$A:$A,"2303 AL Withholding",Source_BS!L:L)</f>
        <v>17945.689999999999</v>
      </c>
      <c r="M73" s="30">
        <f>SUMIF(Source_BS!$A:$A,"2303 AL Withholding",Source_BS!M:M)</f>
        <v>7005.3299999999981</v>
      </c>
    </row>
    <row r="74" spans="1:13" x14ac:dyDescent="0.25">
      <c r="A74" s="20" t="s">
        <v>176</v>
      </c>
      <c r="B74" s="30">
        <f>SUMIF(Source_BS!$A:$A,"2304 AL Unemployment Tax",Source_BS!B:B)</f>
        <v>185.55</v>
      </c>
      <c r="C74" s="30">
        <f>SUMIF(Source_BS!$A:$A,"2304 AL Unemployment Tax",Source_BS!C:C)</f>
        <v>271.78000000000003</v>
      </c>
      <c r="D74" s="30">
        <f>SUMIF(Source_BS!$A:$A,"2304 AL Unemployment Tax",Source_BS!D:D)</f>
        <v>-604.71</v>
      </c>
      <c r="E74" s="30">
        <f>SUMIF(Source_BS!$A:$A,"2304 AL Unemployment Tax",Source_BS!E:E)</f>
        <v>-922.32</v>
      </c>
      <c r="F74" s="30">
        <f>SUMIF(Source_BS!$A:$A,"2304 AL Unemployment Tax",Source_BS!F:F)</f>
        <v>-917.88</v>
      </c>
      <c r="G74" s="30">
        <f>SUMIF(Source_BS!$A:$A,"2304 AL Unemployment Tax",Source_BS!G:G)</f>
        <v>-915.18</v>
      </c>
      <c r="H74" s="30">
        <f>SUMIF(Source_BS!$A:$A,"2304 AL Unemployment Tax",Source_BS!H:H)</f>
        <v>-936.62</v>
      </c>
      <c r="I74" s="30">
        <f>SUMIF(Source_BS!$A:$A,"2304 AL Unemployment Tax",Source_BS!I:I)</f>
        <v>-935.41</v>
      </c>
      <c r="J74" s="30">
        <f>SUMIF(Source_BS!$A:$A,"2304 AL Unemployment Tax",Source_BS!J:J)</f>
        <v>-920.01</v>
      </c>
      <c r="K74" s="30">
        <f>SUMIF(Source_BS!$A:$A,"2304 AL Unemployment Tax",Source_BS!K:K)</f>
        <v>-926.45</v>
      </c>
      <c r="L74" s="30">
        <f>SUMIF(Source_BS!$A:$A,"2304 AL Unemployment Tax",Source_BS!L:L)</f>
        <v>-894.86</v>
      </c>
      <c r="M74" s="30">
        <f>SUMIF(Source_BS!$A:$A,"2304 AL Unemployment Tax",Source_BS!M:M)</f>
        <v>70.569999999999936</v>
      </c>
    </row>
    <row r="75" spans="1:13" x14ac:dyDescent="0.25">
      <c r="A75" s="20" t="s">
        <v>177</v>
      </c>
      <c r="B75" s="30">
        <f>SUMIF(Source_BS!$A:$A,"2310 GA Income Tax",Source_BS!B:B)</f>
        <v>549.91</v>
      </c>
      <c r="C75" s="30">
        <f>SUMIF(Source_BS!$A:$A,"2310 GA Income Tax",Source_BS!C:C)</f>
        <v>598.47</v>
      </c>
      <c r="D75" s="30">
        <f>SUMIF(Source_BS!$A:$A,"2310 GA Income Tax",Source_BS!D:D)</f>
        <v>977.02</v>
      </c>
      <c r="E75" s="30">
        <f>SUMIF(Source_BS!$A:$A,"2310 GA Income Tax",Source_BS!E:E)</f>
        <v>594</v>
      </c>
      <c r="F75" s="30">
        <f>SUMIF(Source_BS!$A:$A,"2310 GA Income Tax",Source_BS!F:F)</f>
        <v>657.4</v>
      </c>
      <c r="G75" s="30">
        <f>SUMIF(Source_BS!$A:$A,"2310 GA Income Tax",Source_BS!G:G)</f>
        <v>653.86</v>
      </c>
      <c r="H75" s="30">
        <f>SUMIF(Source_BS!$A:$A,"2310 GA Income Tax",Source_BS!H:H)</f>
        <v>983.88</v>
      </c>
      <c r="I75" s="30">
        <f>SUMIF(Source_BS!$A:$A,"2310 GA Income Tax",Source_BS!I:I)</f>
        <v>2198.0500000000002</v>
      </c>
      <c r="J75" s="30">
        <f>SUMIF(Source_BS!$A:$A,"2310 GA Income Tax",Source_BS!J:J)</f>
        <v>1354.46</v>
      </c>
      <c r="K75" s="30">
        <f>SUMIF(Source_BS!$A:$A,"2310 GA Income Tax",Source_BS!K:K)</f>
        <v>1656.17</v>
      </c>
      <c r="L75" s="30">
        <f>SUMIF(Source_BS!$A:$A,"2310 GA Income Tax",Source_BS!L:L)</f>
        <v>2067.25</v>
      </c>
      <c r="M75" s="30">
        <f>SUMIF(Source_BS!$A:$A,"2310 GA Income Tax",Source_BS!M:M)</f>
        <v>2811.42</v>
      </c>
    </row>
    <row r="76" spans="1:13" x14ac:dyDescent="0.25">
      <c r="A76" s="20" t="s">
        <v>178</v>
      </c>
      <c r="B76" s="30">
        <f>SUMIF(Source_BS!$A:$A,"2311 GA Unemployment Tax",Source_BS!B:B)</f>
        <v>287.69</v>
      </c>
      <c r="C76" s="30">
        <f>SUMIF(Source_BS!$A:$A,"2311 GA Unemployment Tax",Source_BS!C:C)</f>
        <v>464.34000000000003</v>
      </c>
      <c r="D76" s="30">
        <f>SUMIF(Source_BS!$A:$A,"2311 GA Unemployment Tax",Source_BS!D:D)</f>
        <v>513</v>
      </c>
      <c r="E76" s="30">
        <f>SUMIF(Source_BS!$A:$A,"2311 GA Unemployment Tax",Source_BS!E:E)</f>
        <v>0</v>
      </c>
      <c r="F76" s="30">
        <f>SUMIF(Source_BS!$A:$A,"2311 GA Unemployment Tax",Source_BS!F:F)</f>
        <v>0</v>
      </c>
      <c r="G76" s="30">
        <f>SUMIF(Source_BS!$A:$A,"2311 GA Unemployment Tax",Source_BS!G:G)</f>
        <v>264.99</v>
      </c>
      <c r="H76" s="30">
        <f>SUMIF(Source_BS!$A:$A,"2311 GA Unemployment Tax",Source_BS!H:H)</f>
        <v>174.93</v>
      </c>
      <c r="I76" s="30">
        <f>SUMIF(Source_BS!$A:$A,"2311 GA Unemployment Tax",Source_BS!I:I)</f>
        <v>248.01</v>
      </c>
      <c r="J76" s="30">
        <f>SUMIF(Source_BS!$A:$A,"2311 GA Unemployment Tax",Source_BS!J:J)</f>
        <v>248.01</v>
      </c>
      <c r="K76" s="30">
        <f>SUMIF(Source_BS!$A:$A,"2311 GA Unemployment Tax",Source_BS!K:K)</f>
        <v>206.5</v>
      </c>
      <c r="L76" s="30">
        <f>SUMIF(Source_BS!$A:$A,"2311 GA Unemployment Tax",Source_BS!L:L)</f>
        <v>613.55999999999995</v>
      </c>
      <c r="M76" s="30">
        <f>SUMIF(Source_BS!$A:$A,"2311 GA Unemployment Tax",Source_BS!M:M)</f>
        <v>1216.28</v>
      </c>
    </row>
    <row r="77" spans="1:13" x14ac:dyDescent="0.25">
      <c r="A77" s="20" t="s">
        <v>179</v>
      </c>
      <c r="B77" s="30">
        <f>SUMIF(Source_BS!$A:$A,"2312 MD Income Tax",Source_BS!B:B)</f>
        <v>167.5</v>
      </c>
      <c r="C77" s="30">
        <f>SUMIF(Source_BS!$A:$A,"2312 MD Income Tax",Source_BS!C:C)</f>
        <v>583.20000000000005</v>
      </c>
      <c r="D77" s="30">
        <f>SUMIF(Source_BS!$A:$A,"2312 MD Income Tax",Source_BS!D:D)</f>
        <v>1206.06</v>
      </c>
      <c r="E77" s="30">
        <f>SUMIF(Source_BS!$A:$A,"2312 MD Income Tax",Source_BS!E:E)</f>
        <v>413.03999999999996</v>
      </c>
      <c r="F77" s="30">
        <f>SUMIF(Source_BS!$A:$A,"2312 MD Income Tax",Source_BS!F:F)</f>
        <v>826.07999999999993</v>
      </c>
      <c r="G77" s="30">
        <f>SUMIF(Source_BS!$A:$A,"2312 MD Income Tax",Source_BS!G:G)</f>
        <v>1239.1199999999999</v>
      </c>
      <c r="H77" s="30">
        <f>SUMIF(Source_BS!$A:$A,"2312 MD Income Tax",Source_BS!H:H)</f>
        <v>413.03999999999985</v>
      </c>
      <c r="I77" s="30">
        <f>SUMIF(Source_BS!$A:$A,"2312 MD Income Tax",Source_BS!I:I)</f>
        <v>1052.1599999999999</v>
      </c>
      <c r="J77" s="30">
        <f>SUMIF(Source_BS!$A:$A,"2312 MD Income Tax",Source_BS!J:J)</f>
        <v>1496.9899999999998</v>
      </c>
      <c r="K77" s="30">
        <f>SUMIF(Source_BS!$A:$A,"2312 MD Income Tax",Source_BS!K:K)</f>
        <v>457.05999999999972</v>
      </c>
      <c r="L77" s="30">
        <f>SUMIF(Source_BS!$A:$A,"2312 MD Income Tax",Source_BS!L:L)</f>
        <v>914.11999999999966</v>
      </c>
      <c r="M77" s="30">
        <f>SUMIF(Source_BS!$A:$A,"2312 MD Income Tax",Source_BS!M:M)</f>
        <v>1371.1799999999996</v>
      </c>
    </row>
    <row r="78" spans="1:13" x14ac:dyDescent="0.25">
      <c r="A78" s="20" t="s">
        <v>180</v>
      </c>
      <c r="B78" s="30">
        <f>SUMIF(Source_BS!$A:$A,"2313 MD Unemployment Tax",Source_BS!B:B)</f>
        <v>0</v>
      </c>
      <c r="C78" s="30">
        <f>SUMIF(Source_BS!$A:$A,"2313 MD Unemployment Tax",Source_BS!C:C)</f>
        <v>195.46</v>
      </c>
      <c r="D78" s="30">
        <f>SUMIF(Source_BS!$A:$A,"2313 MD Unemployment Tax",Source_BS!D:D)</f>
        <v>221</v>
      </c>
      <c r="E78" s="30">
        <f>SUMIF(Source_BS!$A:$A,"2313 MD Unemployment Tax",Source_BS!E:E)</f>
        <v>221</v>
      </c>
      <c r="F78" s="30">
        <f>SUMIF(Source_BS!$A:$A,"2313 MD Unemployment Tax",Source_BS!F:F)</f>
        <v>0</v>
      </c>
      <c r="G78" s="30">
        <f>SUMIF(Source_BS!$A:$A,"2313 MD Unemployment Tax",Source_BS!G:G)</f>
        <v>0</v>
      </c>
      <c r="H78" s="30">
        <f>SUMIF(Source_BS!$A:$A,"2313 MD Unemployment Tax",Source_BS!H:H)</f>
        <v>0</v>
      </c>
      <c r="I78" s="30">
        <f>SUMIF(Source_BS!$A:$A,"2313 MD Unemployment Tax",Source_BS!I:I)</f>
        <v>0</v>
      </c>
      <c r="J78" s="30">
        <f>SUMIF(Source_BS!$A:$A,"2313 MD Unemployment Tax",Source_BS!J:J)</f>
        <v>0</v>
      </c>
      <c r="K78" s="30">
        <f>SUMIF(Source_BS!$A:$A,"2313 MD Unemployment Tax",Source_BS!K:K)</f>
        <v>0</v>
      </c>
      <c r="L78" s="30">
        <f>SUMIF(Source_BS!$A:$A,"2313 MD Unemployment Tax",Source_BS!L:L)</f>
        <v>0</v>
      </c>
      <c r="M78" s="30">
        <f>SUMIF(Source_BS!$A:$A,"2313 MD Unemployment Tax",Source_BS!M:M)</f>
        <v>0</v>
      </c>
    </row>
    <row r="79" spans="1:13" x14ac:dyDescent="0.25">
      <c r="A79" s="20" t="s">
        <v>181</v>
      </c>
      <c r="B79" s="30">
        <f>SUMIF(Source_BS!$A:$A,"2314 TN Unemployment Taxes",Source_BS!B:B)</f>
        <v>402.25</v>
      </c>
      <c r="C79" s="30">
        <f>SUMIF(Source_BS!$A:$A,"2314 TN Unemployment Taxes",Source_BS!C:C)</f>
        <v>502.62</v>
      </c>
      <c r="D79" s="30">
        <f>SUMIF(Source_BS!$A:$A,"2314 TN Unemployment Taxes",Source_BS!D:D)</f>
        <v>567</v>
      </c>
      <c r="E79" s="30">
        <f>SUMIF(Source_BS!$A:$A,"2314 TN Unemployment Taxes",Source_BS!E:E)</f>
        <v>0</v>
      </c>
      <c r="F79" s="30">
        <f>SUMIF(Source_BS!$A:$A,"2314 TN Unemployment Taxes",Source_BS!F:F)</f>
        <v>0</v>
      </c>
      <c r="G79" s="30">
        <f>SUMIF(Source_BS!$A:$A,"2314 TN Unemployment Taxes",Source_BS!G:G)</f>
        <v>0</v>
      </c>
      <c r="H79" s="30">
        <f>SUMIF(Source_BS!$A:$A,"2314 TN Unemployment Taxes",Source_BS!H:H)</f>
        <v>0</v>
      </c>
      <c r="I79" s="30">
        <f>SUMIF(Source_BS!$A:$A,"2314 TN Unemployment Taxes",Source_BS!I:I)</f>
        <v>0</v>
      </c>
      <c r="J79" s="30">
        <f>SUMIF(Source_BS!$A:$A,"2314 TN Unemployment Taxes",Source_BS!J:J)</f>
        <v>0</v>
      </c>
      <c r="K79" s="30">
        <f>SUMIF(Source_BS!$A:$A,"2314 TN Unemployment Taxes",Source_BS!K:K)</f>
        <v>0</v>
      </c>
      <c r="L79" s="30">
        <f>SUMIF(Source_BS!$A:$A,"2314 TN Unemployment Taxes",Source_BS!L:L)</f>
        <v>0</v>
      </c>
      <c r="M79" s="30">
        <f>SUMIF(Source_BS!$A:$A,"2314 TN Unemployment Taxes",Source_BS!M:M)</f>
        <v>0</v>
      </c>
    </row>
    <row r="80" spans="1:13" x14ac:dyDescent="0.25">
      <c r="A80" s="23" t="s">
        <v>182</v>
      </c>
      <c r="B80" s="31">
        <f>SUMIF(Source_BS!$A:$A,"Total for 2300 Payroll Tax Liabilities",Source_BS!B:B)</f>
        <v>45420.680000000008</v>
      </c>
      <c r="C80" s="31">
        <f>SUMIF(Source_BS!$A:$A,"Total for 2300 Payroll Tax Liabilities",Source_BS!C:C)</f>
        <v>51553.78</v>
      </c>
      <c r="D80" s="31">
        <f>SUMIF(Source_BS!$A:$A,"Total for 2300 Payroll Tax Liabilities",Source_BS!D:D)</f>
        <v>52646.39</v>
      </c>
      <c r="E80" s="31">
        <f>SUMIF(Source_BS!$A:$A,"Total for 2300 Payroll Tax Liabilities",Source_BS!E:E)</f>
        <v>47395.350000000006</v>
      </c>
      <c r="F80" s="31">
        <f>SUMIF(Source_BS!$A:$A,"Total for 2300 Payroll Tax Liabilities",Source_BS!F:F)</f>
        <v>30415.68</v>
      </c>
      <c r="G80" s="31">
        <f>SUMIF(Source_BS!$A:$A,"Total for 2300 Payroll Tax Liabilities",Source_BS!G:G)</f>
        <v>31133.58</v>
      </c>
      <c r="H80" s="31">
        <f>SUMIF(Source_BS!$A:$A,"Total for 2300 Payroll Tax Liabilities",Source_BS!H:H)</f>
        <v>30432.140000000007</v>
      </c>
      <c r="I80" s="31">
        <f>SUMIF(Source_BS!$A:$A,"Total for 2300 Payroll Tax Liabilities",Source_BS!I:I)</f>
        <v>53926.78</v>
      </c>
      <c r="J80" s="31">
        <f>SUMIF(Source_BS!$A:$A,"Total for 2300 Payroll Tax Liabilities",Source_BS!J:J)</f>
        <v>54793.739999999991</v>
      </c>
      <c r="K80" s="31">
        <f>SUMIF(Source_BS!$A:$A,"Total for 2300 Payroll Tax Liabilities",Source_BS!K:K)</f>
        <v>32932.419999999991</v>
      </c>
      <c r="L80" s="31">
        <f>SUMIF(Source_BS!$A:$A,"Total for 2300 Payroll Tax Liabilities",Source_BS!L:L)</f>
        <v>35961.799999999996</v>
      </c>
      <c r="M80" s="31">
        <f>SUMIF(Source_BS!$A:$A,"Total for 2300 Payroll Tax Liabilities",Source_BS!M:M)</f>
        <v>13074.009999999997</v>
      </c>
    </row>
    <row r="81" spans="1:13" x14ac:dyDescent="0.25">
      <c r="A81" s="20" t="s">
        <v>183</v>
      </c>
      <c r="B81" s="30">
        <f>SUMIF(Source_BS!$A:$A,"2350 Benefits Payable",Source_BS!B:B)</f>
        <v>0</v>
      </c>
      <c r="C81" s="30">
        <f>SUMIF(Source_BS!$A:$A,"2350 Benefits Payable",Source_BS!C:C)</f>
        <v>0</v>
      </c>
      <c r="D81" s="30">
        <f>SUMIF(Source_BS!$A:$A,"2350 Benefits Payable",Source_BS!D:D)</f>
        <v>0</v>
      </c>
      <c r="E81" s="30">
        <f>SUMIF(Source_BS!$A:$A,"2350 Benefits Payable",Source_BS!E:E)</f>
        <v>0</v>
      </c>
      <c r="F81" s="30">
        <f>SUMIF(Source_BS!$A:$A,"2350 Benefits Payable",Source_BS!F:F)</f>
        <v>0</v>
      </c>
      <c r="G81" s="30">
        <f>SUMIF(Source_BS!$A:$A,"2350 Benefits Payable",Source_BS!G:G)</f>
        <v>0</v>
      </c>
      <c r="H81" s="30">
        <f>SUMIF(Source_BS!$A:$A,"2350 Benefits Payable",Source_BS!H:H)</f>
        <v>0</v>
      </c>
      <c r="I81" s="30">
        <f>SUMIF(Source_BS!$A:$A,"2350 Benefits Payable",Source_BS!I:I)</f>
        <v>0</v>
      </c>
      <c r="J81" s="30">
        <f>SUMIF(Source_BS!$A:$A,"2350 Benefits Payable",Source_BS!J:J)</f>
        <v>0</v>
      </c>
      <c r="K81" s="30">
        <f>SUMIF(Source_BS!$A:$A,"2350 Benefits Payable",Source_BS!K:K)</f>
        <v>0</v>
      </c>
      <c r="L81" s="30">
        <f>SUMIF(Source_BS!$A:$A,"2350 Benefits Payable",Source_BS!L:L)</f>
        <v>0</v>
      </c>
      <c r="M81" s="30">
        <f>SUMIF(Source_BS!$A:$A,"2350 Benefits Payable",Source_BS!M:M)</f>
        <v>0</v>
      </c>
    </row>
    <row r="82" spans="1:13" x14ac:dyDescent="0.25">
      <c r="A82" s="20" t="s">
        <v>184</v>
      </c>
      <c r="B82" s="30">
        <f>SUMIF(Source_BS!$A:$A,"2351 Dental Insurance",Source_BS!B:B)</f>
        <v>-990.56</v>
      </c>
      <c r="C82" s="30">
        <f>SUMIF(Source_BS!$A:$A,"2351 Dental Insurance",Source_BS!C:C)</f>
        <v>-1638.32</v>
      </c>
      <c r="D82" s="30">
        <f>SUMIF(Source_BS!$A:$A,"2351 Dental Insurance",Source_BS!D:D)</f>
        <v>-472.54999999999995</v>
      </c>
      <c r="E82" s="30">
        <f>SUMIF(Source_BS!$A:$A,"2351 Dental Insurance",Source_BS!E:E)</f>
        <v>-593.13</v>
      </c>
      <c r="F82" s="30">
        <f>SUMIF(Source_BS!$A:$A,"2351 Dental Insurance",Source_BS!F:F)</f>
        <v>-694.68</v>
      </c>
      <c r="G82" s="30">
        <f>SUMIF(Source_BS!$A:$A,"2351 Dental Insurance",Source_BS!G:G)</f>
        <v>-678.17</v>
      </c>
      <c r="H82" s="30">
        <f>SUMIF(Source_BS!$A:$A,"2351 Dental Insurance",Source_BS!H:H)</f>
        <v>-842.82999999999993</v>
      </c>
      <c r="I82" s="30">
        <f>SUMIF(Source_BS!$A:$A,"2351 Dental Insurance",Source_BS!I:I)</f>
        <v>-323.74999999999989</v>
      </c>
      <c r="J82" s="30">
        <f>SUMIF(Source_BS!$A:$A,"2351 Dental Insurance",Source_BS!J:J)</f>
        <v>-576.4799999999999</v>
      </c>
      <c r="K82" s="30">
        <f>SUMIF(Source_BS!$A:$A,"2351 Dental Insurance",Source_BS!K:K)</f>
        <v>-704.76999999999987</v>
      </c>
      <c r="L82" s="30">
        <f>SUMIF(Source_BS!$A:$A,"2351 Dental Insurance",Source_BS!L:L)</f>
        <v>-802.24999999999989</v>
      </c>
      <c r="M82" s="30">
        <f>SUMIF(Source_BS!$A:$A,"2351 Dental Insurance",Source_BS!M:M)</f>
        <v>1326.8000000000002</v>
      </c>
    </row>
    <row r="83" spans="1:13" x14ac:dyDescent="0.25">
      <c r="A83" s="20" t="s">
        <v>185</v>
      </c>
      <c r="B83" s="30">
        <f>SUMIF(Source_BS!$A:$A,"2352 Vision Insurance",Source_BS!B:B)</f>
        <v>148.91999999999999</v>
      </c>
      <c r="C83" s="30">
        <f>SUMIF(Source_BS!$A:$A,"2352 Vision Insurance",Source_BS!C:C)</f>
        <v>320.86</v>
      </c>
      <c r="D83" s="30">
        <f>SUMIF(Source_BS!$A:$A,"2352 Vision Insurance",Source_BS!D:D)</f>
        <v>597.77</v>
      </c>
      <c r="E83" s="30">
        <f>SUMIF(Source_BS!$A:$A,"2352 Vision Insurance",Source_BS!E:E)</f>
        <v>558.74</v>
      </c>
      <c r="F83" s="30">
        <f>SUMIF(Source_BS!$A:$A,"2352 Vision Insurance",Source_BS!F:F)</f>
        <v>535.25</v>
      </c>
      <c r="G83" s="30">
        <f>SUMIF(Source_BS!$A:$A,"2352 Vision Insurance",Source_BS!G:G)</f>
        <v>543.52</v>
      </c>
      <c r="H83" s="30">
        <f>SUMIF(Source_BS!$A:$A,"2352 Vision Insurance",Source_BS!H:H)</f>
        <v>502.95</v>
      </c>
      <c r="I83" s="30">
        <f>SUMIF(Source_BS!$A:$A,"2352 Vision Insurance",Source_BS!I:I)</f>
        <v>622.87</v>
      </c>
      <c r="J83" s="30">
        <f>SUMIF(Source_BS!$A:$A,"2352 Vision Insurance",Source_BS!J:J)</f>
        <v>570.51</v>
      </c>
      <c r="K83" s="30">
        <f>SUMIF(Source_BS!$A:$A,"2352 Vision Insurance",Source_BS!K:K)</f>
        <v>548.18999999999994</v>
      </c>
      <c r="L83" s="30">
        <f>SUMIF(Source_BS!$A:$A,"2352 Vision Insurance",Source_BS!L:L)</f>
        <v>526.44999999999993</v>
      </c>
      <c r="M83" s="30">
        <f>SUMIF(Source_BS!$A:$A,"2352 Vision Insurance",Source_BS!M:M)</f>
        <v>289.00999999999993</v>
      </c>
    </row>
    <row r="84" spans="1:13" x14ac:dyDescent="0.25">
      <c r="A84" s="20" t="s">
        <v>186</v>
      </c>
      <c r="B84" s="30">
        <f>SUMIF(Source_BS!$A:$A,"2353 Short-Term Disability",Source_BS!B:B)</f>
        <v>0</v>
      </c>
      <c r="C84" s="30">
        <f>SUMIF(Source_BS!$A:$A,"2353 Short-Term Disability",Source_BS!C:C)</f>
        <v>0</v>
      </c>
      <c r="D84" s="30">
        <f>SUMIF(Source_BS!$A:$A,"2353 Short-Term Disability",Source_BS!D:D)</f>
        <v>0</v>
      </c>
      <c r="E84" s="30">
        <f>SUMIF(Source_BS!$A:$A,"2353 Short-Term Disability",Source_BS!E:E)</f>
        <v>9.9499999999999993</v>
      </c>
      <c r="F84" s="30">
        <f>SUMIF(Source_BS!$A:$A,"2353 Short-Term Disability",Source_BS!F:F)</f>
        <v>-13.5</v>
      </c>
      <c r="G84" s="30">
        <f>SUMIF(Source_BS!$A:$A,"2353 Short-Term Disability",Source_BS!G:G)</f>
        <v>31.189999999999998</v>
      </c>
      <c r="H84" s="30">
        <f>SUMIF(Source_BS!$A:$A,"2353 Short-Term Disability",Source_BS!H:H)</f>
        <v>6.6099999999999994</v>
      </c>
      <c r="I84" s="30">
        <f>SUMIF(Source_BS!$A:$A,"2353 Short-Term Disability",Source_BS!I:I)</f>
        <v>81.19</v>
      </c>
      <c r="J84" s="30">
        <f>SUMIF(Source_BS!$A:$A,"2353 Short-Term Disability",Source_BS!J:J)</f>
        <v>62.9</v>
      </c>
      <c r="K84" s="30">
        <f>SUMIF(Source_BS!$A:$A,"2353 Short-Term Disability",Source_BS!K:K)</f>
        <v>43.91</v>
      </c>
      <c r="L84" s="30">
        <f>SUMIF(Source_BS!$A:$A,"2353 Short-Term Disability",Source_BS!L:L)</f>
        <v>50.86</v>
      </c>
      <c r="M84" s="30">
        <f>SUMIF(Source_BS!$A:$A,"2353 Short-Term Disability",Source_BS!M:M)</f>
        <v>279.36</v>
      </c>
    </row>
    <row r="85" spans="1:13" x14ac:dyDescent="0.25">
      <c r="A85" s="20" t="s">
        <v>187</v>
      </c>
      <c r="B85" s="30">
        <f>SUMIF(Source_BS!$A:$A,"2354 Voluntary Life Insurance",Source_BS!B:B)</f>
        <v>0</v>
      </c>
      <c r="C85" s="30">
        <f>SUMIF(Source_BS!$A:$A,"2354 Voluntary Life Insurance",Source_BS!C:C)</f>
        <v>0</v>
      </c>
      <c r="D85" s="30">
        <f>SUMIF(Source_BS!$A:$A,"2354 Voluntary Life Insurance",Source_BS!D:D)</f>
        <v>0</v>
      </c>
      <c r="E85" s="30">
        <f>SUMIF(Source_BS!$A:$A,"2354 Voluntary Life Insurance",Source_BS!E:E)</f>
        <v>-74.09</v>
      </c>
      <c r="F85" s="30">
        <f>SUMIF(Source_BS!$A:$A,"2354 Voluntary Life Insurance",Source_BS!F:F)</f>
        <v>-91.92</v>
      </c>
      <c r="G85" s="30">
        <f>SUMIF(Source_BS!$A:$A,"2354 Voluntary Life Insurance",Source_BS!G:G)</f>
        <v>-71.849999999999994</v>
      </c>
      <c r="H85" s="30">
        <f>SUMIF(Source_BS!$A:$A,"2354 Voluntary Life Insurance",Source_BS!H:H)</f>
        <v>-99.339999999999989</v>
      </c>
      <c r="I85" s="30">
        <f>SUMIF(Source_BS!$A:$A,"2354 Voluntary Life Insurance",Source_BS!I:I)</f>
        <v>8.2800000000000153</v>
      </c>
      <c r="J85" s="30">
        <f>SUMIF(Source_BS!$A:$A,"2354 Voluntary Life Insurance",Source_BS!J:J)</f>
        <v>-28.119999999999983</v>
      </c>
      <c r="K85" s="30">
        <f>SUMIF(Source_BS!$A:$A,"2354 Voluntary Life Insurance",Source_BS!K:K)</f>
        <v>-51.499999999999986</v>
      </c>
      <c r="L85" s="30">
        <f>SUMIF(Source_BS!$A:$A,"2354 Voluntary Life Insurance",Source_BS!L:L)</f>
        <v>-55.739999999999988</v>
      </c>
      <c r="M85" s="30">
        <f>SUMIF(Source_BS!$A:$A,"2354 Voluntary Life Insurance",Source_BS!M:M)</f>
        <v>328.15999999999997</v>
      </c>
    </row>
    <row r="86" spans="1:13" x14ac:dyDescent="0.25">
      <c r="A86" s="20" t="s">
        <v>188</v>
      </c>
      <c r="B86" s="30">
        <f>SUMIF(Source_BS!$A:$A,"2355 Critical Illness/Accident/Hospital Indemnity",Source_BS!B:B)</f>
        <v>0</v>
      </c>
      <c r="C86" s="30">
        <f>SUMIF(Source_BS!$A:$A,"2355 Critical Illness/Accident/Hospital Indemnity",Source_BS!C:C)</f>
        <v>0</v>
      </c>
      <c r="D86" s="30">
        <f>SUMIF(Source_BS!$A:$A,"2355 Critical Illness/Accident/Hospital Indemnity",Source_BS!D:D)</f>
        <v>0</v>
      </c>
      <c r="E86" s="30">
        <f>SUMIF(Source_BS!$A:$A,"2355 Critical Illness/Accident/Hospital Indemnity",Source_BS!E:E)</f>
        <v>-98.44</v>
      </c>
      <c r="F86" s="30">
        <f>SUMIF(Source_BS!$A:$A,"2355 Critical Illness/Accident/Hospital Indemnity",Source_BS!F:F)</f>
        <v>-178.84</v>
      </c>
      <c r="G86" s="30">
        <f>SUMIF(Source_BS!$A:$A,"2355 Critical Illness/Accident/Hospital Indemnity",Source_BS!G:G)</f>
        <v>-64.73</v>
      </c>
      <c r="H86" s="30">
        <f>SUMIF(Source_BS!$A:$A,"2355 Critical Illness/Accident/Hospital Indemnity",Source_BS!H:H)</f>
        <v>-141.13999999999999</v>
      </c>
      <c r="I86" s="30">
        <f>SUMIF(Source_BS!$A:$A,"2355 Critical Illness/Accident/Hospital Indemnity",Source_BS!I:I)</f>
        <v>146.54000000000002</v>
      </c>
      <c r="J86" s="30">
        <f>SUMIF(Source_BS!$A:$A,"2355 Critical Illness/Accident/Hospital Indemnity",Source_BS!J:J)</f>
        <v>89.03000000000003</v>
      </c>
      <c r="K86" s="30">
        <f>SUMIF(Source_BS!$A:$A,"2355 Critical Illness/Accident/Hospital Indemnity",Source_BS!K:K)</f>
        <v>54.340000000000032</v>
      </c>
      <c r="L86" s="30">
        <f>SUMIF(Source_BS!$A:$A,"2355 Critical Illness/Accident/Hospital Indemnity",Source_BS!L:L)</f>
        <v>-23.699999999999974</v>
      </c>
      <c r="M86" s="30">
        <f>SUMIF(Source_BS!$A:$A,"2355 Critical Illness/Accident/Hospital Indemnity",Source_BS!M:M)</f>
        <v>928.07</v>
      </c>
    </row>
    <row r="87" spans="1:13" x14ac:dyDescent="0.25">
      <c r="A87" s="20" t="s">
        <v>189</v>
      </c>
      <c r="B87" s="30">
        <f>SUMIF(Source_BS!$A:$A,"2356 Health Insurance- EE+DEP",Source_BS!B:B)</f>
        <v>0</v>
      </c>
      <c r="C87" s="30">
        <f>SUMIF(Source_BS!$A:$A,"2356 Health Insurance- EE+DEP",Source_BS!C:C)</f>
        <v>0</v>
      </c>
      <c r="D87" s="30">
        <f>SUMIF(Source_BS!$A:$A,"2356 Health Insurance- EE+DEP",Source_BS!D:D)</f>
        <v>297.16000000000003</v>
      </c>
      <c r="E87" s="30">
        <f>SUMIF(Source_BS!$A:$A,"2356 Health Insurance- EE+DEP",Source_BS!E:E)</f>
        <v>7428.76</v>
      </c>
      <c r="F87" s="30">
        <f>SUMIF(Source_BS!$A:$A,"2356 Health Insurance- EE+DEP",Source_BS!F:F)</f>
        <v>-3789.83</v>
      </c>
      <c r="G87" s="30">
        <f>SUMIF(Source_BS!$A:$A,"2356 Health Insurance- EE+DEP",Source_BS!G:G)</f>
        <v>-5439.57</v>
      </c>
      <c r="H87" s="30">
        <f>SUMIF(Source_BS!$A:$A,"2356 Health Insurance- EE+DEP",Source_BS!H:H)</f>
        <v>-5439.57</v>
      </c>
      <c r="I87" s="30">
        <f>SUMIF(Source_BS!$A:$A,"2356 Health Insurance- EE+DEP",Source_BS!I:I)</f>
        <v>-5439.57</v>
      </c>
      <c r="J87" s="30">
        <f>SUMIF(Source_BS!$A:$A,"2356 Health Insurance- EE+DEP",Source_BS!J:J)</f>
        <v>-5736.7199999999993</v>
      </c>
      <c r="K87" s="30">
        <f>SUMIF(Source_BS!$A:$A,"2356 Health Insurance- EE+DEP",Source_BS!K:K)</f>
        <v>-5712.6299999999992</v>
      </c>
      <c r="L87" s="30">
        <f>SUMIF(Source_BS!$A:$A,"2356 Health Insurance- EE+DEP",Source_BS!L:L)</f>
        <v>-5985.69</v>
      </c>
      <c r="M87" s="30">
        <f>SUMIF(Source_BS!$A:$A,"2356 Health Insurance- EE+DEP",Source_BS!M:M)</f>
        <v>7725.9000000000005</v>
      </c>
    </row>
    <row r="88" spans="1:13" x14ac:dyDescent="0.25">
      <c r="A88" s="20" t="s">
        <v>190</v>
      </c>
      <c r="B88" s="30">
        <f>SUMIF(Source_BS!$A:$A,"2360 Simple IRA (B Rodgers)",Source_BS!B:B)</f>
        <v>26659.599999999999</v>
      </c>
      <c r="C88" s="30">
        <f>SUMIF(Source_BS!$A:$A,"2360 Simple IRA (B Rodgers)",Source_BS!C:C)</f>
        <v>26659.599999999999</v>
      </c>
      <c r="D88" s="30">
        <f>SUMIF(Source_BS!$A:$A,"2360 Simple IRA (B Rodgers)",Source_BS!D:D)</f>
        <v>26659.599999999999</v>
      </c>
      <c r="E88" s="30">
        <f>SUMIF(Source_BS!$A:$A,"2360 Simple IRA (B Rodgers)",Source_BS!E:E)</f>
        <v>26659.599999999999</v>
      </c>
      <c r="F88" s="30">
        <f>SUMIF(Source_BS!$A:$A,"2360 Simple IRA (B Rodgers)",Source_BS!F:F)</f>
        <v>26659.599999999999</v>
      </c>
      <c r="G88" s="30">
        <f>SUMIF(Source_BS!$A:$A,"2360 Simple IRA (B Rodgers)",Source_BS!G:G)</f>
        <v>26659.599999999999</v>
      </c>
      <c r="H88" s="30">
        <f>SUMIF(Source_BS!$A:$A,"2360 Simple IRA (B Rodgers)",Source_BS!H:H)</f>
        <v>26659.599999999999</v>
      </c>
      <c r="I88" s="30">
        <f>SUMIF(Source_BS!$A:$A,"2360 Simple IRA (B Rodgers)",Source_BS!I:I)</f>
        <v>26659.599999999999</v>
      </c>
      <c r="J88" s="30">
        <f>SUMIF(Source_BS!$A:$A,"2360 Simple IRA (B Rodgers)",Source_BS!J:J)</f>
        <v>26659.599999999999</v>
      </c>
      <c r="K88" s="30">
        <f>SUMIF(Source_BS!$A:$A,"2360 Simple IRA (B Rodgers)",Source_BS!K:K)</f>
        <v>26659.599999999999</v>
      </c>
      <c r="L88" s="30">
        <f>SUMIF(Source_BS!$A:$A,"2360 Simple IRA (B Rodgers)",Source_BS!L:L)</f>
        <v>26659.599999999999</v>
      </c>
      <c r="M88" s="30">
        <f>SUMIF(Source_BS!$A:$A,"2360 Simple IRA (B Rodgers)",Source_BS!M:M)</f>
        <v>26659.599999999999</v>
      </c>
    </row>
    <row r="89" spans="1:13" x14ac:dyDescent="0.25">
      <c r="A89" s="23" t="s">
        <v>191</v>
      </c>
      <c r="B89" s="31">
        <f>SUMIF(Source_BS!$A:$A,"Total for 2350 Benefits Payable",Source_BS!B:B)</f>
        <v>25817.96</v>
      </c>
      <c r="C89" s="31">
        <f>SUMIF(Source_BS!$A:$A,"Total for 2350 Benefits Payable",Source_BS!C:C)</f>
        <v>25342.14</v>
      </c>
      <c r="D89" s="31">
        <f>SUMIF(Source_BS!$A:$A,"Total for 2350 Benefits Payable",Source_BS!D:D)</f>
        <v>27081.98</v>
      </c>
      <c r="E89" s="31">
        <f>SUMIF(Source_BS!$A:$A,"Total for 2350 Benefits Payable",Source_BS!E:E)</f>
        <v>33891.39</v>
      </c>
      <c r="F89" s="31">
        <f>SUMIF(Source_BS!$A:$A,"Total for 2350 Benefits Payable",Source_BS!F:F)</f>
        <v>22426.079999999998</v>
      </c>
      <c r="G89" s="31">
        <f>SUMIF(Source_BS!$A:$A,"Total for 2350 Benefits Payable",Source_BS!G:G)</f>
        <v>20979.989999999998</v>
      </c>
      <c r="H89" s="31">
        <f>SUMIF(Source_BS!$A:$A,"Total for 2350 Benefits Payable",Source_BS!H:H)</f>
        <v>20646.28</v>
      </c>
      <c r="I89" s="31">
        <f>SUMIF(Source_BS!$A:$A,"Total for 2350 Benefits Payable",Source_BS!I:I)</f>
        <v>21755.16</v>
      </c>
      <c r="J89" s="31">
        <f>SUMIF(Source_BS!$A:$A,"Total for 2350 Benefits Payable",Source_BS!J:J)</f>
        <v>21040.720000000001</v>
      </c>
      <c r="K89" s="31">
        <f>SUMIF(Source_BS!$A:$A,"Total for 2350 Benefits Payable",Source_BS!K:K)</f>
        <v>20837.14</v>
      </c>
      <c r="L89" s="31">
        <f>SUMIF(Source_BS!$A:$A,"Total for 2350 Benefits Payable",Source_BS!L:L)</f>
        <v>20369.53</v>
      </c>
      <c r="M89" s="31">
        <f>SUMIF(Source_BS!$A:$A,"Total for 2350 Benefits Payable",Source_BS!M:M)</f>
        <v>37536.9</v>
      </c>
    </row>
    <row r="90" spans="1:13" x14ac:dyDescent="0.25">
      <c r="A90" s="20" t="s">
        <v>192</v>
      </c>
      <c r="B90" s="30">
        <f>SUMIF(Source_BS!$A:$A,"2530 City of Decatur Payable",Source_BS!B:B)</f>
        <v>0</v>
      </c>
      <c r="C90" s="30">
        <f>SUMIF(Source_BS!$A:$A,"2530 City of Decatur Payable",Source_BS!C:C)</f>
        <v>0</v>
      </c>
      <c r="D90" s="30">
        <f>SUMIF(Source_BS!$A:$A,"2530 City of Decatur Payable",Source_BS!D:D)</f>
        <v>0</v>
      </c>
      <c r="E90" s="30">
        <f>SUMIF(Source_BS!$A:$A,"2530 City of Decatur Payable",Source_BS!E:E)</f>
        <v>0</v>
      </c>
      <c r="F90" s="30">
        <f>SUMIF(Source_BS!$A:$A,"2530 City of Decatur Payable",Source_BS!F:F)</f>
        <v>0</v>
      </c>
      <c r="G90" s="30">
        <f>SUMIF(Source_BS!$A:$A,"2530 City of Decatur Payable",Source_BS!G:G)</f>
        <v>0</v>
      </c>
      <c r="H90" s="30">
        <f>SUMIF(Source_BS!$A:$A,"2530 City of Decatur Payable",Source_BS!H:H)</f>
        <v>0</v>
      </c>
      <c r="I90" s="30">
        <f>SUMIF(Source_BS!$A:$A,"2530 City of Decatur Payable",Source_BS!I:I)</f>
        <v>0</v>
      </c>
      <c r="J90" s="30">
        <f>SUMIF(Source_BS!$A:$A,"2530 City of Decatur Payable",Source_BS!J:J)</f>
        <v>0</v>
      </c>
      <c r="K90" s="30">
        <f>SUMIF(Source_BS!$A:$A,"2530 City of Decatur Payable",Source_BS!K:K)</f>
        <v>0</v>
      </c>
      <c r="L90" s="30">
        <f>SUMIF(Source_BS!$A:$A,"2530 City of Decatur Payable",Source_BS!L:L)</f>
        <v>0</v>
      </c>
      <c r="M90" s="30">
        <f>SUMIF(Source_BS!$A:$A,"2530 City of Decatur Payable",Source_BS!M:M)</f>
        <v>0</v>
      </c>
    </row>
    <row r="91" spans="1:13" x14ac:dyDescent="0.25">
      <c r="A91" s="20" t="s">
        <v>193</v>
      </c>
      <c r="B91" s="30">
        <f>SUMIF(Source_BS!$A:$A,"2536 Sales Tax Agency Payable",Source_BS!B:B)</f>
        <v>0</v>
      </c>
      <c r="C91" s="30">
        <f>SUMIF(Source_BS!$A:$A,"2536 Sales Tax Agency Payable",Source_BS!C:C)</f>
        <v>0</v>
      </c>
      <c r="D91" s="30">
        <f>SUMIF(Source_BS!$A:$A,"2536 Sales Tax Agency Payable",Source_BS!D:D)</f>
        <v>0</v>
      </c>
      <c r="E91" s="30">
        <f>SUMIF(Source_BS!$A:$A,"2536 Sales Tax Agency Payable",Source_BS!E:E)</f>
        <v>0</v>
      </c>
      <c r="F91" s="30">
        <f>SUMIF(Source_BS!$A:$A,"2536 Sales Tax Agency Payable",Source_BS!F:F)</f>
        <v>0</v>
      </c>
      <c r="G91" s="30">
        <f>SUMIF(Source_BS!$A:$A,"2536 Sales Tax Agency Payable",Source_BS!G:G)</f>
        <v>0</v>
      </c>
      <c r="H91" s="30">
        <f>SUMIF(Source_BS!$A:$A,"2536 Sales Tax Agency Payable",Source_BS!H:H)</f>
        <v>0</v>
      </c>
      <c r="I91" s="30">
        <f>SUMIF(Source_BS!$A:$A,"2536 Sales Tax Agency Payable",Source_BS!I:I)</f>
        <v>0</v>
      </c>
      <c r="J91" s="30">
        <f>SUMIF(Source_BS!$A:$A,"2536 Sales Tax Agency Payable",Source_BS!J:J)</f>
        <v>0</v>
      </c>
      <c r="K91" s="30">
        <f>SUMIF(Source_BS!$A:$A,"2536 Sales Tax Agency Payable",Source_BS!K:K)</f>
        <v>0</v>
      </c>
      <c r="L91" s="30">
        <f>SUMIF(Source_BS!$A:$A,"2536 Sales Tax Agency Payable",Source_BS!L:L)</f>
        <v>0</v>
      </c>
      <c r="M91" s="30">
        <f>SUMIF(Source_BS!$A:$A,"2536 Sales Tax Agency Payable",Source_BS!M:M)</f>
        <v>0</v>
      </c>
    </row>
    <row r="92" spans="1:13" x14ac:dyDescent="0.25">
      <c r="A92" s="20" t="s">
        <v>194</v>
      </c>
      <c r="B92" s="30">
        <f>SUMIF(Source_BS!$A:$A,"2560 Tennessee Department of Revenue Payable",Source_BS!B:B)</f>
        <v>0</v>
      </c>
      <c r="C92" s="30">
        <f>SUMIF(Source_BS!$A:$A,"2560 Tennessee Department of Revenue Payable",Source_BS!C:C)</f>
        <v>0</v>
      </c>
      <c r="D92" s="30">
        <f>SUMIF(Source_BS!$A:$A,"2560 Tennessee Department of Revenue Payable",Source_BS!D:D)</f>
        <v>0</v>
      </c>
      <c r="E92" s="30">
        <f>SUMIF(Source_BS!$A:$A,"2560 Tennessee Department of Revenue Payable",Source_BS!E:E)</f>
        <v>0</v>
      </c>
      <c r="F92" s="30">
        <f>SUMIF(Source_BS!$A:$A,"2560 Tennessee Department of Revenue Payable",Source_BS!F:F)</f>
        <v>0</v>
      </c>
      <c r="G92" s="30">
        <f>SUMIF(Source_BS!$A:$A,"2560 Tennessee Department of Revenue Payable",Source_BS!G:G)</f>
        <v>0</v>
      </c>
      <c r="H92" s="30">
        <f>SUMIF(Source_BS!$A:$A,"2560 Tennessee Department of Revenue Payable",Source_BS!H:H)</f>
        <v>0</v>
      </c>
      <c r="I92" s="30">
        <f>SUMIF(Source_BS!$A:$A,"2560 Tennessee Department of Revenue Payable",Source_BS!I:I)</f>
        <v>0</v>
      </c>
      <c r="J92" s="30">
        <f>SUMIF(Source_BS!$A:$A,"2560 Tennessee Department of Revenue Payable",Source_BS!J:J)</f>
        <v>0</v>
      </c>
      <c r="K92" s="30">
        <f>SUMIF(Source_BS!$A:$A,"2560 Tennessee Department of Revenue Payable",Source_BS!K:K)</f>
        <v>0</v>
      </c>
      <c r="L92" s="30">
        <f>SUMIF(Source_BS!$A:$A,"2560 Tennessee Department of Revenue Payable",Source_BS!L:L)</f>
        <v>0</v>
      </c>
      <c r="M92" s="30">
        <f>SUMIF(Source_BS!$A:$A,"2560 Tennessee Department of Revenue Payable",Source_BS!M:M)</f>
        <v>0</v>
      </c>
    </row>
    <row r="93" spans="1:13" x14ac:dyDescent="0.25">
      <c r="A93" s="20" t="s">
        <v>195</v>
      </c>
      <c r="B93" s="30">
        <f>SUMIF(Source_BS!$A:$A,"2570 Note-Byline Financial Group (201036) $2,203.24 120 Generator (deleted)",Source_BS!B:B)</f>
        <v>0</v>
      </c>
      <c r="C93" s="30">
        <f>SUMIF(Source_BS!$A:$A,"2570 Note-Byline Financial Group (201036) $2,203.24 120 Generator (deleted)",Source_BS!C:C)</f>
        <v>0</v>
      </c>
      <c r="D93" s="30">
        <f>SUMIF(Source_BS!$A:$A,"2570 Note-Byline Financial Group (201036) $2,203.24 120 Generator (deleted)",Source_BS!D:D)</f>
        <v>0</v>
      </c>
      <c r="E93" s="30">
        <f>SUMIF(Source_BS!$A:$A,"2570 Note-Byline Financial Group (201036) $2,203.24 120 Generator (deleted)",Source_BS!E:E)</f>
        <v>0</v>
      </c>
      <c r="F93" s="30">
        <f>SUMIF(Source_BS!$A:$A,"2570 Note-Byline Financial Group (201036) $2,203.24 120 Generator (deleted)",Source_BS!F:F)</f>
        <v>0</v>
      </c>
      <c r="G93" s="30">
        <f>SUMIF(Source_BS!$A:$A,"2570 Note-Byline Financial Group (201036) $2,203.24 120 Generator (deleted)",Source_BS!G:G)</f>
        <v>0</v>
      </c>
      <c r="H93" s="30">
        <f>SUMIF(Source_BS!$A:$A,"2570 Note-Byline Financial Group (201036) $2,203.24 120 Generator (deleted)",Source_BS!H:H)</f>
        <v>0</v>
      </c>
      <c r="I93" s="30">
        <f>SUMIF(Source_BS!$A:$A,"2570 Note-Byline Financial Group (201036) $2,203.24 120 Generator (deleted)",Source_BS!I:I)</f>
        <v>0</v>
      </c>
      <c r="J93" s="30">
        <f>SUMIF(Source_BS!$A:$A,"2570 Note-Byline Financial Group (201036) $2,203.24 120 Generator (deleted)",Source_BS!J:J)</f>
        <v>0</v>
      </c>
      <c r="K93" s="30">
        <f>SUMIF(Source_BS!$A:$A,"2570 Note-Byline Financial Group (201036) $2,203.24 120 Generator (deleted)",Source_BS!K:K)</f>
        <v>21682.400000000001</v>
      </c>
      <c r="L93" s="30">
        <f>SUMIF(Source_BS!$A:$A,"2570 Note-Byline Financial Group (201036) $2,203.24 120 Generator (deleted)",Source_BS!L:L)</f>
        <v>21682.400000000001</v>
      </c>
      <c r="M93" s="30">
        <f>SUMIF(Source_BS!$A:$A,"2570 Note-Byline Financial Group (201036) $2,203.24 120 Generator (deleted)",Source_BS!M:M)</f>
        <v>19479.160000000003</v>
      </c>
    </row>
    <row r="94" spans="1:13" x14ac:dyDescent="0.25">
      <c r="A94" s="20" t="s">
        <v>196</v>
      </c>
      <c r="B94" s="30">
        <f>SUMIF(Source_BS!$A:$A,"Direct Deposit Payable",Source_BS!B:B)</f>
        <v>0</v>
      </c>
      <c r="C94" s="30">
        <f>SUMIF(Source_BS!$A:$A,"Direct Deposit Payable",Source_BS!C:C)</f>
        <v>0</v>
      </c>
      <c r="D94" s="30">
        <f>SUMIF(Source_BS!$A:$A,"Direct Deposit Payable",Source_BS!D:D)</f>
        <v>0</v>
      </c>
      <c r="E94" s="30">
        <f>SUMIF(Source_BS!$A:$A,"Direct Deposit Payable",Source_BS!E:E)</f>
        <v>0</v>
      </c>
      <c r="F94" s="30">
        <f>SUMIF(Source_BS!$A:$A,"Direct Deposit Payable",Source_BS!F:F)</f>
        <v>0</v>
      </c>
      <c r="G94" s="30">
        <f>SUMIF(Source_BS!$A:$A,"Direct Deposit Payable",Source_BS!G:G)</f>
        <v>0</v>
      </c>
      <c r="H94" s="30">
        <f>SUMIF(Source_BS!$A:$A,"Direct Deposit Payable",Source_BS!H:H)</f>
        <v>0</v>
      </c>
      <c r="I94" s="30">
        <f>SUMIF(Source_BS!$A:$A,"Direct Deposit Payable",Source_BS!I:I)</f>
        <v>0</v>
      </c>
      <c r="J94" s="30">
        <f>SUMIF(Source_BS!$A:$A,"Direct Deposit Payable",Source_BS!J:J)</f>
        <v>0</v>
      </c>
      <c r="K94" s="30">
        <f>SUMIF(Source_BS!$A:$A,"Direct Deposit Payable",Source_BS!K:K)</f>
        <v>0</v>
      </c>
      <c r="L94" s="30">
        <f>SUMIF(Source_BS!$A:$A,"Direct Deposit Payable",Source_BS!L:L)</f>
        <v>0</v>
      </c>
      <c r="M94" s="30">
        <f>SUMIF(Source_BS!$A:$A,"Direct Deposit Payable",Source_BS!M:M)</f>
        <v>0</v>
      </c>
    </row>
    <row r="95" spans="1:13" x14ac:dyDescent="0.25">
      <c r="A95" s="23" t="s">
        <v>197</v>
      </c>
      <c r="B95" s="31">
        <f>SUMIF(Source_BS!$A:$A,"Total for Other Current Liabilities",Source_BS!B:B)</f>
        <v>281238.64</v>
      </c>
      <c r="C95" s="31">
        <f>SUMIF(Source_BS!$A:$A,"Total for Other Current Liabilities",Source_BS!C:C)</f>
        <v>436895.92000000004</v>
      </c>
      <c r="D95" s="31">
        <f>SUMIF(Source_BS!$A:$A,"Total for Other Current Liabilities",Source_BS!D:D)</f>
        <v>472969.44</v>
      </c>
      <c r="E95" s="31">
        <f>SUMIF(Source_BS!$A:$A,"Total for Other Current Liabilities",Source_BS!E:E)</f>
        <v>442353.70000000007</v>
      </c>
      <c r="F95" s="31">
        <f>SUMIF(Source_BS!$A:$A,"Total for Other Current Liabilities",Source_BS!F:F)</f>
        <v>405908.72000000003</v>
      </c>
      <c r="G95" s="31">
        <f>SUMIF(Source_BS!$A:$A,"Total for Other Current Liabilities",Source_BS!G:G)</f>
        <v>252998.52999999997</v>
      </c>
      <c r="H95" s="31">
        <f>SUMIF(Source_BS!$A:$A,"Total for Other Current Liabilities",Source_BS!H:H)</f>
        <v>291963.38</v>
      </c>
      <c r="I95" s="31">
        <f>SUMIF(Source_BS!$A:$A,"Total for Other Current Liabilities",Source_BS!I:I)</f>
        <v>378859.46</v>
      </c>
      <c r="J95" s="31">
        <f>SUMIF(Source_BS!$A:$A,"Total for Other Current Liabilities",Source_BS!J:J)</f>
        <v>421011.98</v>
      </c>
      <c r="K95" s="31">
        <f>SUMIF(Source_BS!$A:$A,"Total for Other Current Liabilities",Source_BS!K:K)</f>
        <v>420629.48000000004</v>
      </c>
      <c r="L95" s="31">
        <f>SUMIF(Source_BS!$A:$A,"Total for Other Current Liabilities",Source_BS!L:L)</f>
        <v>463191.25</v>
      </c>
      <c r="M95" s="31">
        <f>SUMIF(Source_BS!$A:$A,"Total for Other Current Liabilities",Source_BS!M:M)</f>
        <v>470090.07000000007</v>
      </c>
    </row>
    <row r="96" spans="1:13" x14ac:dyDescent="0.25">
      <c r="A96" s="23" t="s">
        <v>198</v>
      </c>
      <c r="B96" s="31">
        <f>SUMIF(Source_BS!$A:$A,"Total for Current Liabilities",Source_BS!B:B)</f>
        <v>374717.62</v>
      </c>
      <c r="C96" s="31">
        <f>SUMIF(Source_BS!$A:$A,"Total for Current Liabilities",Source_BS!C:C)</f>
        <v>508257.25000000006</v>
      </c>
      <c r="D96" s="31">
        <f>SUMIF(Source_BS!$A:$A,"Total for Current Liabilities",Source_BS!D:D)</f>
        <v>494445.94</v>
      </c>
      <c r="E96" s="31">
        <f>SUMIF(Source_BS!$A:$A,"Total for Current Liabilities",Source_BS!E:E)</f>
        <v>458523.15000000008</v>
      </c>
      <c r="F96" s="31">
        <f>SUMIF(Source_BS!$A:$A,"Total for Current Liabilities",Source_BS!F:F)</f>
        <v>432713.38</v>
      </c>
      <c r="G96" s="31">
        <f>SUMIF(Source_BS!$A:$A,"Total for Current Liabilities",Source_BS!G:G)</f>
        <v>294309.12</v>
      </c>
      <c r="H96" s="31">
        <f>SUMIF(Source_BS!$A:$A,"Total for Current Liabilities",Source_BS!H:H)</f>
        <v>359593.26</v>
      </c>
      <c r="I96" s="31">
        <f>SUMIF(Source_BS!$A:$A,"Total for Current Liabilities",Source_BS!I:I)</f>
        <v>419494.35000000003</v>
      </c>
      <c r="J96" s="31">
        <f>SUMIF(Source_BS!$A:$A,"Total for Current Liabilities",Source_BS!J:J)</f>
        <v>473835.00999999995</v>
      </c>
      <c r="K96" s="31">
        <f>SUMIF(Source_BS!$A:$A,"Total for Current Liabilities",Source_BS!K:K)</f>
        <v>482064.7</v>
      </c>
      <c r="L96" s="31">
        <f>SUMIF(Source_BS!$A:$A,"Total for Current Liabilities",Source_BS!L:L)</f>
        <v>489699.95</v>
      </c>
      <c r="M96" s="31">
        <f>SUMIF(Source_BS!$A:$A,"Total for Current Liabilities",Source_BS!M:M)</f>
        <v>528567.04000000004</v>
      </c>
    </row>
    <row r="97" spans="1:13" x14ac:dyDescent="0.25">
      <c r="A97" s="20" t="s">
        <v>199</v>
      </c>
      <c r="B97" s="30">
        <f>SUMIF(Source_BS!$A:$A,"Long-term Liabilities",Source_BS!B:B)</f>
        <v>0</v>
      </c>
      <c r="C97" s="30">
        <f>SUMIF(Source_BS!$A:$A,"Long-term Liabilities",Source_BS!C:C)</f>
        <v>0</v>
      </c>
      <c r="D97" s="30">
        <f>SUMIF(Source_BS!$A:$A,"Long-term Liabilities",Source_BS!D:D)</f>
        <v>0</v>
      </c>
      <c r="E97" s="30">
        <f>SUMIF(Source_BS!$A:$A,"Long-term Liabilities",Source_BS!E:E)</f>
        <v>0</v>
      </c>
      <c r="F97" s="30">
        <f>SUMIF(Source_BS!$A:$A,"Long-term Liabilities",Source_BS!F:F)</f>
        <v>0</v>
      </c>
      <c r="G97" s="30">
        <f>SUMIF(Source_BS!$A:$A,"Long-term Liabilities",Source_BS!G:G)</f>
        <v>0</v>
      </c>
      <c r="H97" s="30">
        <f>SUMIF(Source_BS!$A:$A,"Long-term Liabilities",Source_BS!H:H)</f>
        <v>0</v>
      </c>
      <c r="I97" s="30">
        <f>SUMIF(Source_BS!$A:$A,"Long-term Liabilities",Source_BS!I:I)</f>
        <v>0</v>
      </c>
      <c r="J97" s="30">
        <f>SUMIF(Source_BS!$A:$A,"Long-term Liabilities",Source_BS!J:J)</f>
        <v>0</v>
      </c>
      <c r="K97" s="30">
        <f>SUMIF(Source_BS!$A:$A,"Long-term Liabilities",Source_BS!K:K)</f>
        <v>0</v>
      </c>
      <c r="L97" s="30">
        <f>SUMIF(Source_BS!$A:$A,"Long-term Liabilities",Source_BS!L:L)</f>
        <v>0</v>
      </c>
      <c r="M97" s="30">
        <f>SUMIF(Source_BS!$A:$A,"Long-term Liabilities",Source_BS!M:M)</f>
        <v>0</v>
      </c>
    </row>
    <row r="98" spans="1:13" x14ac:dyDescent="0.25">
      <c r="A98" s="20" t="s">
        <v>200</v>
      </c>
      <c r="B98" s="30">
        <f>SUMIF(Source_BS!$A:$A,"2600 Loans from Shareholders",Source_BS!B:B)</f>
        <v>89499.839999999997</v>
      </c>
      <c r="C98" s="30">
        <f>SUMIF(Source_BS!$A:$A,"2600 Loans from Shareholders",Source_BS!C:C)</f>
        <v>89499.839999999997</v>
      </c>
      <c r="D98" s="30">
        <f>SUMIF(Source_BS!$A:$A,"2600 Loans from Shareholders",Source_BS!D:D)</f>
        <v>89499.839999999997</v>
      </c>
      <c r="E98" s="30">
        <f>SUMIF(Source_BS!$A:$A,"2600 Loans from Shareholders",Source_BS!E:E)</f>
        <v>89499.839999999997</v>
      </c>
      <c r="F98" s="30">
        <f>SUMIF(Source_BS!$A:$A,"2600 Loans from Shareholders",Source_BS!F:F)</f>
        <v>89499.839999999997</v>
      </c>
      <c r="G98" s="30">
        <f>SUMIF(Source_BS!$A:$A,"2600 Loans from Shareholders",Source_BS!G:G)</f>
        <v>89499.839999999997</v>
      </c>
      <c r="H98" s="30">
        <f>SUMIF(Source_BS!$A:$A,"2600 Loans from Shareholders",Source_BS!H:H)</f>
        <v>89499.839999999997</v>
      </c>
      <c r="I98" s="30">
        <f>SUMIF(Source_BS!$A:$A,"2600 Loans from Shareholders",Source_BS!I:I)</f>
        <v>89499.839999999997</v>
      </c>
      <c r="J98" s="30">
        <f>SUMIF(Source_BS!$A:$A,"2600 Loans from Shareholders",Source_BS!J:J)</f>
        <v>89499.839999999997</v>
      </c>
      <c r="K98" s="30">
        <f>SUMIF(Source_BS!$A:$A,"2600 Loans from Shareholders",Source_BS!K:K)</f>
        <v>89499.839999999997</v>
      </c>
      <c r="L98" s="30">
        <f>SUMIF(Source_BS!$A:$A,"2600 Loans from Shareholders",Source_BS!L:L)</f>
        <v>89499.839999999997</v>
      </c>
      <c r="M98" s="30">
        <f>SUMIF(Source_BS!$A:$A,"2600 Loans from Shareholders",Source_BS!M:M)</f>
        <v>0</v>
      </c>
    </row>
    <row r="99" spans="1:13" x14ac:dyDescent="0.25">
      <c r="A99" s="20" t="s">
        <v>201</v>
      </c>
      <c r="B99" s="30">
        <f>SUMIF(Source_BS!$A:$A,"2910 Note - Kubota Tractor $388.44",Source_BS!B:B)</f>
        <v>12818.619999999999</v>
      </c>
      <c r="C99" s="30">
        <f>SUMIF(Source_BS!$A:$A,"2910 Note - Kubota Tractor $388.44",Source_BS!C:C)</f>
        <v>12430.179999999998</v>
      </c>
      <c r="D99" s="30">
        <f>SUMIF(Source_BS!$A:$A,"2910 Note - Kubota Tractor $388.44",Source_BS!D:D)</f>
        <v>12041.739999999998</v>
      </c>
      <c r="E99" s="30">
        <f>SUMIF(Source_BS!$A:$A,"2910 Note - Kubota Tractor $388.44",Source_BS!E:E)</f>
        <v>11653.299999999997</v>
      </c>
      <c r="F99" s="30">
        <f>SUMIF(Source_BS!$A:$A,"2910 Note - Kubota Tractor $388.44",Source_BS!F:F)</f>
        <v>11264.859999999997</v>
      </c>
      <c r="G99" s="30">
        <f>SUMIF(Source_BS!$A:$A,"2910 Note - Kubota Tractor $388.44",Source_BS!G:G)</f>
        <v>10876.419999999996</v>
      </c>
      <c r="H99" s="30">
        <f>SUMIF(Source_BS!$A:$A,"2910 Note - Kubota Tractor $388.44",Source_BS!H:H)</f>
        <v>10487.979999999996</v>
      </c>
      <c r="I99" s="30">
        <f>SUMIF(Source_BS!$A:$A,"2910 Note - Kubota Tractor $388.44",Source_BS!I:I)</f>
        <v>10099.539999999995</v>
      </c>
      <c r="J99" s="30">
        <f>SUMIF(Source_BS!$A:$A,"2910 Note - Kubota Tractor $388.44",Source_BS!J:J)</f>
        <v>9711.0999999999949</v>
      </c>
      <c r="K99" s="30">
        <f>SUMIF(Source_BS!$A:$A,"2910 Note - Kubota Tractor $388.44",Source_BS!K:K)</f>
        <v>9322.6599999999944</v>
      </c>
      <c r="L99" s="30">
        <f>SUMIF(Source_BS!$A:$A,"2910 Note - Kubota Tractor $388.44",Source_BS!L:L)</f>
        <v>8934.2199999999939</v>
      </c>
      <c r="M99" s="30">
        <f>SUMIF(Source_BS!$A:$A,"2910 Note - Kubota Tractor $388.44",Source_BS!M:M)</f>
        <v>8545.7799999999934</v>
      </c>
    </row>
    <row r="100" spans="1:13" x14ac:dyDescent="0.25">
      <c r="A100" s="20" t="s">
        <v>202</v>
      </c>
      <c r="B100" s="30">
        <f>SUMIF(Source_BS!$A:$A,"2921 Note - UCB (0000) $673.75 Truck 13 (deleted)",Source_BS!B:B)</f>
        <v>8493.44</v>
      </c>
      <c r="C100" s="30">
        <f>SUMIF(Source_BS!$A:$A,"2921 Note - UCB (0000) $673.75 Truck 13 (deleted)",Source_BS!C:C)</f>
        <v>7858.0800000000008</v>
      </c>
      <c r="D100" s="30">
        <f>SUMIF(Source_BS!$A:$A,"2921 Note - UCB (0000) $673.75 Truck 13 (deleted)",Source_BS!D:D)</f>
        <v>7217.5600000000013</v>
      </c>
      <c r="E100" s="30">
        <f>SUMIF(Source_BS!$A:$A,"2921 Note - UCB (0000) $673.75 Truck 13 (deleted)",Source_BS!E:E)</f>
        <v>6576.4300000000012</v>
      </c>
      <c r="F100" s="30">
        <f>SUMIF(Source_BS!$A:$A,"2921 Note - UCB (0000) $673.75 Truck 13 (deleted)",Source_BS!F:F)</f>
        <v>5931.4500000000007</v>
      </c>
      <c r="G100" s="30">
        <f>SUMIF(Source_BS!$A:$A,"2921 Note - UCB (0000) $673.75 Truck 13 (deleted)",Source_BS!G:G)</f>
        <v>5284.51</v>
      </c>
      <c r="H100" s="30">
        <f>SUMIF(Source_BS!$A:$A,"2921 Note - UCB (0000) $673.75 Truck 13 (deleted)",Source_BS!H:H)</f>
        <v>4634.0600000000004</v>
      </c>
      <c r="I100" s="30">
        <f>SUMIF(Source_BS!$A:$A,"2921 Note - UCB (0000) $673.75 Truck 13 (deleted)",Source_BS!I:I)</f>
        <v>3981.2500000000005</v>
      </c>
      <c r="J100" s="30">
        <f>SUMIF(Source_BS!$A:$A,"2921 Note - UCB (0000) $673.75 Truck 13 (deleted)",Source_BS!J:J)</f>
        <v>3325.4900000000007</v>
      </c>
      <c r="K100" s="30">
        <f>SUMIF(Source_BS!$A:$A,"2921 Note - UCB (0000) $673.75 Truck 13 (deleted)",Source_BS!K:K)</f>
        <v>2666.4700000000007</v>
      </c>
      <c r="L100" s="30">
        <f>SUMIF(Source_BS!$A:$A,"2921 Note - UCB (0000) $673.75 Truck 13 (deleted)",Source_BS!L:L)</f>
        <v>2004.7700000000007</v>
      </c>
      <c r="M100" s="30">
        <f>SUMIF(Source_BS!$A:$A,"2921 Note - UCB (0000) $673.75 Truck 13 (deleted)",Source_BS!M:M)</f>
        <v>1339.7900000000006</v>
      </c>
    </row>
    <row r="101" spans="1:13" x14ac:dyDescent="0.25">
      <c r="A101" s="20" t="s">
        <v>203</v>
      </c>
      <c r="B101" s="30">
        <f>SUMIF(Source_BS!$A:$A,"2922 Note - UCB (0200) $939.25 Truck 14 (deleted)",Source_BS!B:B)</f>
        <v>21535.530000000002</v>
      </c>
      <c r="C101" s="30">
        <f>SUMIF(Source_BS!$A:$A,"2922 Note - UCB (0200) $939.25 Truck 14 (deleted)",Source_BS!C:C)</f>
        <v>20677.150000000001</v>
      </c>
      <c r="D101" s="30">
        <f>SUMIF(Source_BS!$A:$A,"2922 Note - UCB (0200) $939.25 Truck 14 (deleted)",Source_BS!D:D)</f>
        <v>19810.45</v>
      </c>
      <c r="E101" s="30">
        <f>SUMIF(Source_BS!$A:$A,"2922 Note - UCB (0200) $939.25 Truck 14 (deleted)",Source_BS!E:E)</f>
        <v>18945.510000000002</v>
      </c>
      <c r="F101" s="30">
        <f>SUMIF(Source_BS!$A:$A,"2922 Note - UCB (0200) $939.25 Truck 14 (deleted)",Source_BS!F:F)</f>
        <v>18075.140000000003</v>
      </c>
      <c r="G101" s="30">
        <f>SUMIF(Source_BS!$A:$A,"2922 Note - UCB (0200) $939.25 Truck 14 (deleted)",Source_BS!G:G)</f>
        <v>17203.700000000004</v>
      </c>
      <c r="H101" s="30">
        <f>SUMIF(Source_BS!$A:$A,"2922 Note - UCB (0200) $939.25 Truck 14 (deleted)",Source_BS!H:H)</f>
        <v>16326.910000000003</v>
      </c>
      <c r="I101" s="30">
        <f>SUMIF(Source_BS!$A:$A,"2922 Note - UCB (0200) $939.25 Truck 14 (deleted)",Source_BS!I:I)</f>
        <v>15449.030000000004</v>
      </c>
      <c r="J101" s="30">
        <f>SUMIF(Source_BS!$A:$A,"2922 Note - UCB (0200) $939.25 Truck 14 (deleted)",Source_BS!J:J)</f>
        <v>14567.750000000004</v>
      </c>
      <c r="K101" s="30">
        <f>SUMIF(Source_BS!$A:$A,"2922 Note - UCB (0200) $939.25 Truck 14 (deleted)",Source_BS!K:K)</f>
        <v>13681.620000000004</v>
      </c>
      <c r="L101" s="30">
        <f>SUMIF(Source_BS!$A:$A,"2922 Note - UCB (0200) $939.25 Truck 14 (deleted)",Source_BS!L:L)</f>
        <v>12793.720000000005</v>
      </c>
      <c r="M101" s="30">
        <f>SUMIF(Source_BS!$A:$A,"2922 Note - UCB (0200) $939.25 Truck 14 (deleted)",Source_BS!M:M)</f>
        <v>11900.950000000004</v>
      </c>
    </row>
    <row r="102" spans="1:13" x14ac:dyDescent="0.25">
      <c r="A102" s="20" t="s">
        <v>204</v>
      </c>
      <c r="B102" s="30">
        <f>SUMIF(Source_BS!$A:$A,"2923 Note - UCB (1700) $795.19 Truck 15 (deleted)",Source_BS!B:B)</f>
        <v>14568.76</v>
      </c>
      <c r="C102" s="30">
        <f>SUMIF(Source_BS!$A:$A,"2923 Note - UCB (1700) $795.19 Truck 15 (deleted)",Source_BS!C:C)</f>
        <v>13828.14</v>
      </c>
      <c r="D102" s="30">
        <f>SUMIF(Source_BS!$A:$A,"2923 Note - UCB (1700) $795.19 Truck 15 (deleted)",Source_BS!D:D)</f>
        <v>13081.58</v>
      </c>
      <c r="E102" s="30">
        <f>SUMIF(Source_BS!$A:$A,"2923 Note - UCB (1700) $795.19 Truck 15 (deleted)",Source_BS!E:E)</f>
        <v>12335.39</v>
      </c>
      <c r="F102" s="30">
        <f>SUMIF(Source_BS!$A:$A,"2923 Note - UCB (1700) $795.19 Truck 15 (deleted)",Source_BS!F:F)</f>
        <v>11584.91</v>
      </c>
      <c r="G102" s="30">
        <f>SUMIF(Source_BS!$A:$A,"2923 Note - UCB (1700) $795.19 Truck 15 (deleted)",Source_BS!G:G)</f>
        <v>10833.289999999999</v>
      </c>
      <c r="H102" s="30">
        <f>SUMIF(Source_BS!$A:$A,"2923 Note - UCB (1700) $795.19 Truck 15 (deleted)",Source_BS!H:H)</f>
        <v>10077.369999999999</v>
      </c>
      <c r="I102" s="30">
        <f>SUMIF(Source_BS!$A:$A,"2923 Note - UCB (1700) $795.19 Truck 15 (deleted)",Source_BS!I:I)</f>
        <v>9319.9199999999983</v>
      </c>
      <c r="J102" s="30">
        <f>SUMIF(Source_BS!$A:$A,"2923 Note - UCB (1700) $795.19 Truck 15 (deleted)",Source_BS!J:J)</f>
        <v>8559.7299999999977</v>
      </c>
      <c r="K102" s="30">
        <f>SUMIF(Source_BS!$A:$A,"2923 Note - UCB (1700) $795.19 Truck 15 (deleted)",Source_BS!K:K)</f>
        <v>7795.5599999999977</v>
      </c>
      <c r="L102" s="30">
        <f>SUMIF(Source_BS!$A:$A,"2923 Note - UCB (1700) $795.19 Truck 15 (deleted)",Source_BS!L:L)</f>
        <v>7029.5699999999979</v>
      </c>
      <c r="M102" s="30">
        <f>SUMIF(Source_BS!$A:$A,"2923 Note - UCB (1700) $795.19 Truck 15 (deleted)",Source_BS!M:M)</f>
        <v>6259.8599999999979</v>
      </c>
    </row>
    <row r="103" spans="1:13" x14ac:dyDescent="0.25">
      <c r="A103" s="20" t="s">
        <v>205</v>
      </c>
      <c r="B103" s="30">
        <f>SUMIF(Source_BS!$A:$A,"2924 Note - UCB (1900) $1373.19 Truck 17",Source_BS!B:B)</f>
        <v>38989.82</v>
      </c>
      <c r="C103" s="30">
        <f>SUMIF(Source_BS!$A:$A,"2924 Note - UCB (1900) $1373.19 Truck 17",Source_BS!C:C)</f>
        <v>37759.760000000002</v>
      </c>
      <c r="D103" s="30">
        <f>SUMIF(Source_BS!$A:$A,"2924 Note - UCB (1900) $1373.19 Truck 17",Source_BS!D:D)</f>
        <v>36515.840000000004</v>
      </c>
      <c r="E103" s="30">
        <f>SUMIF(Source_BS!$A:$A,"2924 Note - UCB (1900) $1373.19 Truck 17",Source_BS!E:E)</f>
        <v>35276.280000000006</v>
      </c>
      <c r="F103" s="30">
        <f>SUMIF(Source_BS!$A:$A,"2924 Note - UCB (1900) $1373.19 Truck 17",Source_BS!F:F)</f>
        <v>34028.310000000005</v>
      </c>
      <c r="G103" s="30">
        <f>SUMIF(Source_BS!$A:$A,"2924 Note - UCB (1900) $1373.19 Truck 17",Source_BS!G:G)</f>
        <v>32779.65</v>
      </c>
      <c r="H103" s="30">
        <f>SUMIF(Source_BS!$A:$A,"2924 Note - UCB (1900) $1373.19 Truck 17",Source_BS!H:H)</f>
        <v>31522.550000000003</v>
      </c>
      <c r="I103" s="30">
        <f>SUMIF(Source_BS!$A:$A,"2924 Note - UCB (1900) $1373.19 Truck 17",Source_BS!I:I)</f>
        <v>30265.020000000004</v>
      </c>
      <c r="J103" s="30">
        <f>SUMIF(Source_BS!$A:$A,"2924 Note - UCB (1900) $1373.19 Truck 17",Source_BS!J:J)</f>
        <v>29002.590000000004</v>
      </c>
      <c r="K103" s="30">
        <f>SUMIF(Source_BS!$A:$A,"2924 Note - UCB (1900) $1373.19 Truck 17",Source_BS!K:K)</f>
        <v>27732.110000000004</v>
      </c>
      <c r="L103" s="30">
        <f>SUMIF(Source_BS!$A:$A,"2924 Note - UCB (1900) $1373.19 Truck 17",Source_BS!L:L)</f>
        <v>26460.710000000003</v>
      </c>
      <c r="M103" s="30">
        <f>SUMIF(Source_BS!$A:$A,"2924 Note - UCB (1900) $1373.19 Truck 17",Source_BS!M:M)</f>
        <v>25181.230000000003</v>
      </c>
    </row>
    <row r="104" spans="1:13" x14ac:dyDescent="0.25">
      <c r="A104" s="20" t="s">
        <v>206</v>
      </c>
      <c r="B104" s="30">
        <f>SUMIF(Source_BS!$A:$A,"2925 Note - UCB (2100) $1206.15 Truck 19",Source_BS!B:B)</f>
        <v>51054.200000000004</v>
      </c>
      <c r="C104" s="30">
        <f>SUMIF(Source_BS!$A:$A,"2925 Note - UCB (2100) $1206.15 Truck 19",Source_BS!C:C)</f>
        <v>50028.860000000008</v>
      </c>
      <c r="D104" s="30">
        <f>SUMIF(Source_BS!$A:$A,"2925 Note - UCB (2100) $1206.15 Truck 19",Source_BS!D:D)</f>
        <v>48999.890000000007</v>
      </c>
      <c r="E104" s="30">
        <f>SUMIF(Source_BS!$A:$A,"2925 Note - UCB (2100) $1206.15 Truck 19",Source_BS!E:E)</f>
        <v>47973.30000000001</v>
      </c>
      <c r="F104" s="30">
        <f>SUMIF(Source_BS!$A:$A,"2925 Note - UCB (2100) $1206.15 Truck 19",Source_BS!F:F)</f>
        <v>46937.05000000001</v>
      </c>
      <c r="G104" s="30">
        <f>SUMIF(Source_BS!$A:$A,"2925 Note - UCB (2100) $1206.15 Truck 19",Source_BS!G:G)</f>
        <v>46937.05000000001</v>
      </c>
      <c r="H104" s="30">
        <f>SUMIF(Source_BS!$A:$A,"2925 Note - UCB (2100) $1206.15 Truck 19",Source_BS!H:H)</f>
        <v>44859.210000000006</v>
      </c>
      <c r="I104" s="30">
        <f>SUMIF(Source_BS!$A:$A,"2925 Note - UCB (2100) $1206.15 Truck 19",Source_BS!I:I)</f>
        <v>43817.23</v>
      </c>
      <c r="J104" s="30">
        <f>SUMIF(Source_BS!$A:$A,"2925 Note - UCB (2100) $1206.15 Truck 19",Source_BS!J:J)</f>
        <v>42771.43</v>
      </c>
      <c r="K104" s="30">
        <f>SUMIF(Source_BS!$A:$A,"2925 Note - UCB (2100) $1206.15 Truck 19",Source_BS!K:K)</f>
        <v>41716.76</v>
      </c>
      <c r="L104" s="30">
        <f>SUMIF(Source_BS!$A:$A,"2925 Note - UCB (2100) $1206.15 Truck 19",Source_BS!L:L)</f>
        <v>41716.76</v>
      </c>
      <c r="M104" s="30">
        <f>SUMIF(Source_BS!$A:$A,"2925 Note - UCB (2100) $1206.15 Truck 19",Source_BS!M:M)</f>
        <v>39601.39</v>
      </c>
    </row>
    <row r="105" spans="1:13" x14ac:dyDescent="0.25">
      <c r="A105" s="20" t="s">
        <v>207</v>
      </c>
      <c r="B105" s="30">
        <f>SUMIF(Source_BS!$A:$A,"2926 Note - UCB (6800) $1580.19 Truck 20",Source_BS!B:B)</f>
        <v>60914.22</v>
      </c>
      <c r="C105" s="30">
        <f>SUMIF(Source_BS!$A:$A,"2926 Note - UCB (6800) $1580.19 Truck 20",Source_BS!C:C)</f>
        <v>59648.75</v>
      </c>
      <c r="D105" s="30">
        <f>SUMIF(Source_BS!$A:$A,"2926 Note - UCB (6800) $1580.19 Truck 20",Source_BS!D:D)</f>
        <v>58357.49</v>
      </c>
      <c r="E105" s="30">
        <f>SUMIF(Source_BS!$A:$A,"2926 Note - UCB (6800) $1580.19 Truck 20",Source_BS!E:E)</f>
        <v>57079.02</v>
      </c>
      <c r="F105" s="30">
        <f>SUMIF(Source_BS!$A:$A,"2926 Note - UCB (6800) $1580.19 Truck 20",Source_BS!F:F)</f>
        <v>55784.219999999994</v>
      </c>
      <c r="G105" s="30">
        <f>SUMIF(Source_BS!$A:$A,"2926 Note - UCB (6800) $1580.19 Truck 20",Source_BS!G:G)</f>
        <v>54492.239999999991</v>
      </c>
      <c r="H105" s="30">
        <f>SUMIF(Source_BS!$A:$A,"2926 Note - UCB (6800) $1580.19 Truck 20",Source_BS!H:H)</f>
        <v>53184.509999999987</v>
      </c>
      <c r="I105" s="30">
        <f>SUMIF(Source_BS!$A:$A,"2926 Note - UCB (6800) $1580.19 Truck 20",Source_BS!I:I)</f>
        <v>51879.099999999984</v>
      </c>
      <c r="J105" s="30">
        <f>SUMIF(Source_BS!$A:$A,"2926 Note - UCB (6800) $1580.19 Truck 20",Source_BS!J:J)</f>
        <v>50567.379999999983</v>
      </c>
      <c r="K105" s="30">
        <f>SUMIF(Source_BS!$A:$A,"2926 Note - UCB (6800) $1580.19 Truck 20",Source_BS!K:K)</f>
        <v>49240.019999999982</v>
      </c>
      <c r="L105" s="30">
        <f>SUMIF(Source_BS!$A:$A,"2926 Note - UCB (6800) $1580.19 Truck 20",Source_BS!L:L)</f>
        <v>47914.229999999981</v>
      </c>
      <c r="M105" s="30">
        <f>SUMIF(Source_BS!$A:$A,"2926 Note - UCB (6800) $1580.19 Truck 20",Source_BS!M:M)</f>
        <v>46573.82999999998</v>
      </c>
    </row>
    <row r="106" spans="1:13" x14ac:dyDescent="0.25">
      <c r="A106" s="20" t="s">
        <v>208</v>
      </c>
      <c r="B106" s="30">
        <f>SUMIF(Source_BS!$A:$A,"2927 Note - UCB (1000) $1783.08 Truck 21",Source_BS!B:B)</f>
        <v>59395.719999999994</v>
      </c>
      <c r="C106" s="30">
        <f>SUMIF(Source_BS!$A:$A,"2927 Note - UCB (1000) $1783.08 Truck 21",Source_BS!C:C)</f>
        <v>57920.249999999993</v>
      </c>
      <c r="D106" s="30">
        <f>SUMIF(Source_BS!$A:$A,"2927 Note - UCB (1000) $1783.08 Truck 21",Source_BS!D:D)</f>
        <v>56417.109999999993</v>
      </c>
      <c r="E106" s="30">
        <f>SUMIF(Source_BS!$A:$A,"2927 Note - UCB (1000) $1783.08 Truck 21",Source_BS!E:E)</f>
        <v>54925.509999999995</v>
      </c>
      <c r="F106" s="30">
        <f>SUMIF(Source_BS!$A:$A,"2927 Note - UCB (1000) $1783.08 Truck 21",Source_BS!F:F)</f>
        <v>53417.549999999996</v>
      </c>
      <c r="G106" s="30">
        <f>SUMIF(Source_BS!$A:$A,"2927 Note - UCB (1000) $1783.08 Truck 21",Source_BS!G:G)</f>
        <v>51910.46</v>
      </c>
      <c r="H106" s="30">
        <f>SUMIF(Source_BS!$A:$A,"2927 Note - UCB (1000) $1783.08 Truck 21",Source_BS!H:H)</f>
        <v>50386.93</v>
      </c>
      <c r="I106" s="30">
        <f>SUMIF(Source_BS!$A:$A,"2927 Note - UCB (1000) $1783.08 Truck 21",Source_BS!I:I)</f>
        <v>48864.68</v>
      </c>
      <c r="J106" s="30">
        <f>SUMIF(Source_BS!$A:$A,"2927 Note - UCB (1000) $1783.08 Truck 21",Source_BS!J:J)</f>
        <v>47334.06</v>
      </c>
      <c r="K106" s="30">
        <f>SUMIF(Source_BS!$A:$A,"2927 Note - UCB (1000) $1783.08 Truck 21",Source_BS!K:K)</f>
        <v>45787.649999999994</v>
      </c>
      <c r="L106" s="30">
        <f>SUMIF(Source_BS!$A:$A,"2927 Note - UCB (1000) $1783.08 Truck 21",Source_BS!L:L)</f>
        <v>44241.639999999992</v>
      </c>
      <c r="M106" s="30">
        <f>SUMIF(Source_BS!$A:$A,"2927 Note - UCB (1000) $1783.08 Truck 21",Source_BS!M:M)</f>
        <v>42679.759999999995</v>
      </c>
    </row>
    <row r="107" spans="1:13" x14ac:dyDescent="0.25">
      <c r="A107" s="20" t="s">
        <v>209</v>
      </c>
      <c r="B107" s="30">
        <f>SUMIF(Source_BS!$A:$A,"2928 Note - UCB (1772) $1296.19 Truck 22",Source_BS!B:B)</f>
        <v>62990</v>
      </c>
      <c r="C107" s="30">
        <f>SUMIF(Source_BS!$A:$A,"2928 Note - UCB (1772) $1296.19 Truck 22",Source_BS!C:C)</f>
        <v>62764.09</v>
      </c>
      <c r="D107" s="30">
        <f>SUMIF(Source_BS!$A:$A,"2928 Note - UCB (1772) $1296.19 Truck 22",Source_BS!D:D)</f>
        <v>60447.46</v>
      </c>
      <c r="E107" s="30">
        <f>SUMIF(Source_BS!$A:$A,"2928 Note - UCB (1772) $1296.19 Truck 22",Source_BS!E:E)</f>
        <v>59593.71</v>
      </c>
      <c r="F107" s="30">
        <f>SUMIF(Source_BS!$A:$A,"2928 Note - UCB (1772) $1296.19 Truck 22",Source_BS!F:F)</f>
        <v>58747.78</v>
      </c>
      <c r="G107" s="30">
        <f>SUMIF(Source_BS!$A:$A,"2928 Note - UCB (1772) $1296.19 Truck 22",Source_BS!G:G)</f>
        <v>57853.84</v>
      </c>
      <c r="H107" s="30">
        <f>SUMIF(Source_BS!$A:$A,"2928 Note - UCB (1772) $1296.19 Truck 22",Source_BS!H:H)</f>
        <v>56967.439999999995</v>
      </c>
      <c r="I107" s="30">
        <f>SUMIF(Source_BS!$A:$A,"2928 Note - UCB (1772) $1296.19 Truck 22",Source_BS!I:I)</f>
        <v>56088.219999999994</v>
      </c>
      <c r="J107" s="30">
        <f>SUMIF(Source_BS!$A:$A,"2928 Note - UCB (1772) $1296.19 Truck 22",Source_BS!J:J)</f>
        <v>55202.55999999999</v>
      </c>
      <c r="K107" s="30">
        <f>SUMIF(Source_BS!$A:$A,"2928 Note - UCB (1772) $1296.19 Truck 22",Source_BS!K:K)</f>
        <v>54323.44999999999</v>
      </c>
      <c r="L107" s="30">
        <f>SUMIF(Source_BS!$A:$A,"2928 Note - UCB (1772) $1296.19 Truck 22",Source_BS!L:L)</f>
        <v>53399.219999999987</v>
      </c>
      <c r="M107" s="30">
        <f>SUMIF(Source_BS!$A:$A,"2928 Note - UCB (1772) $1296.19 Truck 22",Source_BS!M:M)</f>
        <v>52481.26999999999</v>
      </c>
    </row>
    <row r="108" spans="1:13" x14ac:dyDescent="0.25">
      <c r="A108" s="20" t="s">
        <v>210</v>
      </c>
      <c r="B108" s="30">
        <f>SUMIF(Source_BS!$A:$A,"2929 Note - Chase (5918) $721.37 Truck 23",Source_BS!B:B)</f>
        <v>0</v>
      </c>
      <c r="C108" s="30">
        <f>SUMIF(Source_BS!$A:$A,"2929 Note - Chase (5918) $721.37 Truck 23",Source_BS!C:C)</f>
        <v>0</v>
      </c>
      <c r="D108" s="30">
        <f>SUMIF(Source_BS!$A:$A,"2929 Note - Chase (5918) $721.37 Truck 23",Source_BS!D:D)</f>
        <v>0</v>
      </c>
      <c r="E108" s="30">
        <f>SUMIF(Source_BS!$A:$A,"2929 Note - Chase (5918) $721.37 Truck 23",Source_BS!E:E)</f>
        <v>0</v>
      </c>
      <c r="F108" s="30">
        <f>SUMIF(Source_BS!$A:$A,"2929 Note - Chase (5918) $721.37 Truck 23",Source_BS!F:F)</f>
        <v>50385</v>
      </c>
      <c r="G108" s="30">
        <f>SUMIF(Source_BS!$A:$A,"2929 Note - Chase (5918) $721.37 Truck 23",Source_BS!G:G)</f>
        <v>50385</v>
      </c>
      <c r="H108" s="30">
        <f>SUMIF(Source_BS!$A:$A,"2929 Note - Chase (5918) $721.37 Truck 23",Source_BS!H:H)</f>
        <v>49036.29</v>
      </c>
      <c r="I108" s="30">
        <f>SUMIF(Source_BS!$A:$A,"2929 Note - Chase (5918) $721.37 Truck 23",Source_BS!I:I)</f>
        <v>49036.29</v>
      </c>
      <c r="J108" s="30">
        <f>SUMIF(Source_BS!$A:$A,"2929 Note - Chase (5918) $721.37 Truck 23",Source_BS!J:J)</f>
        <v>47557.48</v>
      </c>
      <c r="K108" s="30">
        <f>SUMIF(Source_BS!$A:$A,"2929 Note - Chase (5918) $721.37 Truck 23",Source_BS!K:K)</f>
        <v>46836.11</v>
      </c>
      <c r="L108" s="30">
        <f>SUMIF(Source_BS!$A:$A,"2929 Note - Chase (5918) $721.37 Truck 23",Source_BS!L:L)</f>
        <v>46315.25</v>
      </c>
      <c r="M108" s="30">
        <f>SUMIF(Source_BS!$A:$A,"2929 Note - Chase (5918) $721.37 Truck 23",Source_BS!M:M)</f>
        <v>45593.88</v>
      </c>
    </row>
    <row r="109" spans="1:13" x14ac:dyDescent="0.25">
      <c r="A109" s="20" t="s">
        <v>211</v>
      </c>
      <c r="B109" s="30">
        <f>SUMIF(Source_BS!$A:$A,"2931 Note - Bank Ind 1016.34 TRUCK 26",Source_BS!B:B)</f>
        <v>40359.18</v>
      </c>
      <c r="C109" s="30">
        <f>SUMIF(Source_BS!$A:$A,"2931 Note - Bank Ind 1016.34 TRUCK 26",Source_BS!C:C)</f>
        <v>40359.18</v>
      </c>
      <c r="D109" s="30">
        <f>SUMIF(Source_BS!$A:$A,"2931 Note - Bank Ind 1016.34 TRUCK 26",Source_BS!D:D)</f>
        <v>38962.120000000003</v>
      </c>
      <c r="E109" s="30">
        <f>SUMIF(Source_BS!$A:$A,"2931 Note - Bank Ind 1016.34 TRUCK 26",Source_BS!E:E)</f>
        <v>38264.18</v>
      </c>
      <c r="F109" s="30">
        <f>SUMIF(Source_BS!$A:$A,"2931 Note - Bank Ind 1016.34 TRUCK 26",Source_BS!F:F)</f>
        <v>37247.840000000004</v>
      </c>
      <c r="G109" s="30">
        <f>SUMIF(Source_BS!$A:$A,"2931 Note - Bank Ind 1016.34 TRUCK 26",Source_BS!G:G)</f>
        <v>36534.100000000006</v>
      </c>
      <c r="H109" s="30">
        <f>SUMIF(Source_BS!$A:$A,"2931 Note - Bank Ind 1016.34 TRUCK 26",Source_BS!H:H)</f>
        <v>36115.410000000003</v>
      </c>
      <c r="I109" s="30">
        <f>SUMIF(Source_BS!$A:$A,"2931 Note - Bank Ind 1016.34 TRUCK 26",Source_BS!I:I)</f>
        <v>35099.070000000007</v>
      </c>
      <c r="J109" s="30">
        <f>SUMIF(Source_BS!$A:$A,"2931 Note - Bank Ind 1016.34 TRUCK 26",Source_BS!J:J)</f>
        <v>34377.670000000006</v>
      </c>
      <c r="K109" s="30">
        <f>SUMIF(Source_BS!$A:$A,"2931 Note - Bank Ind 1016.34 TRUCK 26",Source_BS!K:K)</f>
        <v>33650.570000000007</v>
      </c>
      <c r="L109" s="30">
        <f>SUMIF(Source_BS!$A:$A,"2931 Note - Bank Ind 1016.34 TRUCK 26",Source_BS!L:L)</f>
        <v>33185.420000000006</v>
      </c>
      <c r="M109" s="30">
        <f>SUMIF(Source_BS!$A:$A,"2931 Note - Bank Ind 1016.34 TRUCK 26",Source_BS!M:M)</f>
        <v>32431.520000000004</v>
      </c>
    </row>
    <row r="110" spans="1:13" x14ac:dyDescent="0.25">
      <c r="A110" s="20" t="s">
        <v>212</v>
      </c>
      <c r="B110" s="30">
        <f>SUMIF(Source_BS!$A:$A,"2932 Note - Santander (4970) $2140.42 Truck 27",Source_BS!B:B)</f>
        <v>0</v>
      </c>
      <c r="C110" s="30">
        <f>SUMIF(Source_BS!$A:$A,"2932 Note - Santander (4970) $2140.42 Truck 27",Source_BS!C:C)</f>
        <v>0</v>
      </c>
      <c r="D110" s="30">
        <f>SUMIF(Source_BS!$A:$A,"2932 Note - Santander (4970) $2140.42 Truck 27",Source_BS!D:D)</f>
        <v>0</v>
      </c>
      <c r="E110" s="30">
        <f>SUMIF(Source_BS!$A:$A,"2932 Note - Santander (4970) $2140.42 Truck 27",Source_BS!E:E)</f>
        <v>0</v>
      </c>
      <c r="F110" s="30">
        <f>SUMIF(Source_BS!$A:$A,"2932 Note - Santander (4970) $2140.42 Truck 27",Source_BS!F:F)</f>
        <v>0</v>
      </c>
      <c r="G110" s="30">
        <f>SUMIF(Source_BS!$A:$A,"2932 Note - Santander (4970) $2140.42 Truck 27",Source_BS!G:G)</f>
        <v>120890</v>
      </c>
      <c r="H110" s="30">
        <f>SUMIF(Source_BS!$A:$A,"2932 Note - Santander (4970) $2140.42 Truck 27",Source_BS!H:H)</f>
        <v>120890</v>
      </c>
      <c r="I110" s="30">
        <f>SUMIF(Source_BS!$A:$A,"2932 Note - Santander (4970) $2140.42 Truck 27",Source_BS!I:I)</f>
        <v>119972.84</v>
      </c>
      <c r="J110" s="30">
        <f>SUMIF(Source_BS!$A:$A,"2932 Note - Santander (4970) $2140.42 Truck 27",Source_BS!J:J)</f>
        <v>118668.73</v>
      </c>
      <c r="K110" s="30">
        <f>SUMIF(Source_BS!$A:$A,"2932 Note - Santander (4970) $2140.42 Truck 27",Source_BS!K:K)</f>
        <v>117328.83</v>
      </c>
      <c r="L110" s="30">
        <f>SUMIF(Source_BS!$A:$A,"2932 Note - Santander (4970) $2140.42 Truck 27",Source_BS!L:L)</f>
        <v>116006.28</v>
      </c>
      <c r="M110" s="30">
        <f>SUMIF(Source_BS!$A:$A,"2932 Note - Santander (4970) $2140.42 Truck 27",Source_BS!M:M)</f>
        <v>114648.43</v>
      </c>
    </row>
    <row r="111" spans="1:13" x14ac:dyDescent="0.25">
      <c r="A111" s="20" t="s">
        <v>213</v>
      </c>
      <c r="B111" s="30">
        <f>SUMIF(Source_BS!$A:$A,"2942 Note - UCB (4343) SPI-4000",Source_BS!B:B)</f>
        <v>0</v>
      </c>
      <c r="C111" s="30">
        <f>SUMIF(Source_BS!$A:$A,"2942 Note - UCB (4343) SPI-4000",Source_BS!C:C)</f>
        <v>0</v>
      </c>
      <c r="D111" s="30">
        <f>SUMIF(Source_BS!$A:$A,"2942 Note - UCB (4343) SPI-4000",Source_BS!D:D)</f>
        <v>0</v>
      </c>
      <c r="E111" s="30">
        <f>SUMIF(Source_BS!$A:$A,"2942 Note - UCB (4343) SPI-4000",Source_BS!E:E)</f>
        <v>0</v>
      </c>
      <c r="F111" s="30">
        <f>SUMIF(Source_BS!$A:$A,"2942 Note - UCB (4343) SPI-4000",Source_BS!F:F)</f>
        <v>0</v>
      </c>
      <c r="G111" s="30">
        <f>SUMIF(Source_BS!$A:$A,"2942 Note - UCB (4343) SPI-4000",Source_BS!G:G)</f>
        <v>0</v>
      </c>
      <c r="H111" s="30">
        <f>SUMIF(Source_BS!$A:$A,"2942 Note - UCB (4343) SPI-4000",Source_BS!H:H)</f>
        <v>0</v>
      </c>
      <c r="I111" s="30">
        <f>SUMIF(Source_BS!$A:$A,"2942 Note - UCB (4343) SPI-4000",Source_BS!I:I)</f>
        <v>0</v>
      </c>
      <c r="J111" s="30">
        <f>SUMIF(Source_BS!$A:$A,"2942 Note - UCB (4343) SPI-4000",Source_BS!J:J)</f>
        <v>82089.55</v>
      </c>
      <c r="K111" s="30">
        <f>SUMIF(Source_BS!$A:$A,"2942 Note - UCB (4343) SPI-4000",Source_BS!K:K)</f>
        <v>80063.47</v>
      </c>
      <c r="L111" s="30">
        <f>SUMIF(Source_BS!$A:$A,"2942 Note - UCB (4343) SPI-4000",Source_BS!L:L)</f>
        <v>78059.740000000005</v>
      </c>
      <c r="M111" s="30">
        <f>SUMIF(Source_BS!$A:$A,"2942 Note - UCB (4343) SPI-4000",Source_BS!M:M)</f>
        <v>75988.89</v>
      </c>
    </row>
    <row r="112" spans="1:13" x14ac:dyDescent="0.25">
      <c r="A112" s="20" t="s">
        <v>214</v>
      </c>
      <c r="B112" s="30">
        <f>SUMIF(Source_BS!$A:$A,"2943 Note - Kubota Credit (4957) $2225.02 Skid Loader",Source_BS!B:B)</f>
        <v>0</v>
      </c>
      <c r="C112" s="30">
        <f>SUMIF(Source_BS!$A:$A,"2943 Note - Kubota Credit (4957) $2225.02 Skid Loader",Source_BS!C:C)</f>
        <v>0</v>
      </c>
      <c r="D112" s="30">
        <f>SUMIF(Source_BS!$A:$A,"2943 Note - Kubota Credit (4957) $2225.02 Skid Loader",Source_BS!D:D)</f>
        <v>0</v>
      </c>
      <c r="E112" s="30">
        <f>SUMIF(Source_BS!$A:$A,"2943 Note - Kubota Credit (4957) $2225.02 Skid Loader",Source_BS!E:E)</f>
        <v>0</v>
      </c>
      <c r="F112" s="30">
        <f>SUMIF(Source_BS!$A:$A,"2943 Note - Kubota Credit (4957) $2225.02 Skid Loader",Source_BS!F:F)</f>
        <v>0</v>
      </c>
      <c r="G112" s="30">
        <f>SUMIF(Source_BS!$A:$A,"2943 Note - Kubota Credit (4957) $2225.02 Skid Loader",Source_BS!G:G)</f>
        <v>0</v>
      </c>
      <c r="H112" s="30">
        <f>SUMIF(Source_BS!$A:$A,"2943 Note - Kubota Credit (4957) $2225.02 Skid Loader",Source_BS!H:H)</f>
        <v>0</v>
      </c>
      <c r="I112" s="30">
        <f>SUMIF(Source_BS!$A:$A,"2943 Note - Kubota Credit (4957) $2225.02 Skid Loader",Source_BS!I:I)</f>
        <v>0</v>
      </c>
      <c r="J112" s="30">
        <f>SUMIF(Source_BS!$A:$A,"2943 Note - Kubota Credit (4957) $2225.02 Skid Loader",Source_BS!J:J)</f>
        <v>0</v>
      </c>
      <c r="K112" s="30">
        <f>SUMIF(Source_BS!$A:$A,"2943 Note - Kubota Credit (4957) $2225.02 Skid Loader",Source_BS!K:K)</f>
        <v>0</v>
      </c>
      <c r="L112" s="30">
        <f>SUMIF(Source_BS!$A:$A,"2943 Note - Kubota Credit (4957) $2225.02 Skid Loader",Source_BS!L:L)</f>
        <v>0</v>
      </c>
      <c r="M112" s="30">
        <f>SUMIF(Source_BS!$A:$A,"2943 Note - Kubota Credit (4957) $2225.02 Skid Loader",Source_BS!M:M)</f>
        <v>106800.81</v>
      </c>
    </row>
    <row r="113" spans="1:13" x14ac:dyDescent="0.25">
      <c r="A113" s="20" t="s">
        <v>215</v>
      </c>
      <c r="B113" s="30">
        <f>SUMIF(Source_BS!$A:$A,"2900 EIDL SBA Loan (8201)",Source_BS!B:B)</f>
        <v>500000</v>
      </c>
      <c r="C113" s="30">
        <f>SUMIF(Source_BS!$A:$A,"2900 EIDL SBA Loan (8201)",Source_BS!C:C)</f>
        <v>500000</v>
      </c>
      <c r="D113" s="30">
        <f>SUMIF(Source_BS!$A:$A,"2900 EIDL SBA Loan (8201)",Source_BS!D:D)</f>
        <v>500000</v>
      </c>
      <c r="E113" s="30">
        <f>SUMIF(Source_BS!$A:$A,"2900 EIDL SBA Loan (8201)",Source_BS!E:E)</f>
        <v>500000</v>
      </c>
      <c r="F113" s="30">
        <f>SUMIF(Source_BS!$A:$A,"2900 EIDL SBA Loan (8201)",Source_BS!F:F)</f>
        <v>500000</v>
      </c>
      <c r="G113" s="30">
        <f>SUMIF(Source_BS!$A:$A,"2900 EIDL SBA Loan (8201)",Source_BS!G:G)</f>
        <v>500000</v>
      </c>
      <c r="H113" s="30">
        <f>SUMIF(Source_BS!$A:$A,"2900 EIDL SBA Loan (8201)",Source_BS!H:H)</f>
        <v>500000</v>
      </c>
      <c r="I113" s="30">
        <f>SUMIF(Source_BS!$A:$A,"2900 EIDL SBA Loan (8201)",Source_BS!I:I)</f>
        <v>500000</v>
      </c>
      <c r="J113" s="30">
        <f>SUMIF(Source_BS!$A:$A,"2900 EIDL SBA Loan (8201)",Source_BS!J:J)</f>
        <v>500000</v>
      </c>
      <c r="K113" s="30">
        <f>SUMIF(Source_BS!$A:$A,"2900 EIDL SBA Loan (8201)",Source_BS!K:K)</f>
        <v>500000</v>
      </c>
      <c r="L113" s="30">
        <f>SUMIF(Source_BS!$A:$A,"2900 EIDL SBA Loan (8201)",Source_BS!L:L)</f>
        <v>500000</v>
      </c>
      <c r="M113" s="30">
        <f>SUMIF(Source_BS!$A:$A,"2900 EIDL SBA Loan (8201)",Source_BS!M:M)</f>
        <v>500000</v>
      </c>
    </row>
    <row r="114" spans="1:13" x14ac:dyDescent="0.25">
      <c r="A114" s="23" t="s">
        <v>216</v>
      </c>
      <c r="B114" s="31">
        <f>SUMIF(Source_BS!$A:$A,"Total for Long-term Liabilities",Source_BS!B:B)</f>
        <v>960619.33000000007</v>
      </c>
      <c r="C114" s="31">
        <f>SUMIF(Source_BS!$A:$A,"Total for Long-term Liabilities",Source_BS!C:C)</f>
        <v>952774.28</v>
      </c>
      <c r="D114" s="31">
        <f>SUMIF(Source_BS!$A:$A,"Total for Long-term Liabilities",Source_BS!D:D)</f>
        <v>941351.08000000007</v>
      </c>
      <c r="E114" s="31">
        <f>SUMIF(Source_BS!$A:$A,"Total for Long-term Liabilities",Source_BS!E:E)</f>
        <v>932122.47000000009</v>
      </c>
      <c r="F114" s="31">
        <f>SUMIF(Source_BS!$A:$A,"Total for Long-term Liabilities",Source_BS!F:F)</f>
        <v>972903.95</v>
      </c>
      <c r="G114" s="31">
        <f>SUMIF(Source_BS!$A:$A,"Total for Long-term Liabilities",Source_BS!G:G)</f>
        <v>1085480.1000000001</v>
      </c>
      <c r="H114" s="31">
        <f>SUMIF(Source_BS!$A:$A,"Total for Long-term Liabilities",Source_BS!H:H)</f>
        <v>1073988.5</v>
      </c>
      <c r="I114" s="31">
        <f>SUMIF(Source_BS!$A:$A,"Total for Long-term Liabilities",Source_BS!I:I)</f>
        <v>1063372.0299999998</v>
      </c>
      <c r="J114" s="31">
        <f>SUMIF(Source_BS!$A:$A,"Total for Long-term Liabilities",Source_BS!J:J)</f>
        <v>1133235.3599999999</v>
      </c>
      <c r="K114" s="31">
        <f>SUMIF(Source_BS!$A:$A,"Total for Long-term Liabilities",Source_BS!K:K)</f>
        <v>1119645.1200000001</v>
      </c>
      <c r="L114" s="31">
        <f>SUMIF(Source_BS!$A:$A,"Total for Long-term Liabilities",Source_BS!L:L)</f>
        <v>1107561.3699999999</v>
      </c>
      <c r="M114" s="31">
        <f>SUMIF(Source_BS!$A:$A,"Total for Long-term Liabilities",Source_BS!M:M)</f>
        <v>1110027.3899999999</v>
      </c>
    </row>
    <row r="115" spans="1:13" x14ac:dyDescent="0.25">
      <c r="A115" s="23" t="s">
        <v>217</v>
      </c>
      <c r="B115" s="31">
        <f>SUMIF(Source_BS!$A:$A,"Total for Liabilities",Source_BS!B:B)</f>
        <v>1335336.9500000002</v>
      </c>
      <c r="C115" s="31">
        <f>SUMIF(Source_BS!$A:$A,"Total for Liabilities",Source_BS!C:C)</f>
        <v>1461031.53</v>
      </c>
      <c r="D115" s="31">
        <f>SUMIF(Source_BS!$A:$A,"Total for Liabilities",Source_BS!D:D)</f>
        <v>1435797.02</v>
      </c>
      <c r="E115" s="31">
        <f>SUMIF(Source_BS!$A:$A,"Total for Liabilities",Source_BS!E:E)</f>
        <v>1390645.62</v>
      </c>
      <c r="F115" s="31">
        <f>SUMIF(Source_BS!$A:$A,"Total for Liabilities",Source_BS!F:F)</f>
        <v>1405617.33</v>
      </c>
      <c r="G115" s="31">
        <f>SUMIF(Source_BS!$A:$A,"Total for Liabilities",Source_BS!G:G)</f>
        <v>1379789.2200000002</v>
      </c>
      <c r="H115" s="31">
        <f>SUMIF(Source_BS!$A:$A,"Total for Liabilities",Source_BS!H:H)</f>
        <v>1433581.76</v>
      </c>
      <c r="I115" s="31">
        <f>SUMIF(Source_BS!$A:$A,"Total for Liabilities",Source_BS!I:I)</f>
        <v>1482866.38</v>
      </c>
      <c r="J115" s="31">
        <f>SUMIF(Source_BS!$A:$A,"Total for Liabilities",Source_BS!J:J)</f>
        <v>1607070.3699999999</v>
      </c>
      <c r="K115" s="31">
        <f>SUMIF(Source_BS!$A:$A,"Total for Liabilities",Source_BS!K:K)</f>
        <v>1601709.82</v>
      </c>
      <c r="L115" s="31">
        <f>SUMIF(Source_BS!$A:$A,"Total for Liabilities",Source_BS!L:L)</f>
        <v>1597261.3199999998</v>
      </c>
      <c r="M115" s="31">
        <f>SUMIF(Source_BS!$A:$A,"Total for Liabilities",Source_BS!M:M)</f>
        <v>1638594.43</v>
      </c>
    </row>
    <row r="116" spans="1:13" x14ac:dyDescent="0.25">
      <c r="A116" s="21" t="s">
        <v>218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</row>
    <row r="117" spans="1:13" x14ac:dyDescent="0.25">
      <c r="A117" s="20" t="s">
        <v>324</v>
      </c>
      <c r="B117" s="30">
        <f>SUMIF(Source_BS!$A:$A,"3200 Shareholder Calibration",Source_BS!B:B)</f>
        <v>0</v>
      </c>
      <c r="C117" s="30">
        <f>SUMIF(Source_BS!$A:$A,"3200 Shareholder Calibration",Source_BS!C:C)</f>
        <v>0</v>
      </c>
      <c r="D117" s="30">
        <f>SUMIF(Source_BS!$A:$A,"3200 Shareholder Calibration",Source_BS!D:D)</f>
        <v>0</v>
      </c>
      <c r="E117" s="30">
        <f>SUMIF(Source_BS!$A:$A,"3200 Shareholder Calibration",Source_BS!E:E)</f>
        <v>0</v>
      </c>
      <c r="F117" s="30">
        <f>SUMIF(Source_BS!$A:$A,"3200 Shareholder Calibration",Source_BS!F:F)</f>
        <v>0</v>
      </c>
      <c r="G117" s="30">
        <f>SUMIF(Source_BS!$A:$A,"3200 Shareholder Calibration",Source_BS!G:G)</f>
        <v>5000</v>
      </c>
      <c r="H117" s="30">
        <f>SUMIF(Source_BS!$A:$A,"3200 Shareholder Calibration",Source_BS!H:H)</f>
        <v>5000</v>
      </c>
      <c r="I117" s="30">
        <f>SUMIF(Source_BS!$A:$A,"3200 Shareholder Calibration",Source_BS!I:I)</f>
        <v>5000</v>
      </c>
      <c r="J117" s="30">
        <f>SUMIF(Source_BS!$A:$A,"3200 Shareholder Calibration",Source_BS!J:J)</f>
        <v>5000</v>
      </c>
      <c r="K117" s="30">
        <f>SUMIF(Source_BS!$A:$A,"3200 Shareholder Calibration",Source_BS!K:K)</f>
        <v>5000</v>
      </c>
      <c r="L117" s="30">
        <f>SUMIF(Source_BS!$A:$A,"3200 Shareholder Calibration",Source_BS!L:L)</f>
        <v>5000</v>
      </c>
      <c r="M117" s="30">
        <f>SUMIF(Source_BS!$A:$A,"3200 Shareholder Calibration",Source_BS!M:M)</f>
        <v>5000</v>
      </c>
    </row>
    <row r="118" spans="1:13" x14ac:dyDescent="0.25">
      <c r="A118" s="20" t="s">
        <v>325</v>
      </c>
      <c r="B118" s="30">
        <f>SUMIF(Source_BS!$A:$A,"3300 Shareholder Distributions",Source_BS!B:B)</f>
        <v>-280814.03999999998</v>
      </c>
      <c r="C118" s="30">
        <f>SUMIF(Source_BS!$A:$A,"3300 Shareholder Distributions",Source_BS!C:C)</f>
        <v>-280814.03999999998</v>
      </c>
      <c r="D118" s="30">
        <f>SUMIF(Source_BS!$A:$A,"3300 Shareholder Distributions",Source_BS!D:D)</f>
        <v>-280770.12</v>
      </c>
      <c r="E118" s="30">
        <f>SUMIF(Source_BS!$A:$A,"3300 Shareholder Distributions",Source_BS!E:E)</f>
        <v>-280770.12</v>
      </c>
      <c r="F118" s="30">
        <f>SUMIF(Source_BS!$A:$A,"3300 Shareholder Distributions",Source_BS!F:F)</f>
        <v>-281770.12</v>
      </c>
      <c r="G118" s="30">
        <f>SUMIF(Source_BS!$A:$A,"3300 Shareholder Distributions",Source_BS!G:G)</f>
        <v>-273675.69</v>
      </c>
      <c r="H118" s="30">
        <f>SUMIF(Source_BS!$A:$A,"3300 Shareholder Distributions",Source_BS!H:H)</f>
        <v>-259675.69</v>
      </c>
      <c r="I118" s="30">
        <f>SUMIF(Source_BS!$A:$A,"3300 Shareholder Distributions",Source_BS!I:I)</f>
        <v>-259675.69</v>
      </c>
      <c r="J118" s="30">
        <f>SUMIF(Source_BS!$A:$A,"3300 Shareholder Distributions",Source_BS!J:J)</f>
        <v>-259675.69</v>
      </c>
      <c r="K118" s="30">
        <f>SUMIF(Source_BS!$A:$A,"3300 Shareholder Distributions",Source_BS!K:K)</f>
        <v>-259675.69</v>
      </c>
      <c r="L118" s="30">
        <f>SUMIF(Source_BS!$A:$A,"3300 Shareholder Distributions",Source_BS!L:L)</f>
        <v>-259675.69</v>
      </c>
      <c r="M118" s="30">
        <f>SUMIF(Source_BS!$A:$A,"3300 Shareholder Distributions",Source_BS!M:M)</f>
        <v>-228343.02000000002</v>
      </c>
    </row>
    <row r="119" spans="1:13" x14ac:dyDescent="0.25">
      <c r="A119" s="20" t="s">
        <v>326</v>
      </c>
      <c r="B119" s="30">
        <f>SUMIF(Source_BS!$A:$A,"3900 Retained Earnings",Source_BS!B:B)</f>
        <v>755350.49</v>
      </c>
      <c r="C119" s="30">
        <f>SUMIF(Source_BS!$A:$A,"3900 Retained Earnings",Source_BS!C:C)</f>
        <v>755350.49</v>
      </c>
      <c r="D119" s="30">
        <f>SUMIF(Source_BS!$A:$A,"3900 Retained Earnings",Source_BS!D:D)</f>
        <v>755350.49</v>
      </c>
      <c r="E119" s="30">
        <f>SUMIF(Source_BS!$A:$A,"3900 Retained Earnings",Source_BS!E:E)</f>
        <v>755350.49</v>
      </c>
      <c r="F119" s="30">
        <f>SUMIF(Source_BS!$A:$A,"3900 Retained Earnings",Source_BS!F:F)</f>
        <v>755350.49</v>
      </c>
      <c r="G119" s="30">
        <f>SUMIF(Source_BS!$A:$A,"3900 Retained Earnings",Source_BS!G:G)</f>
        <v>755350.49</v>
      </c>
      <c r="H119" s="30">
        <f>SUMIF(Source_BS!$A:$A,"3900 Retained Earnings",Source_BS!H:H)</f>
        <v>755350.49</v>
      </c>
      <c r="I119" s="30">
        <f>SUMIF(Source_BS!$A:$A,"3900 Retained Earnings",Source_BS!I:I)</f>
        <v>755350.49</v>
      </c>
      <c r="J119" s="30">
        <f>SUMIF(Source_BS!$A:$A,"3900 Retained Earnings",Source_BS!J:J)</f>
        <v>755350.49</v>
      </c>
      <c r="K119" s="30">
        <f>SUMIF(Source_BS!$A:$A,"3900 Retained Earnings",Source_BS!K:K)</f>
        <v>755350.49</v>
      </c>
      <c r="L119" s="30">
        <f>SUMIF(Source_BS!$A:$A,"3900 Retained Earnings",Source_BS!L:L)</f>
        <v>755350.49</v>
      </c>
      <c r="M119" s="30">
        <f>SUMIF(Source_BS!$A:$A,"3900 Retained Earnings",Source_BS!M:M)</f>
        <v>755350.49</v>
      </c>
    </row>
    <row r="120" spans="1:13" x14ac:dyDescent="0.25">
      <c r="A120" s="23" t="s">
        <v>106</v>
      </c>
      <c r="B120" s="31">
        <f>SUMIF(Source_BS!$A:$A,"Net Income",Source_BS!B:B)</f>
        <v>-540469.18000000005</v>
      </c>
      <c r="C120" s="31">
        <f>SUMIF(Source_BS!$A:$A,"Net Income",Source_BS!C:C)</f>
        <v>-714187.62000000011</v>
      </c>
      <c r="D120" s="31">
        <f>SUMIF(Source_BS!$A:$A,"Net Income",Source_BS!D:D)</f>
        <v>-474424.37</v>
      </c>
      <c r="E120" s="31">
        <f>SUMIF(Source_BS!$A:$A,"Net Income",Source_BS!E:E)</f>
        <v>-518185.62</v>
      </c>
      <c r="F120" s="31">
        <f>SUMIF(Source_BS!$A:$A,"Net Income",Source_BS!F:F)</f>
        <v>-443669.89</v>
      </c>
      <c r="G120" s="31">
        <f>SUMIF(Source_BS!$A:$A,"Net Income",Source_BS!G:G)</f>
        <v>-430183.30000000005</v>
      </c>
      <c r="H120" s="31">
        <f>SUMIF(Source_BS!$A:$A,"Net Income",Source_BS!H:H)</f>
        <v>-434905.19999999995</v>
      </c>
      <c r="I120" s="31">
        <f>SUMIF(Source_BS!$A:$A,"Net Income",Source_BS!I:I)</f>
        <v>-517527.4800000001</v>
      </c>
      <c r="J120" s="31">
        <f>SUMIF(Source_BS!$A:$A,"Net Income",Source_BS!J:J)</f>
        <v>-461917.6100000001</v>
      </c>
      <c r="K120" s="31">
        <f>SUMIF(Source_BS!$A:$A,"Net Income",Source_BS!K:K)</f>
        <v>-521313.14000000013</v>
      </c>
      <c r="L120" s="31">
        <f>SUMIF(Source_BS!$A:$A,"Net Income",Source_BS!L:L)</f>
        <v>-434447.85000000027</v>
      </c>
      <c r="M120" s="31">
        <f>SUMIF(Source_BS!$A:$A,"Net Income",Source_BS!M:M)</f>
        <v>-624629.74000000046</v>
      </c>
    </row>
    <row r="121" spans="1:13" ht="15.75" thickBot="1" x14ac:dyDescent="0.3">
      <c r="A121" s="23" t="s">
        <v>222</v>
      </c>
      <c r="B121" s="31">
        <f>SUMIF(Source_BS!$A:$A,"Total for Equity",Source_BS!B:B)</f>
        <v>-65932.73000000004</v>
      </c>
      <c r="C121" s="31">
        <f>SUMIF(Source_BS!$A:$A,"Total for Equity",Source_BS!C:C)</f>
        <v>-239651.1700000001</v>
      </c>
      <c r="D121" s="31">
        <f>SUMIF(Source_BS!$A:$A,"Total for Equity",Source_BS!D:D)</f>
        <v>156</v>
      </c>
      <c r="E121" s="31">
        <f>SUMIF(Source_BS!$A:$A,"Total for Equity",Source_BS!E:E)</f>
        <v>-43605.25</v>
      </c>
      <c r="F121" s="31">
        <f>SUMIF(Source_BS!$A:$A,"Total for Equity",Source_BS!F:F)</f>
        <v>29910.479999999981</v>
      </c>
      <c r="G121" s="31">
        <f>SUMIF(Source_BS!$A:$A,"Total for Equity",Source_BS!G:G)</f>
        <v>56491.499999999942</v>
      </c>
      <c r="H121" s="31">
        <f>SUMIF(Source_BS!$A:$A,"Total for Equity",Source_BS!H:H)</f>
        <v>65769.600000000035</v>
      </c>
      <c r="I121" s="31">
        <f>SUMIF(Source_BS!$A:$A,"Total for Equity",Source_BS!I:I)</f>
        <v>-16852.680000000109</v>
      </c>
      <c r="J121" s="31">
        <f>SUMIF(Source_BS!$A:$A,"Total for Equity",Source_BS!J:J)</f>
        <v>38757.189999999886</v>
      </c>
      <c r="K121" s="31">
        <f>SUMIF(Source_BS!$A:$A,"Total for Equity",Source_BS!K:K)</f>
        <v>-20638.340000000142</v>
      </c>
      <c r="L121" s="31">
        <f>SUMIF(Source_BS!$A:$A,"Total for Equity",Source_BS!L:L)</f>
        <v>66226.949999999721</v>
      </c>
      <c r="M121" s="31">
        <f>SUMIF(Source_BS!$A:$A,"Total for Equity",Source_BS!M:M)</f>
        <v>-92622.270000000484</v>
      </c>
    </row>
    <row r="122" spans="1:13" ht="15.75" thickBot="1" x14ac:dyDescent="0.3">
      <c r="A122" s="26" t="s">
        <v>223</v>
      </c>
      <c r="B122" s="32">
        <f>SUMIF(Source_BS!$A:$A,"Total for Liabilities and Equity",Source_BS!B:B)</f>
        <v>1269404.2200000002</v>
      </c>
      <c r="C122" s="32">
        <f>SUMIF(Source_BS!$A:$A,"Total for Liabilities and Equity",Source_BS!C:C)</f>
        <v>1221380.3599999999</v>
      </c>
      <c r="D122" s="32">
        <f>SUMIF(Source_BS!$A:$A,"Total for Liabilities and Equity",Source_BS!D:D)</f>
        <v>1435953.02</v>
      </c>
      <c r="E122" s="32">
        <f>SUMIF(Source_BS!$A:$A,"Total for Liabilities and Equity",Source_BS!E:E)</f>
        <v>1347040.37</v>
      </c>
      <c r="F122" s="32">
        <f>SUMIF(Source_BS!$A:$A,"Total for Liabilities and Equity",Source_BS!F:F)</f>
        <v>1435527.81</v>
      </c>
      <c r="G122" s="32">
        <f>SUMIF(Source_BS!$A:$A,"Total for Liabilities and Equity",Source_BS!G:G)</f>
        <v>1436280.7200000002</v>
      </c>
      <c r="H122" s="32">
        <f>SUMIF(Source_BS!$A:$A,"Total for Liabilities and Equity",Source_BS!H:H)</f>
        <v>1499351.36</v>
      </c>
      <c r="I122" s="32">
        <f>SUMIF(Source_BS!$A:$A,"Total for Liabilities and Equity",Source_BS!I:I)</f>
        <v>1466013.6999999997</v>
      </c>
      <c r="J122" s="32">
        <f>SUMIF(Source_BS!$A:$A,"Total for Liabilities and Equity",Source_BS!J:J)</f>
        <v>1645827.5599999998</v>
      </c>
      <c r="K122" s="32">
        <f>SUMIF(Source_BS!$A:$A,"Total for Liabilities and Equity",Source_BS!K:K)</f>
        <v>1581071.48</v>
      </c>
      <c r="L122" s="32">
        <f>SUMIF(Source_BS!$A:$A,"Total for Liabilities and Equity",Source_BS!L:L)</f>
        <v>1663488.2699999996</v>
      </c>
      <c r="M122" s="32">
        <f>SUMIF(Source_BS!$A:$A,"Total for Liabilities and Equity",Source_BS!M:M)</f>
        <v>1545972.1599999995</v>
      </c>
    </row>
    <row r="123" spans="1:13" ht="15.75" thickTop="1" x14ac:dyDescent="0.25"/>
    <row r="124" spans="1:13" ht="15.75" thickBot="1" x14ac:dyDescent="0.3"/>
    <row r="125" spans="1:13" outlineLevel="1" x14ac:dyDescent="0.25">
      <c r="A125" s="40" t="s">
        <v>287</v>
      </c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2"/>
    </row>
    <row r="126" spans="1:13" outlineLevel="1" x14ac:dyDescent="0.25">
      <c r="A126" s="43" t="s">
        <v>327</v>
      </c>
      <c r="B126" s="44">
        <f>B48</f>
        <v>1269404.22</v>
      </c>
      <c r="C126" s="44">
        <f>C48</f>
        <v>1221380.3599999999</v>
      </c>
      <c r="D126" s="44">
        <f>D48</f>
        <v>1435953.02</v>
      </c>
      <c r="E126" s="44">
        <f>E48</f>
        <v>1347040.3699999999</v>
      </c>
      <c r="F126" s="44">
        <f>F48</f>
        <v>1435527.8099999998</v>
      </c>
      <c r="G126" s="44">
        <f>G48</f>
        <v>1436280.7199999997</v>
      </c>
      <c r="H126" s="44">
        <f>H48</f>
        <v>1499351.3599999999</v>
      </c>
      <c r="I126" s="44">
        <f>I48</f>
        <v>1466013.7</v>
      </c>
      <c r="J126" s="44">
        <f>J48</f>
        <v>1645827.5600000003</v>
      </c>
      <c r="K126" s="44">
        <f>K48</f>
        <v>1581071.4800000002</v>
      </c>
      <c r="L126" s="44">
        <f>L48</f>
        <v>1663488.27</v>
      </c>
      <c r="M126" s="45">
        <f>M48</f>
        <v>1545972.1599999997</v>
      </c>
    </row>
    <row r="127" spans="1:13" outlineLevel="1" x14ac:dyDescent="0.25">
      <c r="A127" s="43" t="s">
        <v>328</v>
      </c>
      <c r="B127" s="44">
        <f>B115</f>
        <v>1335336.9500000002</v>
      </c>
      <c r="C127" s="44">
        <f>C115</f>
        <v>1461031.53</v>
      </c>
      <c r="D127" s="44">
        <f>D115</f>
        <v>1435797.02</v>
      </c>
      <c r="E127" s="44">
        <f>E115</f>
        <v>1390645.62</v>
      </c>
      <c r="F127" s="44">
        <f>F115</f>
        <v>1405617.33</v>
      </c>
      <c r="G127" s="44">
        <f>G115</f>
        <v>1379789.2200000002</v>
      </c>
      <c r="H127" s="44">
        <f>H115</f>
        <v>1433581.76</v>
      </c>
      <c r="I127" s="44">
        <f>I115</f>
        <v>1482866.38</v>
      </c>
      <c r="J127" s="44">
        <f>J115</f>
        <v>1607070.3699999999</v>
      </c>
      <c r="K127" s="44">
        <f>K115</f>
        <v>1601709.82</v>
      </c>
      <c r="L127" s="44">
        <f>L115</f>
        <v>1597261.3199999998</v>
      </c>
      <c r="M127" s="45">
        <f>M115</f>
        <v>1638594.43</v>
      </c>
    </row>
    <row r="128" spans="1:13" outlineLevel="1" x14ac:dyDescent="0.25">
      <c r="A128" s="43" t="s">
        <v>329</v>
      </c>
      <c r="B128" s="44">
        <f>B121</f>
        <v>-65932.73000000004</v>
      </c>
      <c r="C128" s="44">
        <f>C121</f>
        <v>-239651.1700000001</v>
      </c>
      <c r="D128" s="44">
        <f>D121</f>
        <v>156</v>
      </c>
      <c r="E128" s="44">
        <f>E121</f>
        <v>-43605.25</v>
      </c>
      <c r="F128" s="44">
        <f>F121</f>
        <v>29910.479999999981</v>
      </c>
      <c r="G128" s="44">
        <f>G121</f>
        <v>56491.499999999942</v>
      </c>
      <c r="H128" s="44">
        <f>H121</f>
        <v>65769.600000000035</v>
      </c>
      <c r="I128" s="44">
        <f>I121</f>
        <v>-16852.680000000109</v>
      </c>
      <c r="J128" s="44">
        <f>J121</f>
        <v>38757.189999999886</v>
      </c>
      <c r="K128" s="44">
        <f>K121</f>
        <v>-20638.340000000142</v>
      </c>
      <c r="L128" s="44">
        <f>L121</f>
        <v>66226.949999999721</v>
      </c>
      <c r="M128" s="45">
        <f>M121</f>
        <v>-92622.270000000484</v>
      </c>
    </row>
    <row r="129" spans="1:13" ht="15.75" outlineLevel="1" thickBot="1" x14ac:dyDescent="0.3">
      <c r="A129" s="49" t="s">
        <v>330</v>
      </c>
      <c r="B129" s="50">
        <f>B122</f>
        <v>1269404.2200000002</v>
      </c>
      <c r="C129" s="50">
        <f>C122</f>
        <v>1221380.3599999999</v>
      </c>
      <c r="D129" s="50">
        <f>D122</f>
        <v>1435953.02</v>
      </c>
      <c r="E129" s="50">
        <f>E122</f>
        <v>1347040.37</v>
      </c>
      <c r="F129" s="50">
        <f>F122</f>
        <v>1435527.81</v>
      </c>
      <c r="G129" s="50">
        <f>G122</f>
        <v>1436280.7200000002</v>
      </c>
      <c r="H129" s="50">
        <f>H122</f>
        <v>1499351.36</v>
      </c>
      <c r="I129" s="50">
        <f>I122</f>
        <v>1466013.6999999997</v>
      </c>
      <c r="J129" s="50">
        <f>J122</f>
        <v>1645827.5599999998</v>
      </c>
      <c r="K129" s="50">
        <f>K122</f>
        <v>1581071.48</v>
      </c>
      <c r="L129" s="50">
        <f>L122</f>
        <v>1663488.2699999996</v>
      </c>
      <c r="M129" s="51">
        <f>M122</f>
        <v>1545972.1599999995</v>
      </c>
    </row>
    <row r="130" spans="1:13" outlineLevel="1" x14ac:dyDescent="0.25">
      <c r="A130" s="52" t="s">
        <v>331</v>
      </c>
      <c r="B130" s="53">
        <f>SUMIF(Source_BS!$A:$A,"Total for Assets",Source_BS!B:B)</f>
        <v>1269404.22</v>
      </c>
      <c r="C130" s="53">
        <f>SUMIF(Source_BS!$A:$A,"Total for Assets",Source_BS!C:C)</f>
        <v>1221380.3599999999</v>
      </c>
      <c r="D130" s="53">
        <f>SUMIF(Source_BS!$A:$A,"Total for Assets",Source_BS!D:D)</f>
        <v>1435953.02</v>
      </c>
      <c r="E130" s="53">
        <f>SUMIF(Source_BS!$A:$A,"Total for Assets",Source_BS!E:E)</f>
        <v>1347040.3699999999</v>
      </c>
      <c r="F130" s="53">
        <f>SUMIF(Source_BS!$A:$A,"Total for Assets",Source_BS!F:F)</f>
        <v>1435527.8099999998</v>
      </c>
      <c r="G130" s="53">
        <f>SUMIF(Source_BS!$A:$A,"Total for Assets",Source_BS!G:G)</f>
        <v>1436280.7199999997</v>
      </c>
      <c r="H130" s="53">
        <f>SUMIF(Source_BS!$A:$A,"Total for Assets",Source_BS!H:H)</f>
        <v>1499351.3599999999</v>
      </c>
      <c r="I130" s="53">
        <f>SUMIF(Source_BS!$A:$A,"Total for Assets",Source_BS!I:I)</f>
        <v>1466013.7</v>
      </c>
      <c r="J130" s="53">
        <f>SUMIF(Source_BS!$A:$A,"Total for Assets",Source_BS!J:J)</f>
        <v>1645827.5600000003</v>
      </c>
      <c r="K130" s="53">
        <f>SUMIF(Source_BS!$A:$A,"Total for Assets",Source_BS!K:K)</f>
        <v>1581071.4800000002</v>
      </c>
      <c r="L130" s="53">
        <f>SUMIF(Source_BS!$A:$A,"Total for Assets",Source_BS!L:L)</f>
        <v>1663488.27</v>
      </c>
      <c r="M130" s="54">
        <f>SUMIF(Source_BS!$A:$A,"Total for Assets",Source_BS!M:M)</f>
        <v>1545972.1599999997</v>
      </c>
    </row>
    <row r="131" spans="1:13" outlineLevel="1" x14ac:dyDescent="0.25">
      <c r="A131" s="43" t="s">
        <v>332</v>
      </c>
      <c r="B131" s="44">
        <f>SUMIF(Source_BS!$A:$A,"Total for Liabilities",Source_BS!B:B)</f>
        <v>1335336.9500000002</v>
      </c>
      <c r="C131" s="44">
        <f>SUMIF(Source_BS!$A:$A,"Total for Liabilities",Source_BS!C:C)</f>
        <v>1461031.53</v>
      </c>
      <c r="D131" s="44">
        <f>SUMIF(Source_BS!$A:$A,"Total for Liabilities",Source_BS!D:D)</f>
        <v>1435797.02</v>
      </c>
      <c r="E131" s="44">
        <f>SUMIF(Source_BS!$A:$A,"Total for Liabilities",Source_BS!E:E)</f>
        <v>1390645.62</v>
      </c>
      <c r="F131" s="44">
        <f>SUMIF(Source_BS!$A:$A,"Total for Liabilities",Source_BS!F:F)</f>
        <v>1405617.33</v>
      </c>
      <c r="G131" s="44">
        <f>SUMIF(Source_BS!$A:$A,"Total for Liabilities",Source_BS!G:G)</f>
        <v>1379789.2200000002</v>
      </c>
      <c r="H131" s="44">
        <f>SUMIF(Source_BS!$A:$A,"Total for Liabilities",Source_BS!H:H)</f>
        <v>1433581.76</v>
      </c>
      <c r="I131" s="44">
        <f>SUMIF(Source_BS!$A:$A,"Total for Liabilities",Source_BS!I:I)</f>
        <v>1482866.38</v>
      </c>
      <c r="J131" s="44">
        <f>SUMIF(Source_BS!$A:$A,"Total for Liabilities",Source_BS!J:J)</f>
        <v>1607070.3699999999</v>
      </c>
      <c r="K131" s="44">
        <f>SUMIF(Source_BS!$A:$A,"Total for Liabilities",Source_BS!K:K)</f>
        <v>1601709.82</v>
      </c>
      <c r="L131" s="44">
        <f>SUMIF(Source_BS!$A:$A,"Total for Liabilities",Source_BS!L:L)</f>
        <v>1597261.3199999998</v>
      </c>
      <c r="M131" s="45">
        <f>SUMIF(Source_BS!$A:$A,"Total for Liabilities",Source_BS!M:M)</f>
        <v>1638594.43</v>
      </c>
    </row>
    <row r="132" spans="1:13" ht="15.75" outlineLevel="1" thickBot="1" x14ac:dyDescent="0.3">
      <c r="A132" s="49" t="s">
        <v>333</v>
      </c>
      <c r="B132" s="50">
        <f>SUMIF(Source_BS!$A:$A,"Total for Equity",Source_BS!B:B)</f>
        <v>-65932.73000000004</v>
      </c>
      <c r="C132" s="50">
        <f>SUMIF(Source_BS!$A:$A,"Total for Equity",Source_BS!C:C)</f>
        <v>-239651.1700000001</v>
      </c>
      <c r="D132" s="50">
        <f>SUMIF(Source_BS!$A:$A,"Total for Equity",Source_BS!D:D)</f>
        <v>156</v>
      </c>
      <c r="E132" s="50">
        <f>SUMIF(Source_BS!$A:$A,"Total for Equity",Source_BS!E:E)</f>
        <v>-43605.25</v>
      </c>
      <c r="F132" s="50">
        <f>SUMIF(Source_BS!$A:$A,"Total for Equity",Source_BS!F:F)</f>
        <v>29910.479999999981</v>
      </c>
      <c r="G132" s="50">
        <f>SUMIF(Source_BS!$A:$A,"Total for Equity",Source_BS!G:G)</f>
        <v>56491.499999999942</v>
      </c>
      <c r="H132" s="50">
        <f>SUMIF(Source_BS!$A:$A,"Total for Equity",Source_BS!H:H)</f>
        <v>65769.600000000035</v>
      </c>
      <c r="I132" s="50">
        <f>SUMIF(Source_BS!$A:$A,"Total for Equity",Source_BS!I:I)</f>
        <v>-16852.680000000109</v>
      </c>
      <c r="J132" s="50">
        <f>SUMIF(Source_BS!$A:$A,"Total for Equity",Source_BS!J:J)</f>
        <v>38757.189999999886</v>
      </c>
      <c r="K132" s="50">
        <f>SUMIF(Source_BS!$A:$A,"Total for Equity",Source_BS!K:K)</f>
        <v>-20638.340000000142</v>
      </c>
      <c r="L132" s="50">
        <f>SUMIF(Source_BS!$A:$A,"Total for Equity",Source_BS!L:L)</f>
        <v>66226.949999999721</v>
      </c>
      <c r="M132" s="51">
        <f>SUMIF(Source_BS!$A:$A,"Total for Equity",Source_BS!M:M)</f>
        <v>-92622.270000000484</v>
      </c>
    </row>
    <row r="133" spans="1:13" ht="15.75" outlineLevel="1" thickBot="1" x14ac:dyDescent="0.3">
      <c r="A133" s="55" t="s">
        <v>334</v>
      </c>
      <c r="B133" s="56">
        <f>B48-B122</f>
        <v>0</v>
      </c>
      <c r="C133" s="56">
        <f>C48-C122</f>
        <v>0</v>
      </c>
      <c r="D133" s="56">
        <f>D48-D122</f>
        <v>0</v>
      </c>
      <c r="E133" s="56">
        <f>E48-E122</f>
        <v>0</v>
      </c>
      <c r="F133" s="56">
        <f>F48-F122</f>
        <v>0</v>
      </c>
      <c r="G133" s="56">
        <f>G48-G122</f>
        <v>0</v>
      </c>
      <c r="H133" s="56">
        <f>H48-H122</f>
        <v>0</v>
      </c>
      <c r="I133" s="56">
        <f>I48-I122</f>
        <v>0</v>
      </c>
      <c r="J133" s="56">
        <f>J48-J122</f>
        <v>0</v>
      </c>
      <c r="K133" s="56">
        <f>K48-K122</f>
        <v>0</v>
      </c>
      <c r="L133" s="56">
        <f>L48-L122</f>
        <v>0</v>
      </c>
      <c r="M133" s="57">
        <f>M48-M122</f>
        <v>0</v>
      </c>
    </row>
    <row r="134" spans="1:13" outlineLevel="1" x14ac:dyDescent="0.25">
      <c r="A134" s="52" t="s">
        <v>335</v>
      </c>
      <c r="B134" s="53">
        <f>B126-B130</f>
        <v>0</v>
      </c>
      <c r="C134" s="53">
        <f>C126-C130</f>
        <v>0</v>
      </c>
      <c r="D134" s="53">
        <f>D126-D130</f>
        <v>0</v>
      </c>
      <c r="E134" s="53">
        <f>E126-E130</f>
        <v>0</v>
      </c>
      <c r="F134" s="53">
        <f>F126-F130</f>
        <v>0</v>
      </c>
      <c r="G134" s="53">
        <f>G126-G130</f>
        <v>0</v>
      </c>
      <c r="H134" s="53">
        <f>H126-H130</f>
        <v>0</v>
      </c>
      <c r="I134" s="53">
        <f>I126-I130</f>
        <v>0</v>
      </c>
      <c r="J134" s="53">
        <f>J126-J130</f>
        <v>0</v>
      </c>
      <c r="K134" s="53">
        <f>K126-K130</f>
        <v>0</v>
      </c>
      <c r="L134" s="53">
        <f>L126-L130</f>
        <v>0</v>
      </c>
      <c r="M134" s="54">
        <f>M126-M130</f>
        <v>0</v>
      </c>
    </row>
    <row r="135" spans="1:13" outlineLevel="1" x14ac:dyDescent="0.25">
      <c r="A135" s="43" t="s">
        <v>336</v>
      </c>
      <c r="B135" s="44">
        <f>B127-B131</f>
        <v>0</v>
      </c>
      <c r="C135" s="44">
        <f>C127-C131</f>
        <v>0</v>
      </c>
      <c r="D135" s="44">
        <f>D127-D131</f>
        <v>0</v>
      </c>
      <c r="E135" s="44">
        <f>E127-E131</f>
        <v>0</v>
      </c>
      <c r="F135" s="44">
        <f>F127-F131</f>
        <v>0</v>
      </c>
      <c r="G135" s="44">
        <f>G127-G131</f>
        <v>0</v>
      </c>
      <c r="H135" s="44">
        <f>H127-H131</f>
        <v>0</v>
      </c>
      <c r="I135" s="44">
        <f>I127-I131</f>
        <v>0</v>
      </c>
      <c r="J135" s="44">
        <f>J127-J131</f>
        <v>0</v>
      </c>
      <c r="K135" s="44">
        <f>K127-K131</f>
        <v>0</v>
      </c>
      <c r="L135" s="44">
        <f>L127-L131</f>
        <v>0</v>
      </c>
      <c r="M135" s="45">
        <f>M127-M131</f>
        <v>0</v>
      </c>
    </row>
    <row r="136" spans="1:13" ht="15.75" outlineLevel="1" thickBot="1" x14ac:dyDescent="0.3">
      <c r="A136" s="46" t="s">
        <v>337</v>
      </c>
      <c r="B136" s="47">
        <f>B128-B132</f>
        <v>0</v>
      </c>
      <c r="C136" s="47">
        <f>C128-C132</f>
        <v>0</v>
      </c>
      <c r="D136" s="47">
        <f>D128-D132</f>
        <v>0</v>
      </c>
      <c r="E136" s="47">
        <f>E128-E132</f>
        <v>0</v>
      </c>
      <c r="F136" s="47">
        <f>F128-F132</f>
        <v>0</v>
      </c>
      <c r="G136" s="47">
        <f>G128-G132</f>
        <v>0</v>
      </c>
      <c r="H136" s="47">
        <f>H128-H132</f>
        <v>0</v>
      </c>
      <c r="I136" s="47">
        <f>I128-I132</f>
        <v>0</v>
      </c>
      <c r="J136" s="47">
        <f>J128-J132</f>
        <v>0</v>
      </c>
      <c r="K136" s="47">
        <f>K128-K132</f>
        <v>0</v>
      </c>
      <c r="L136" s="47">
        <f>L128-L132</f>
        <v>0</v>
      </c>
      <c r="M136" s="48">
        <f>M128-M132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BE1A-C2DB-40BC-8B6A-12AD58E86BDF}">
  <sheetPr codeName="Sheet6"/>
  <dimension ref="A1:O36"/>
  <sheetViews>
    <sheetView workbookViewId="0"/>
  </sheetViews>
  <sheetFormatPr defaultRowHeight="15" x14ac:dyDescent="0.25"/>
  <cols>
    <col min="1" max="1" width="50.7109375" customWidth="1"/>
    <col min="2" max="15" width="14.7109375" customWidth="1"/>
  </cols>
  <sheetData>
    <row r="1" spans="1:15" ht="18.75" x14ac:dyDescent="0.3">
      <c r="A1" s="16" t="s">
        <v>224</v>
      </c>
    </row>
    <row r="2" spans="1:15" ht="15.75" x14ac:dyDescent="0.25">
      <c r="A2" s="10" t="s">
        <v>338</v>
      </c>
    </row>
    <row r="4" spans="1:15" x14ac:dyDescent="0.25">
      <c r="A4" s="17" t="s">
        <v>339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/>
      <c r="O4" s="19" t="s">
        <v>340</v>
      </c>
    </row>
    <row r="5" spans="1:15" x14ac:dyDescent="0.25">
      <c r="A5" s="2" t="s">
        <v>341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1" t="s">
        <v>342</v>
      </c>
      <c r="B6" s="30">
        <f>SUMIF(Source_PL!$A:$A,"*Net Income*",Source_PL!B:B)</f>
        <v>-540469.17999999993</v>
      </c>
      <c r="C6" s="30">
        <f>SUMIF(Source_PL!$A:$A,"*Net Income*",Source_PL!C:C)</f>
        <v>-173718.43999999992</v>
      </c>
      <c r="D6" s="30">
        <f>SUMIF(Source_PL!$A:$A,"*Net Income*",Source_PL!D:D)</f>
        <v>239763.25000000006</v>
      </c>
      <c r="E6" s="30">
        <f>SUMIF(Source_PL!$A:$A,"*Net Income*",Source_PL!E:E)</f>
        <v>-43761.250000000087</v>
      </c>
      <c r="F6" s="30">
        <f>SUMIF(Source_PL!$A:$A,"*Net Income*",Source_PL!F:F)</f>
        <v>74515.73000000004</v>
      </c>
      <c r="G6" s="30">
        <f>SUMIF(Source_PL!$A:$A,"*Net Income*",Source_PL!G:G)</f>
        <v>13486.590000000084</v>
      </c>
      <c r="H6" s="30">
        <f>SUMIF(Source_PL!$A:$A,"*Net Income*",Source_PL!H:H)</f>
        <v>-4721.8999999999069</v>
      </c>
      <c r="I6" s="30">
        <f>SUMIF(Source_PL!$A:$A,"*Net Income*",Source_PL!I:I)</f>
        <v>-82622.280000000144</v>
      </c>
      <c r="J6" s="30">
        <f>SUMIF(Source_PL!$A:$A,"*Net Income*",Source_PL!J:J)</f>
        <v>55609.870000000054</v>
      </c>
      <c r="K6" s="30">
        <f>SUMIF(Source_PL!$A:$A,"*Net Income*",Source_PL!K:K)</f>
        <v>-59395.530000000028</v>
      </c>
      <c r="L6" s="30">
        <f>SUMIF(Source_PL!$A:$A,"*Net Income*",Source_PL!L:L)</f>
        <v>86865.290000000037</v>
      </c>
      <c r="M6" s="30">
        <f>SUMIF(Source_PL!$A:$A,"*Net Income*",Source_PL!M:M)</f>
        <v>-190181.89000000019</v>
      </c>
      <c r="N6" s="30"/>
      <c r="O6" s="30">
        <f>SUM(B6:M6)</f>
        <v>-624629.74</v>
      </c>
    </row>
    <row r="7" spans="1:15" x14ac:dyDescent="0.25">
      <c r="A7" s="2" t="s">
        <v>343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1" t="s">
        <v>344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/>
      <c r="O8" s="30">
        <f>SUM(B8:M8)</f>
        <v>0</v>
      </c>
    </row>
    <row r="9" spans="1:15" x14ac:dyDescent="0.25">
      <c r="A9" s="2" t="s">
        <v>345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1" t="s">
        <v>346</v>
      </c>
      <c r="B10" s="30">
        <v>0</v>
      </c>
      <c r="C10" s="30">
        <f>SUMIF(Source_BS!$A:$A,"*Accounts Receivable*",Source_BS!B:B)-SUMIF(Source_BS!$A:$A,"*Accounts Receivable*",Source_BS!C:C)</f>
        <v>0</v>
      </c>
      <c r="D10" s="30">
        <f>SUMIF(Source_BS!$A:$A,"*Accounts Receivable*",Source_BS!C:C)-SUMIF(Source_BS!$A:$A,"*Accounts Receivable*",Source_BS!D:D)</f>
        <v>0</v>
      </c>
      <c r="E10" s="30">
        <f>SUMIF(Source_BS!$A:$A,"*Accounts Receivable*",Source_BS!D:D)-SUMIF(Source_BS!$A:$A,"*Accounts Receivable*",Source_BS!E:E)</f>
        <v>0</v>
      </c>
      <c r="F10" s="30">
        <f>SUMIF(Source_BS!$A:$A,"*Accounts Receivable*",Source_BS!E:E)-SUMIF(Source_BS!$A:$A,"*Accounts Receivable*",Source_BS!F:F)</f>
        <v>0</v>
      </c>
      <c r="G10" s="30">
        <f>SUMIF(Source_BS!$A:$A,"*Accounts Receivable*",Source_BS!F:F)-SUMIF(Source_BS!$A:$A,"*Accounts Receivable*",Source_BS!G:G)</f>
        <v>0</v>
      </c>
      <c r="H10" s="30">
        <f>SUMIF(Source_BS!$A:$A,"*Accounts Receivable*",Source_BS!G:G)-SUMIF(Source_BS!$A:$A,"*Accounts Receivable*",Source_BS!H:H)</f>
        <v>0</v>
      </c>
      <c r="I10" s="30">
        <f>SUMIF(Source_BS!$A:$A,"*Accounts Receivable*",Source_BS!H:H)-SUMIF(Source_BS!$A:$A,"*Accounts Receivable*",Source_BS!I:I)</f>
        <v>0</v>
      </c>
      <c r="J10" s="30">
        <f>SUMIF(Source_BS!$A:$A,"*Accounts Receivable*",Source_BS!I:I)-SUMIF(Source_BS!$A:$A,"*Accounts Receivable*",Source_BS!J:J)</f>
        <v>0</v>
      </c>
      <c r="K10" s="30">
        <f>SUMIF(Source_BS!$A:$A,"*Accounts Receivable*",Source_BS!J:J)-SUMIF(Source_BS!$A:$A,"*Accounts Receivable*",Source_BS!K:K)</f>
        <v>0</v>
      </c>
      <c r="L10" s="30">
        <f>SUMIF(Source_BS!$A:$A,"*Accounts Receivable*",Source_BS!K:K)-SUMIF(Source_BS!$A:$A,"*Accounts Receivable*",Source_BS!L:L)</f>
        <v>0</v>
      </c>
      <c r="M10" s="30">
        <f>SUMIF(Source_BS!$A:$A,"*Accounts Receivable*",Source_BS!L:L)-SUMIF(Source_BS!$A:$A,"*Accounts Receivable*",Source_BS!M:M)</f>
        <v>0</v>
      </c>
      <c r="N10" s="30"/>
      <c r="O10" s="30">
        <f>SUM(B10:M10)</f>
        <v>0</v>
      </c>
    </row>
    <row r="11" spans="1:15" x14ac:dyDescent="0.25">
      <c r="A11" s="1" t="s">
        <v>347</v>
      </c>
      <c r="B11" s="30">
        <v>0</v>
      </c>
      <c r="C11" s="30">
        <f>SUMIF(Source_BS!$A:$A,"*Inventory*",Source_BS!B:B)-SUMIF(Source_BS!$A:$A,"*Inventory*",Source_BS!C:C)</f>
        <v>0</v>
      </c>
      <c r="D11" s="30">
        <f>SUMIF(Source_BS!$A:$A,"*Inventory*",Source_BS!C:C)-SUMIF(Source_BS!$A:$A,"*Inventory*",Source_BS!D:D)</f>
        <v>0</v>
      </c>
      <c r="E11" s="30">
        <f>SUMIF(Source_BS!$A:$A,"*Inventory*",Source_BS!D:D)-SUMIF(Source_BS!$A:$A,"*Inventory*",Source_BS!E:E)</f>
        <v>0</v>
      </c>
      <c r="F11" s="30">
        <f>SUMIF(Source_BS!$A:$A,"*Inventory*",Source_BS!E:E)-SUMIF(Source_BS!$A:$A,"*Inventory*",Source_BS!F:F)</f>
        <v>0</v>
      </c>
      <c r="G11" s="30">
        <f>SUMIF(Source_BS!$A:$A,"*Inventory*",Source_BS!F:F)-SUMIF(Source_BS!$A:$A,"*Inventory*",Source_BS!G:G)</f>
        <v>0</v>
      </c>
      <c r="H11" s="30">
        <f>SUMIF(Source_BS!$A:$A,"*Inventory*",Source_BS!G:G)-SUMIF(Source_BS!$A:$A,"*Inventory*",Source_BS!H:H)</f>
        <v>0</v>
      </c>
      <c r="I11" s="30">
        <f>SUMIF(Source_BS!$A:$A,"*Inventory*",Source_BS!H:H)-SUMIF(Source_BS!$A:$A,"*Inventory*",Source_BS!I:I)</f>
        <v>0</v>
      </c>
      <c r="J11" s="30">
        <f>SUMIF(Source_BS!$A:$A,"*Inventory*",Source_BS!I:I)-SUMIF(Source_BS!$A:$A,"*Inventory*",Source_BS!J:J)</f>
        <v>0</v>
      </c>
      <c r="K11" s="30">
        <f>SUMIF(Source_BS!$A:$A,"*Inventory*",Source_BS!J:J)-SUMIF(Source_BS!$A:$A,"*Inventory*",Source_BS!K:K)</f>
        <v>0</v>
      </c>
      <c r="L11" s="30">
        <f>SUMIF(Source_BS!$A:$A,"*Inventory*",Source_BS!K:K)-SUMIF(Source_BS!$A:$A,"*Inventory*",Source_BS!L:L)</f>
        <v>0</v>
      </c>
      <c r="M11" s="30">
        <f>SUMIF(Source_BS!$A:$A,"*Inventory*",Source_BS!L:L)-SUMIF(Source_BS!$A:$A,"*Inventory*",Source_BS!M:M)</f>
        <v>0</v>
      </c>
      <c r="N11" s="30"/>
      <c r="O11" s="30">
        <f>SUM(B11:M11)</f>
        <v>0</v>
      </c>
    </row>
    <row r="12" spans="1:15" x14ac:dyDescent="0.25">
      <c r="A12" s="1" t="s">
        <v>348</v>
      </c>
      <c r="B12" s="30">
        <v>0</v>
      </c>
      <c r="C12" s="30">
        <f>SUMIF(Source_BS!$A:$A,"*Prepaid*",Source_BS!B:B)-SUMIF(Source_BS!$A:$A,"*Prepaid*",Source_BS!C:C)</f>
        <v>0</v>
      </c>
      <c r="D12" s="30">
        <f>SUMIF(Source_BS!$A:$A,"*Prepaid*",Source_BS!C:C)-SUMIF(Source_BS!$A:$A,"*Prepaid*",Source_BS!D:D)</f>
        <v>0</v>
      </c>
      <c r="E12" s="30">
        <f>SUMIF(Source_BS!$A:$A,"*Prepaid*",Source_BS!D:D)-SUMIF(Source_BS!$A:$A,"*Prepaid*",Source_BS!E:E)</f>
        <v>0</v>
      </c>
      <c r="F12" s="30">
        <f>SUMIF(Source_BS!$A:$A,"*Prepaid*",Source_BS!E:E)-SUMIF(Source_BS!$A:$A,"*Prepaid*",Source_BS!F:F)</f>
        <v>0</v>
      </c>
      <c r="G12" s="30">
        <f>SUMIF(Source_BS!$A:$A,"*Prepaid*",Source_BS!F:F)-SUMIF(Source_BS!$A:$A,"*Prepaid*",Source_BS!G:G)</f>
        <v>0</v>
      </c>
      <c r="H12" s="30">
        <f>SUMIF(Source_BS!$A:$A,"*Prepaid*",Source_BS!G:G)-SUMIF(Source_BS!$A:$A,"*Prepaid*",Source_BS!H:H)</f>
        <v>0</v>
      </c>
      <c r="I12" s="30">
        <f>SUMIF(Source_BS!$A:$A,"*Prepaid*",Source_BS!H:H)-SUMIF(Source_BS!$A:$A,"*Prepaid*",Source_BS!I:I)</f>
        <v>0</v>
      </c>
      <c r="J12" s="30">
        <f>SUMIF(Source_BS!$A:$A,"*Prepaid*",Source_BS!I:I)-SUMIF(Source_BS!$A:$A,"*Prepaid*",Source_BS!J:J)</f>
        <v>0</v>
      </c>
      <c r="K12" s="30">
        <f>SUMIF(Source_BS!$A:$A,"*Prepaid*",Source_BS!J:J)-SUMIF(Source_BS!$A:$A,"*Prepaid*",Source_BS!K:K)</f>
        <v>0</v>
      </c>
      <c r="L12" s="30">
        <f>SUMIF(Source_BS!$A:$A,"*Prepaid*",Source_BS!K:K)-SUMIF(Source_BS!$A:$A,"*Prepaid*",Source_BS!L:L)</f>
        <v>0</v>
      </c>
      <c r="M12" s="30">
        <f>SUMIF(Source_BS!$A:$A,"*Prepaid*",Source_BS!L:L)-SUMIF(Source_BS!$A:$A,"*Prepaid*",Source_BS!M:M)</f>
        <v>0</v>
      </c>
      <c r="N12" s="30"/>
      <c r="O12" s="30">
        <f>SUM(B12:M12)</f>
        <v>0</v>
      </c>
    </row>
    <row r="13" spans="1:15" x14ac:dyDescent="0.25">
      <c r="A13" s="1" t="s">
        <v>349</v>
      </c>
      <c r="B13" s="30">
        <v>0</v>
      </c>
      <c r="C13" s="30">
        <f>SUMIF(Source_BS!$A:$A,"*Other Current Assets*",Source_BS!B:B)-SUMIF(Source_BS!$A:$A,"*Other Current Assets*",Source_BS!C:C)</f>
        <v>0</v>
      </c>
      <c r="D13" s="30">
        <f>SUMIF(Source_BS!$A:$A,"*Other Current Assets*",Source_BS!C:C)-SUMIF(Source_BS!$A:$A,"*Other Current Assets*",Source_BS!D:D)</f>
        <v>-18611.060000000001</v>
      </c>
      <c r="E13" s="30">
        <f>SUMIF(Source_BS!$A:$A,"*Other Current Assets*",Source_BS!D:D)-SUMIF(Source_BS!$A:$A,"*Other Current Assets*",Source_BS!E:E)</f>
        <v>-8863.2999999999993</v>
      </c>
      <c r="F13" s="30">
        <f>SUMIF(Source_BS!$A:$A,"*Other Current Assets*",Source_BS!E:E)-SUMIF(Source_BS!$A:$A,"*Other Current Assets*",Source_BS!F:F)</f>
        <v>-10663.000000000004</v>
      </c>
      <c r="G13" s="30">
        <f>SUMIF(Source_BS!$A:$A,"*Other Current Assets*",Source_BS!F:F)-SUMIF(Source_BS!$A:$A,"*Other Current Assets*",Source_BS!G:G)</f>
        <v>-3154</v>
      </c>
      <c r="H13" s="30">
        <f>SUMIF(Source_BS!$A:$A,"*Other Current Assets*",Source_BS!G:G)-SUMIF(Source_BS!$A:$A,"*Other Current Assets*",Source_BS!H:H)</f>
        <v>0</v>
      </c>
      <c r="I13" s="30">
        <f>SUMIF(Source_BS!$A:$A,"*Other Current Assets*",Source_BS!H:H)-SUMIF(Source_BS!$A:$A,"*Other Current Assets*",Source_BS!I:I)</f>
        <v>2186.6900000000023</v>
      </c>
      <c r="J13" s="30">
        <f>SUMIF(Source_BS!$A:$A,"*Other Current Assets*",Source_BS!I:I)-SUMIF(Source_BS!$A:$A,"*Other Current Assets*",Source_BS!J:J)</f>
        <v>0</v>
      </c>
      <c r="K13" s="30">
        <f>SUMIF(Source_BS!$A:$A,"*Other Current Assets*",Source_BS!J:J)-SUMIF(Source_BS!$A:$A,"*Other Current Assets*",Source_BS!K:K)</f>
        <v>0</v>
      </c>
      <c r="L13" s="30">
        <f>SUMIF(Source_BS!$A:$A,"*Other Current Assets*",Source_BS!K:K)-SUMIF(Source_BS!$A:$A,"*Other Current Assets*",Source_BS!L:L)</f>
        <v>0</v>
      </c>
      <c r="M13" s="30">
        <f>SUMIF(Source_BS!$A:$A,"*Other Current Assets*",Source_BS!L:L)-SUMIF(Source_BS!$A:$A,"*Other Current Assets*",Source_BS!M:M)</f>
        <v>-184.52000000000407</v>
      </c>
      <c r="N13" s="30"/>
      <c r="O13" s="30">
        <f>SUM(B13:M13)</f>
        <v>-39289.19</v>
      </c>
    </row>
    <row r="14" spans="1:15" x14ac:dyDescent="0.25">
      <c r="A14" s="1" t="s">
        <v>350</v>
      </c>
      <c r="B14" s="30">
        <v>0</v>
      </c>
      <c r="C14" s="30">
        <f>SUMIF(Source_BS!$A:$A,"*Accounts Payable*",Source_BS!C:C)-SUMIF(Source_BS!$A:$A,"*Accounts Payable*",Source_BS!B:B)</f>
        <v>0</v>
      </c>
      <c r="D14" s="30">
        <f>SUMIF(Source_BS!$A:$A,"*Accounts Payable*",Source_BS!D:D)-SUMIF(Source_BS!$A:$A,"*Accounts Payable*",Source_BS!C:C)</f>
        <v>0</v>
      </c>
      <c r="E14" s="30">
        <f>SUMIF(Source_BS!$A:$A,"*Accounts Payable*",Source_BS!E:E)-SUMIF(Source_BS!$A:$A,"*Accounts Payable*",Source_BS!D:D)</f>
        <v>0</v>
      </c>
      <c r="F14" s="30">
        <f>SUMIF(Source_BS!$A:$A,"*Accounts Payable*",Source_BS!F:F)-SUMIF(Source_BS!$A:$A,"*Accounts Payable*",Source_BS!E:E)</f>
        <v>0</v>
      </c>
      <c r="G14" s="30">
        <f>SUMIF(Source_BS!$A:$A,"*Accounts Payable*",Source_BS!G:G)-SUMIF(Source_BS!$A:$A,"*Accounts Payable*",Source_BS!F:F)</f>
        <v>0</v>
      </c>
      <c r="H14" s="30">
        <f>SUMIF(Source_BS!$A:$A,"*Accounts Payable*",Source_BS!H:H)-SUMIF(Source_BS!$A:$A,"*Accounts Payable*",Source_BS!G:G)</f>
        <v>0</v>
      </c>
      <c r="I14" s="30">
        <f>SUMIF(Source_BS!$A:$A,"*Accounts Payable*",Source_BS!I:I)-SUMIF(Source_BS!$A:$A,"*Accounts Payable*",Source_BS!H:H)</f>
        <v>0</v>
      </c>
      <c r="J14" s="30">
        <f>SUMIF(Source_BS!$A:$A,"*Accounts Payable*",Source_BS!J:J)-SUMIF(Source_BS!$A:$A,"*Accounts Payable*",Source_BS!I:I)</f>
        <v>0</v>
      </c>
      <c r="K14" s="30">
        <f>SUMIF(Source_BS!$A:$A,"*Accounts Payable*",Source_BS!K:K)-SUMIF(Source_BS!$A:$A,"*Accounts Payable*",Source_BS!J:J)</f>
        <v>0</v>
      </c>
      <c r="L14" s="30">
        <f>SUMIF(Source_BS!$A:$A,"*Accounts Payable*",Source_BS!L:L)-SUMIF(Source_BS!$A:$A,"*Accounts Payable*",Source_BS!K:K)</f>
        <v>0</v>
      </c>
      <c r="M14" s="30">
        <f>SUMIF(Source_BS!$A:$A,"*Accounts Payable*",Source_BS!M:M)-SUMIF(Source_BS!$A:$A,"*Accounts Payable*",Source_BS!L:L)</f>
        <v>0</v>
      </c>
      <c r="N14" s="30"/>
      <c r="O14" s="30">
        <f>SUM(B14:M14)</f>
        <v>0</v>
      </c>
    </row>
    <row r="15" spans="1:15" x14ac:dyDescent="0.25">
      <c r="A15" s="1" t="s">
        <v>351</v>
      </c>
      <c r="B15" s="30">
        <v>0</v>
      </c>
      <c r="C15" s="30">
        <f>SUMIF(Source_BS!$A:$A,"*Accrued*",Source_BS!C:C)-SUMIF(Source_BS!$A:$A,"*Accrued*",Source_BS!B:B)</f>
        <v>0</v>
      </c>
      <c r="D15" s="30">
        <f>SUMIF(Source_BS!$A:$A,"*Accrued*",Source_BS!D:D)-SUMIF(Source_BS!$A:$A,"*Accrued*",Source_BS!C:C)</f>
        <v>0</v>
      </c>
      <c r="E15" s="30">
        <f>SUMIF(Source_BS!$A:$A,"*Accrued*",Source_BS!E:E)-SUMIF(Source_BS!$A:$A,"*Accrued*",Source_BS!D:D)</f>
        <v>0</v>
      </c>
      <c r="F15" s="30">
        <f>SUMIF(Source_BS!$A:$A,"*Accrued*",Source_BS!F:F)-SUMIF(Source_BS!$A:$A,"*Accrued*",Source_BS!E:E)</f>
        <v>0</v>
      </c>
      <c r="G15" s="30">
        <f>SUMIF(Source_BS!$A:$A,"*Accrued*",Source_BS!G:G)-SUMIF(Source_BS!$A:$A,"*Accrued*",Source_BS!F:F)</f>
        <v>0</v>
      </c>
      <c r="H15" s="30">
        <f>SUMIF(Source_BS!$A:$A,"*Accrued*",Source_BS!H:H)-SUMIF(Source_BS!$A:$A,"*Accrued*",Source_BS!G:G)</f>
        <v>0</v>
      </c>
      <c r="I15" s="30">
        <f>SUMIF(Source_BS!$A:$A,"*Accrued*",Source_BS!I:I)-SUMIF(Source_BS!$A:$A,"*Accrued*",Source_BS!H:H)</f>
        <v>0</v>
      </c>
      <c r="J15" s="30">
        <f>SUMIF(Source_BS!$A:$A,"*Accrued*",Source_BS!J:J)-SUMIF(Source_BS!$A:$A,"*Accrued*",Source_BS!I:I)</f>
        <v>0</v>
      </c>
      <c r="K15" s="30">
        <f>SUMIF(Source_BS!$A:$A,"*Accrued*",Source_BS!K:K)-SUMIF(Source_BS!$A:$A,"*Accrued*",Source_BS!J:J)</f>
        <v>0</v>
      </c>
      <c r="L15" s="30">
        <f>SUMIF(Source_BS!$A:$A,"*Accrued*",Source_BS!L:L)-SUMIF(Source_BS!$A:$A,"*Accrued*",Source_BS!K:K)</f>
        <v>0</v>
      </c>
      <c r="M15" s="30">
        <f>SUMIF(Source_BS!$A:$A,"*Accrued*",Source_BS!M:M)-SUMIF(Source_BS!$A:$A,"*Accrued*",Source_BS!L:L)</f>
        <v>0</v>
      </c>
      <c r="N15" s="30"/>
      <c r="O15" s="30">
        <f>SUM(B15:M15)</f>
        <v>0</v>
      </c>
    </row>
    <row r="16" spans="1:15" x14ac:dyDescent="0.25">
      <c r="A16" s="1" t="s">
        <v>352</v>
      </c>
      <c r="B16" s="30">
        <v>0</v>
      </c>
      <c r="C16" s="30">
        <f>SUMIF(Source_BS!$A:$A,"*Other Current Liabilities*",Source_BS!C:C)-SUMIF(Source_BS!$A:$A,"*Other Current Liabilities*",Source_BS!B:B)</f>
        <v>155657.28000000003</v>
      </c>
      <c r="D16" s="30">
        <f>SUMIF(Source_BS!$A:$A,"*Other Current Liabilities*",Source_BS!D:D)-SUMIF(Source_BS!$A:$A,"*Other Current Liabilities*",Source_BS!C:C)</f>
        <v>36073.51999999996</v>
      </c>
      <c r="E16" s="30">
        <f>SUMIF(Source_BS!$A:$A,"*Other Current Liabilities*",Source_BS!E:E)-SUMIF(Source_BS!$A:$A,"*Other Current Liabilities*",Source_BS!D:D)</f>
        <v>-30615.739999999932</v>
      </c>
      <c r="F16" s="30">
        <f>SUMIF(Source_BS!$A:$A,"*Other Current Liabilities*",Source_BS!F:F)-SUMIF(Source_BS!$A:$A,"*Other Current Liabilities*",Source_BS!E:E)</f>
        <v>-36444.98000000004</v>
      </c>
      <c r="G16" s="30">
        <f>SUMIF(Source_BS!$A:$A,"*Other Current Liabilities*",Source_BS!G:G)-SUMIF(Source_BS!$A:$A,"*Other Current Liabilities*",Source_BS!F:F)</f>
        <v>-152910.19000000006</v>
      </c>
      <c r="H16" s="30">
        <f>SUMIF(Source_BS!$A:$A,"*Other Current Liabilities*",Source_BS!H:H)-SUMIF(Source_BS!$A:$A,"*Other Current Liabilities*",Source_BS!G:G)</f>
        <v>38964.850000000035</v>
      </c>
      <c r="I16" s="30">
        <f>SUMIF(Source_BS!$A:$A,"*Other Current Liabilities*",Source_BS!I:I)-SUMIF(Source_BS!$A:$A,"*Other Current Liabilities*",Source_BS!H:H)</f>
        <v>86896.080000000016</v>
      </c>
      <c r="J16" s="30">
        <f>SUMIF(Source_BS!$A:$A,"*Other Current Liabilities*",Source_BS!J:J)-SUMIF(Source_BS!$A:$A,"*Other Current Liabilities*",Source_BS!I:I)</f>
        <v>42152.51999999996</v>
      </c>
      <c r="K16" s="30">
        <f>SUMIF(Source_BS!$A:$A,"*Other Current Liabilities*",Source_BS!K:K)-SUMIF(Source_BS!$A:$A,"*Other Current Liabilities*",Source_BS!J:J)</f>
        <v>-382.49999999994179</v>
      </c>
      <c r="L16" s="30">
        <f>SUMIF(Source_BS!$A:$A,"*Other Current Liabilities*",Source_BS!L:L)-SUMIF(Source_BS!$A:$A,"*Other Current Liabilities*",Source_BS!K:K)</f>
        <v>42561.76999999996</v>
      </c>
      <c r="M16" s="30">
        <f>SUMIF(Source_BS!$A:$A,"*Other Current Liabilities*",Source_BS!M:M)-SUMIF(Source_BS!$A:$A,"*Other Current Liabilities*",Source_BS!L:L)</f>
        <v>6898.8200000000652</v>
      </c>
      <c r="N16" s="30"/>
      <c r="O16" s="30">
        <f>SUM(B16:M16)</f>
        <v>188851.43000000005</v>
      </c>
    </row>
    <row r="17" spans="1:15" x14ac:dyDescent="0.25">
      <c r="A17" s="58" t="s">
        <v>353</v>
      </c>
      <c r="B17" s="59">
        <f>SUM(B6:B16)</f>
        <v>-540469.17999999993</v>
      </c>
      <c r="C17" s="59">
        <f>SUM(C6:C16)</f>
        <v>-18061.159999999887</v>
      </c>
      <c r="D17" s="59">
        <f>SUM(D6:D16)</f>
        <v>257225.71000000002</v>
      </c>
      <c r="E17" s="59">
        <f>SUM(E6:E16)</f>
        <v>-83240.290000000023</v>
      </c>
      <c r="F17" s="59">
        <f>SUM(F6:F16)</f>
        <v>27407.75</v>
      </c>
      <c r="G17" s="59">
        <f>SUM(G6:G16)</f>
        <v>-142577.59999999998</v>
      </c>
      <c r="H17" s="59">
        <f>SUM(H6:H16)</f>
        <v>34242.950000000128</v>
      </c>
      <c r="I17" s="59">
        <f>SUM(I6:I16)</f>
        <v>6460.4899999998743</v>
      </c>
      <c r="J17" s="59">
        <f>SUM(J6:J16)</f>
        <v>97762.390000000014</v>
      </c>
      <c r="K17" s="59">
        <f>SUM(K6:K16)</f>
        <v>-59778.02999999997</v>
      </c>
      <c r="L17" s="59">
        <f>SUM(L6:L16)</f>
        <v>129427.06</v>
      </c>
      <c r="M17" s="59">
        <f>SUM(M6:M16)</f>
        <v>-183467.59000000014</v>
      </c>
      <c r="N17" s="59">
        <f>SUM(N6:N16)</f>
        <v>0</v>
      </c>
      <c r="O17" s="59">
        <f>SUM(O6:O16)</f>
        <v>-475067.49999999988</v>
      </c>
    </row>
    <row r="18" spans="1:15" x14ac:dyDescent="0.25">
      <c r="A18" s="1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2" t="s">
        <v>354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1" t="s">
        <v>355</v>
      </c>
      <c r="B20" s="30">
        <v>0</v>
      </c>
      <c r="C20" s="30">
        <f>SUMIF(Source_BS!$A:$A,"*Fixed Assets*",Source_BS!B:B)-SUMIF(Source_BS!$A:$A,"*Fixed Assets*",Source_BS!C:C)</f>
        <v>-69530.189999999944</v>
      </c>
      <c r="D20" s="30">
        <f>SUMIF(Source_BS!$A:$A,"*Fixed Assets*",Source_BS!C:C)-SUMIF(Source_BS!$A:$A,"*Fixed Assets*",Source_BS!D:D)</f>
        <v>0</v>
      </c>
      <c r="E20" s="30">
        <f>SUMIF(Source_BS!$A:$A,"*Fixed Assets*",Source_BS!D:D)-SUMIF(Source_BS!$A:$A,"*Fixed Assets*",Source_BS!E:E)</f>
        <v>0</v>
      </c>
      <c r="F20" s="30">
        <f>SUMIF(Source_BS!$A:$A,"*Fixed Assets*",Source_BS!E:E)-SUMIF(Source_BS!$A:$A,"*Fixed Assets*",Source_BS!F:F)</f>
        <v>-50384.999999999884</v>
      </c>
      <c r="G20" s="30">
        <f>SUMIF(Source_BS!$A:$A,"*Fixed Assets*",Source_BS!F:F)-SUMIF(Source_BS!$A:$A,"*Fixed Assets*",Source_BS!G:G)</f>
        <v>-120890</v>
      </c>
      <c r="H20" s="30">
        <f>SUMIF(Source_BS!$A:$A,"*Fixed Assets*",Source_BS!G:G)-SUMIF(Source_BS!$A:$A,"*Fixed Assets*",Source_BS!H:H)</f>
        <v>0</v>
      </c>
      <c r="I20" s="30">
        <f>SUMIF(Source_BS!$A:$A,"*Fixed Assets*",Source_BS!H:H)-SUMIF(Source_BS!$A:$A,"*Fixed Assets*",Source_BS!I:I)</f>
        <v>0</v>
      </c>
      <c r="J20" s="30">
        <f>SUMIF(Source_BS!$A:$A,"*Fixed Assets*",Source_BS!I:I)-SUMIF(Source_BS!$A:$A,"*Fixed Assets*",Source_BS!J:J)</f>
        <v>-91210.610000000335</v>
      </c>
      <c r="K20" s="30">
        <f>SUMIF(Source_BS!$A:$A,"*Fixed Assets*",Source_BS!J:J)-SUMIF(Source_BS!$A:$A,"*Fixed Assets*",Source_BS!K:K)</f>
        <v>-54640.459999999963</v>
      </c>
      <c r="L20" s="30">
        <f>SUMIF(Source_BS!$A:$A,"*Fixed Assets*",Source_BS!K:K)-SUMIF(Source_BS!$A:$A,"*Fixed Assets*",Source_BS!L:L)</f>
        <v>-8913.7599999997765</v>
      </c>
      <c r="M20" s="30">
        <f>SUMIF(Source_BS!$A:$A,"*Fixed Assets*",Source_BS!L:L)-SUMIF(Source_BS!$A:$A,"*Fixed Assets*",Source_BS!M:M)</f>
        <v>266999.89000000013</v>
      </c>
      <c r="N20" s="30"/>
      <c r="O20" s="30">
        <f>SUM(B20:M20)</f>
        <v>-128570.12999999977</v>
      </c>
    </row>
    <row r="21" spans="1:15" x14ac:dyDescent="0.25">
      <c r="A21" s="1" t="s">
        <v>356</v>
      </c>
      <c r="B21" s="30">
        <v>0</v>
      </c>
      <c r="C21" s="30">
        <f>SUMIF(Source_BS!$A:$A,"*Investments*",Source_BS!B:B)-SUMIF(Source_BS!$A:$A,"*Investments*",Source_BS!C:C)</f>
        <v>0</v>
      </c>
      <c r="D21" s="30">
        <f>SUMIF(Source_BS!$A:$A,"*Investments*",Source_BS!C:C)-SUMIF(Source_BS!$A:$A,"*Investments*",Source_BS!D:D)</f>
        <v>0</v>
      </c>
      <c r="E21" s="30">
        <f>SUMIF(Source_BS!$A:$A,"*Investments*",Source_BS!D:D)-SUMIF(Source_BS!$A:$A,"*Investments*",Source_BS!E:E)</f>
        <v>0</v>
      </c>
      <c r="F21" s="30">
        <f>SUMIF(Source_BS!$A:$A,"*Investments*",Source_BS!E:E)-SUMIF(Source_BS!$A:$A,"*Investments*",Source_BS!F:F)</f>
        <v>0</v>
      </c>
      <c r="G21" s="30">
        <f>SUMIF(Source_BS!$A:$A,"*Investments*",Source_BS!F:F)-SUMIF(Source_BS!$A:$A,"*Investments*",Source_BS!G:G)</f>
        <v>0</v>
      </c>
      <c r="H21" s="30">
        <f>SUMIF(Source_BS!$A:$A,"*Investments*",Source_BS!G:G)-SUMIF(Source_BS!$A:$A,"*Investments*",Source_BS!H:H)</f>
        <v>0</v>
      </c>
      <c r="I21" s="30">
        <f>SUMIF(Source_BS!$A:$A,"*Investments*",Source_BS!H:H)-SUMIF(Source_BS!$A:$A,"*Investments*",Source_BS!I:I)</f>
        <v>0</v>
      </c>
      <c r="J21" s="30">
        <f>SUMIF(Source_BS!$A:$A,"*Investments*",Source_BS!I:I)-SUMIF(Source_BS!$A:$A,"*Investments*",Source_BS!J:J)</f>
        <v>0</v>
      </c>
      <c r="K21" s="30">
        <f>SUMIF(Source_BS!$A:$A,"*Investments*",Source_BS!J:J)-SUMIF(Source_BS!$A:$A,"*Investments*",Source_BS!K:K)</f>
        <v>0</v>
      </c>
      <c r="L21" s="30">
        <f>SUMIF(Source_BS!$A:$A,"*Investments*",Source_BS!K:K)-SUMIF(Source_BS!$A:$A,"*Investments*",Source_BS!L:L)</f>
        <v>0</v>
      </c>
      <c r="M21" s="30">
        <f>SUMIF(Source_BS!$A:$A,"*Investments*",Source_BS!L:L)-SUMIF(Source_BS!$A:$A,"*Investments*",Source_BS!M:M)</f>
        <v>0</v>
      </c>
      <c r="N21" s="30"/>
      <c r="O21" s="30">
        <f>SUM(B21:M21)</f>
        <v>0</v>
      </c>
    </row>
    <row r="22" spans="1:15" x14ac:dyDescent="0.25">
      <c r="A22" s="1" t="s">
        <v>357</v>
      </c>
      <c r="B22" s="30">
        <v>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/>
      <c r="O22" s="30">
        <f>SUM(B22:M22)</f>
        <v>0</v>
      </c>
    </row>
    <row r="23" spans="1:15" x14ac:dyDescent="0.25">
      <c r="A23" s="58" t="s">
        <v>358</v>
      </c>
      <c r="B23" s="59">
        <f>SUM(B20:B22)</f>
        <v>0</v>
      </c>
      <c r="C23" s="59">
        <f>SUM(C20:C22)</f>
        <v>-69530.189999999944</v>
      </c>
      <c r="D23" s="59">
        <f>SUM(D20:D22)</f>
        <v>0</v>
      </c>
      <c r="E23" s="59">
        <f>SUM(E20:E22)</f>
        <v>0</v>
      </c>
      <c r="F23" s="59">
        <f>SUM(F20:F22)</f>
        <v>-50384.999999999884</v>
      </c>
      <c r="G23" s="59">
        <f>SUM(G20:G22)</f>
        <v>-120890</v>
      </c>
      <c r="H23" s="59">
        <f>SUM(H20:H22)</f>
        <v>0</v>
      </c>
      <c r="I23" s="59">
        <f>SUM(I20:I22)</f>
        <v>0</v>
      </c>
      <c r="J23" s="59">
        <f>SUM(J20:J22)</f>
        <v>-91210.610000000335</v>
      </c>
      <c r="K23" s="59">
        <f>SUM(K20:K22)</f>
        <v>-54640.459999999963</v>
      </c>
      <c r="L23" s="59">
        <f>SUM(L20:L22)</f>
        <v>-8913.7599999997765</v>
      </c>
      <c r="M23" s="59">
        <f>SUM(M20:M22)</f>
        <v>266999.89000000013</v>
      </c>
      <c r="N23" s="59">
        <f>SUM(N20:N22)</f>
        <v>0</v>
      </c>
      <c r="O23" s="59">
        <f>SUM(O20:O22)</f>
        <v>-128570.12999999977</v>
      </c>
    </row>
    <row r="24" spans="1:15" x14ac:dyDescent="0.25">
      <c r="A24" s="1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2" t="s">
        <v>359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1" t="s">
        <v>360</v>
      </c>
      <c r="B26" s="30">
        <v>0</v>
      </c>
      <c r="C26" s="30">
        <f>SUMIF(Source_BS!$A:$A,"*Line of Credit*",Source_BS!C:C)-SUMIF(Source_BS!$A:$A,"*Line of Credit*",Source_BS!B:B)</f>
        <v>0</v>
      </c>
      <c r="D26" s="30">
        <f>SUMIF(Source_BS!$A:$A,"*Line of Credit*",Source_BS!D:D)-SUMIF(Source_BS!$A:$A,"*Line of Credit*",Source_BS!C:C)</f>
        <v>0</v>
      </c>
      <c r="E26" s="30">
        <f>SUMIF(Source_BS!$A:$A,"*Line of Credit*",Source_BS!E:E)-SUMIF(Source_BS!$A:$A,"*Line of Credit*",Source_BS!D:D)</f>
        <v>0</v>
      </c>
      <c r="F26" s="30">
        <f>SUMIF(Source_BS!$A:$A,"*Line of Credit*",Source_BS!F:F)-SUMIF(Source_BS!$A:$A,"*Line of Credit*",Source_BS!E:E)</f>
        <v>0</v>
      </c>
      <c r="G26" s="30">
        <f>SUMIF(Source_BS!$A:$A,"*Line of Credit*",Source_BS!G:G)-SUMIF(Source_BS!$A:$A,"*Line of Credit*",Source_BS!F:F)</f>
        <v>0</v>
      </c>
      <c r="H26" s="30">
        <f>SUMIF(Source_BS!$A:$A,"*Line of Credit*",Source_BS!H:H)-SUMIF(Source_BS!$A:$A,"*Line of Credit*",Source_BS!G:G)</f>
        <v>0</v>
      </c>
      <c r="I26" s="30">
        <f>SUMIF(Source_BS!$A:$A,"*Line of Credit*",Source_BS!I:I)-SUMIF(Source_BS!$A:$A,"*Line of Credit*",Source_BS!H:H)</f>
        <v>0</v>
      </c>
      <c r="J26" s="30">
        <f>SUMIF(Source_BS!$A:$A,"*Line of Credit*",Source_BS!J:J)-SUMIF(Source_BS!$A:$A,"*Line of Credit*",Source_BS!I:I)</f>
        <v>0</v>
      </c>
      <c r="K26" s="30">
        <f>SUMIF(Source_BS!$A:$A,"*Line of Credit*",Source_BS!K:K)-SUMIF(Source_BS!$A:$A,"*Line of Credit*",Source_BS!J:J)</f>
        <v>0</v>
      </c>
      <c r="L26" s="30">
        <f>SUMIF(Source_BS!$A:$A,"*Line of Credit*",Source_BS!L:L)-SUMIF(Source_BS!$A:$A,"*Line of Credit*",Source_BS!K:K)</f>
        <v>0</v>
      </c>
      <c r="M26" s="30">
        <f>SUMIF(Source_BS!$A:$A,"*Line of Credit*",Source_BS!M:M)-SUMIF(Source_BS!$A:$A,"*Line of Credit*",Source_BS!L:L)</f>
        <v>0</v>
      </c>
      <c r="N26" s="30"/>
      <c r="O26" s="30">
        <f>SUM(B26:M26)</f>
        <v>0</v>
      </c>
    </row>
    <row r="27" spans="1:15" x14ac:dyDescent="0.25">
      <c r="A27" s="1" t="s">
        <v>361</v>
      </c>
      <c r="B27" s="30">
        <v>0</v>
      </c>
      <c r="C27" s="30">
        <f>SUMIF(Source_BS!$A:$A,"*Long-term*",Source_BS!C:C)-SUMIF(Source_BS!$A:$A,"*Long-term*",Source_BS!B:B)</f>
        <v>-7845.0500000000466</v>
      </c>
      <c r="D27" s="30">
        <f>SUMIF(Source_BS!$A:$A,"*Long-term*",Source_BS!D:D)-SUMIF(Source_BS!$A:$A,"*Long-term*",Source_BS!C:C)</f>
        <v>-11423.199999999953</v>
      </c>
      <c r="E27" s="30">
        <f>SUMIF(Source_BS!$A:$A,"*Long-term*",Source_BS!E:E)-SUMIF(Source_BS!$A:$A,"*Long-term*",Source_BS!D:D)</f>
        <v>-9228.609999999986</v>
      </c>
      <c r="F27" s="30">
        <f>SUMIF(Source_BS!$A:$A,"*Long-term*",Source_BS!F:F)-SUMIF(Source_BS!$A:$A,"*Long-term*",Source_BS!E:E)</f>
        <v>40781.479999999865</v>
      </c>
      <c r="G27" s="30">
        <f>SUMIF(Source_BS!$A:$A,"*Long-term*",Source_BS!G:G)-SUMIF(Source_BS!$A:$A,"*Long-term*",Source_BS!F:F)</f>
        <v>112576.15000000014</v>
      </c>
      <c r="H27" s="30">
        <f>SUMIF(Source_BS!$A:$A,"*Long-term*",Source_BS!H:H)-SUMIF(Source_BS!$A:$A,"*Long-term*",Source_BS!G:G)</f>
        <v>-11491.600000000093</v>
      </c>
      <c r="I27" s="30">
        <f>SUMIF(Source_BS!$A:$A,"*Long-term*",Source_BS!I:I)-SUMIF(Source_BS!$A:$A,"*Long-term*",Source_BS!H:H)</f>
        <v>-10616.470000000205</v>
      </c>
      <c r="J27" s="30">
        <f>SUMIF(Source_BS!$A:$A,"*Long-term*",Source_BS!J:J)-SUMIF(Source_BS!$A:$A,"*Long-term*",Source_BS!I:I)</f>
        <v>69863.330000000075</v>
      </c>
      <c r="K27" s="30">
        <f>SUMIF(Source_BS!$A:$A,"*Long-term*",Source_BS!K:K)-SUMIF(Source_BS!$A:$A,"*Long-term*",Source_BS!J:J)</f>
        <v>-13590.239999999758</v>
      </c>
      <c r="L27" s="30">
        <f>SUMIF(Source_BS!$A:$A,"*Long-term*",Source_BS!L:L)-SUMIF(Source_BS!$A:$A,"*Long-term*",Source_BS!K:K)</f>
        <v>-12083.750000000233</v>
      </c>
      <c r="M27" s="30">
        <f>SUMIF(Source_BS!$A:$A,"*Long-term*",Source_BS!M:M)-SUMIF(Source_BS!$A:$A,"*Long-term*",Source_BS!L:L)</f>
        <v>2466.0200000000186</v>
      </c>
      <c r="N27" s="30"/>
      <c r="O27" s="30">
        <f>SUM(B27:M27)</f>
        <v>149408.05999999982</v>
      </c>
    </row>
    <row r="28" spans="1:15" x14ac:dyDescent="0.25">
      <c r="A28" s="1" t="s">
        <v>362</v>
      </c>
      <c r="B28" s="30">
        <v>0</v>
      </c>
      <c r="C28" s="30">
        <f>SUMIF(Source_BS!$A:$A,"*Contributed Capital*",Source_BS!C:C)-SUMIF(Source_BS!$A:$A,"*Contributed Capital*",Source_BS!B:B)</f>
        <v>0</v>
      </c>
      <c r="D28" s="30">
        <f>SUMIF(Source_BS!$A:$A,"*Contributed Capital*",Source_BS!D:D)-SUMIF(Source_BS!$A:$A,"*Contributed Capital*",Source_BS!C:C)</f>
        <v>0</v>
      </c>
      <c r="E28" s="30">
        <f>SUMIF(Source_BS!$A:$A,"*Contributed Capital*",Source_BS!E:E)-SUMIF(Source_BS!$A:$A,"*Contributed Capital*",Source_BS!D:D)</f>
        <v>0</v>
      </c>
      <c r="F28" s="30">
        <f>SUMIF(Source_BS!$A:$A,"*Contributed Capital*",Source_BS!F:F)-SUMIF(Source_BS!$A:$A,"*Contributed Capital*",Source_BS!E:E)</f>
        <v>0</v>
      </c>
      <c r="G28" s="30">
        <f>SUMIF(Source_BS!$A:$A,"*Contributed Capital*",Source_BS!G:G)-SUMIF(Source_BS!$A:$A,"*Contributed Capital*",Source_BS!F:F)</f>
        <v>0</v>
      </c>
      <c r="H28" s="30">
        <f>SUMIF(Source_BS!$A:$A,"*Contributed Capital*",Source_BS!H:H)-SUMIF(Source_BS!$A:$A,"*Contributed Capital*",Source_BS!G:G)</f>
        <v>0</v>
      </c>
      <c r="I28" s="30">
        <f>SUMIF(Source_BS!$A:$A,"*Contributed Capital*",Source_BS!I:I)-SUMIF(Source_BS!$A:$A,"*Contributed Capital*",Source_BS!H:H)</f>
        <v>0</v>
      </c>
      <c r="J28" s="30">
        <f>SUMIF(Source_BS!$A:$A,"*Contributed Capital*",Source_BS!J:J)-SUMIF(Source_BS!$A:$A,"*Contributed Capital*",Source_BS!I:I)</f>
        <v>0</v>
      </c>
      <c r="K28" s="30">
        <f>SUMIF(Source_BS!$A:$A,"*Contributed Capital*",Source_BS!K:K)-SUMIF(Source_BS!$A:$A,"*Contributed Capital*",Source_BS!J:J)</f>
        <v>0</v>
      </c>
      <c r="L28" s="30">
        <f>SUMIF(Source_BS!$A:$A,"*Contributed Capital*",Source_BS!L:L)-SUMIF(Source_BS!$A:$A,"*Contributed Capital*",Source_BS!K:K)</f>
        <v>0</v>
      </c>
      <c r="M28" s="30">
        <f>SUMIF(Source_BS!$A:$A,"*Contributed Capital*",Source_BS!M:M)-SUMIF(Source_BS!$A:$A,"*Contributed Capital*",Source_BS!L:L)</f>
        <v>0</v>
      </c>
      <c r="N28" s="30"/>
      <c r="O28" s="30">
        <f>SUM(B28:M28)</f>
        <v>0</v>
      </c>
    </row>
    <row r="29" spans="1:15" x14ac:dyDescent="0.25">
      <c r="A29" s="1" t="s">
        <v>363</v>
      </c>
      <c r="B29" s="30">
        <v>0</v>
      </c>
      <c r="C29" s="30">
        <f>SUMIF(Source_BS!$A:$A,"*Distribution*",Source_BS!C:C)-SUMIF(Source_BS!$A:$A,"*Distribution*",Source_BS!B:B)</f>
        <v>0</v>
      </c>
      <c r="D29" s="30">
        <f>SUMIF(Source_BS!$A:$A,"*Distribution*",Source_BS!D:D)-SUMIF(Source_BS!$A:$A,"*Distribution*",Source_BS!C:C)</f>
        <v>43.919999999983702</v>
      </c>
      <c r="E29" s="30">
        <f>SUMIF(Source_BS!$A:$A,"*Distribution*",Source_BS!E:E)-SUMIF(Source_BS!$A:$A,"*Distribution*",Source_BS!D:D)</f>
        <v>0</v>
      </c>
      <c r="F29" s="30">
        <f>SUMIF(Source_BS!$A:$A,"*Distribution*",Source_BS!F:F)-SUMIF(Source_BS!$A:$A,"*Distribution*",Source_BS!E:E)</f>
        <v>-1000</v>
      </c>
      <c r="G29" s="30">
        <f>SUMIF(Source_BS!$A:$A,"*Distribution*",Source_BS!G:G)-SUMIF(Source_BS!$A:$A,"*Distribution*",Source_BS!F:F)</f>
        <v>8094.429999999993</v>
      </c>
      <c r="H29" s="30">
        <f>SUMIF(Source_BS!$A:$A,"*Distribution*",Source_BS!H:H)-SUMIF(Source_BS!$A:$A,"*Distribution*",Source_BS!G:G)</f>
        <v>14000</v>
      </c>
      <c r="I29" s="30">
        <f>SUMIF(Source_BS!$A:$A,"*Distribution*",Source_BS!I:I)-SUMIF(Source_BS!$A:$A,"*Distribution*",Source_BS!H:H)</f>
        <v>0</v>
      </c>
      <c r="J29" s="30">
        <f>SUMIF(Source_BS!$A:$A,"*Distribution*",Source_BS!J:J)-SUMIF(Source_BS!$A:$A,"*Distribution*",Source_BS!I:I)</f>
        <v>0</v>
      </c>
      <c r="K29" s="30">
        <f>SUMIF(Source_BS!$A:$A,"*Distribution*",Source_BS!K:K)-SUMIF(Source_BS!$A:$A,"*Distribution*",Source_BS!J:J)</f>
        <v>0</v>
      </c>
      <c r="L29" s="30">
        <f>SUMIF(Source_BS!$A:$A,"*Distribution*",Source_BS!L:L)-SUMIF(Source_BS!$A:$A,"*Distribution*",Source_BS!K:K)</f>
        <v>0</v>
      </c>
      <c r="M29" s="30">
        <f>SUMIF(Source_BS!$A:$A,"*Distribution*",Source_BS!M:M)-SUMIF(Source_BS!$A:$A,"*Distribution*",Source_BS!L:L)</f>
        <v>31332.669999999984</v>
      </c>
      <c r="N29" s="30"/>
      <c r="O29" s="30">
        <f>SUM(B29:M29)</f>
        <v>52471.01999999996</v>
      </c>
    </row>
    <row r="30" spans="1:15" x14ac:dyDescent="0.25">
      <c r="A30" s="58" t="s">
        <v>364</v>
      </c>
      <c r="B30" s="59">
        <f>SUM(B26:B29)</f>
        <v>0</v>
      </c>
      <c r="C30" s="59">
        <f>SUM(C26:C29)</f>
        <v>-7845.0500000000466</v>
      </c>
      <c r="D30" s="59">
        <f>SUM(D26:D29)</f>
        <v>-11379.27999999997</v>
      </c>
      <c r="E30" s="59">
        <f>SUM(E26:E29)</f>
        <v>-9228.609999999986</v>
      </c>
      <c r="F30" s="59">
        <f>SUM(F26:F29)</f>
        <v>39781.479999999865</v>
      </c>
      <c r="G30" s="59">
        <f>SUM(G26:G29)</f>
        <v>120670.58000000013</v>
      </c>
      <c r="H30" s="59">
        <f>SUM(H26:H29)</f>
        <v>2508.3999999999069</v>
      </c>
      <c r="I30" s="59">
        <f>SUM(I26:I29)</f>
        <v>-10616.470000000205</v>
      </c>
      <c r="J30" s="59">
        <f>SUM(J26:J29)</f>
        <v>69863.330000000075</v>
      </c>
      <c r="K30" s="59">
        <f>SUM(K26:K29)</f>
        <v>-13590.239999999758</v>
      </c>
      <c r="L30" s="59">
        <f>SUM(L26:L29)</f>
        <v>-12083.750000000233</v>
      </c>
      <c r="M30" s="59">
        <f>SUM(M26:M29)</f>
        <v>33798.69</v>
      </c>
      <c r="N30" s="59">
        <f>SUM(N26:N29)</f>
        <v>0</v>
      </c>
      <c r="O30" s="59">
        <f>SUM(O26:O29)</f>
        <v>201879.07999999978</v>
      </c>
    </row>
    <row r="31" spans="1:15" ht="15.75" thickBot="1" x14ac:dyDescent="0.3">
      <c r="A31" s="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5.75" thickBot="1" x14ac:dyDescent="0.3">
      <c r="A32" s="38" t="s">
        <v>365</v>
      </c>
      <c r="B32" s="60">
        <f>B17+B23+B30</f>
        <v>-540469.17999999993</v>
      </c>
      <c r="C32" s="60">
        <f>C17+C23+C30</f>
        <v>-95436.399999999878</v>
      </c>
      <c r="D32" s="60">
        <f>D17+D23+D30</f>
        <v>245846.43000000005</v>
      </c>
      <c r="E32" s="60">
        <f>E17+E23+E30</f>
        <v>-92468.900000000009</v>
      </c>
      <c r="F32" s="60">
        <f>F17+F23+F30</f>
        <v>16804.229999999981</v>
      </c>
      <c r="G32" s="60">
        <f>G17+G23+G30</f>
        <v>-142797.01999999984</v>
      </c>
      <c r="H32" s="60">
        <f>H17+H23+H30</f>
        <v>36751.350000000035</v>
      </c>
      <c r="I32" s="60">
        <f>I17+I23+I30</f>
        <v>-4155.9800000003306</v>
      </c>
      <c r="J32" s="60">
        <f>J17+J23+J30</f>
        <v>76415.109999999753</v>
      </c>
      <c r="K32" s="60">
        <f>K17+K23+K30</f>
        <v>-128008.72999999969</v>
      </c>
      <c r="L32" s="60">
        <f>L17+L23+L30</f>
        <v>108429.54999999999</v>
      </c>
      <c r="M32" s="60">
        <f>M17+M23+M30</f>
        <v>117330.98999999999</v>
      </c>
      <c r="N32" s="60">
        <f>N17+N23+N30</f>
        <v>0</v>
      </c>
      <c r="O32" s="60">
        <f>O17+O23+O30</f>
        <v>-401758.54999999987</v>
      </c>
    </row>
    <row r="33" spans="1:15" ht="15.75" thickTop="1" x14ac:dyDescent="0.25">
      <c r="A33" s="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ht="15.75" thickBot="1" x14ac:dyDescent="0.3">
      <c r="A34" s="1" t="s">
        <v>366</v>
      </c>
      <c r="B34" s="30">
        <f>SUMIF(Source_BS!$A:$A,"*Bank Accounts*",Source_BS!B:B)</f>
        <v>313403.98</v>
      </c>
      <c r="C34" s="30">
        <f>SUMIF(Source_BS!$A:$A,"*Bank Accounts*",Source_BS!B:B)</f>
        <v>313403.98</v>
      </c>
      <c r="D34" s="30">
        <f>SUMIF(Source_BS!$A:$A,"*Bank Accounts*",Source_BS!C:C)</f>
        <v>195849.93000000002</v>
      </c>
      <c r="E34" s="30">
        <f>SUMIF(Source_BS!$A:$A,"*Bank Accounts*",Source_BS!D:D)</f>
        <v>391811.53000000009</v>
      </c>
      <c r="F34" s="30">
        <f>SUMIF(Source_BS!$A:$A,"*Bank Accounts*",Source_BS!E:E)</f>
        <v>293335.58</v>
      </c>
      <c r="G34" s="30">
        <f>SUMIF(Source_BS!$A:$A,"*Bank Accounts*",Source_BS!F:F)</f>
        <v>320775.02000000008</v>
      </c>
      <c r="H34" s="30">
        <f>SUMIF(Source_BS!$A:$A,"*Bank Accounts*",Source_BS!G:G)</f>
        <v>197483.93000000005</v>
      </c>
      <c r="I34" s="30">
        <f>SUMIF(Source_BS!$A:$A,"*Bank Accounts*",Source_BS!H:H)</f>
        <v>260554.57000000007</v>
      </c>
      <c r="J34" s="30">
        <f>SUMIF(Source_BS!$A:$A,"*Bank Accounts*",Source_BS!I:I)</f>
        <v>229403.60000000006</v>
      </c>
      <c r="K34" s="30">
        <f>SUMIF(Source_BS!$A:$A,"*Bank Accounts*",Source_BS!J:J)</f>
        <v>318006.85000000009</v>
      </c>
      <c r="L34" s="30">
        <f>SUMIF(Source_BS!$A:$A,"*Bank Accounts*",Source_BS!K:K)</f>
        <v>198610.31000000006</v>
      </c>
      <c r="M34" s="30">
        <f>SUMIF(Source_BS!$A:$A,"*Bank Accounts*",Source_BS!L:L)</f>
        <v>272113.34000000008</v>
      </c>
      <c r="N34" s="30"/>
      <c r="O34" s="30">
        <f>SUM(B34:M34)</f>
        <v>3304752.620000001</v>
      </c>
    </row>
    <row r="35" spans="1:15" ht="15.75" thickBot="1" x14ac:dyDescent="0.3">
      <c r="A35" s="38" t="s">
        <v>367</v>
      </c>
      <c r="B35" s="60">
        <f>B34+B32</f>
        <v>-227065.19999999995</v>
      </c>
      <c r="C35" s="60">
        <f>C34+C32</f>
        <v>217967.5800000001</v>
      </c>
      <c r="D35" s="60">
        <f>D34+D32</f>
        <v>441696.3600000001</v>
      </c>
      <c r="E35" s="60">
        <f>E34+E32</f>
        <v>299342.63000000006</v>
      </c>
      <c r="F35" s="60">
        <f>F34+F32</f>
        <v>310139.81</v>
      </c>
      <c r="G35" s="60">
        <f>G34+G32</f>
        <v>177978.00000000023</v>
      </c>
      <c r="H35" s="60">
        <f>H34+H32</f>
        <v>234235.28000000009</v>
      </c>
      <c r="I35" s="60">
        <f>I34+I32</f>
        <v>256398.58999999973</v>
      </c>
      <c r="J35" s="60">
        <f>J34+J32</f>
        <v>305818.70999999985</v>
      </c>
      <c r="K35" s="60">
        <f>K34+K32</f>
        <v>189998.1200000004</v>
      </c>
      <c r="L35" s="60">
        <f>L34+L32</f>
        <v>307039.86000000004</v>
      </c>
      <c r="M35" s="60">
        <f>M34+M32</f>
        <v>389444.33000000007</v>
      </c>
      <c r="N35" s="60">
        <f>N34+N32</f>
        <v>0</v>
      </c>
      <c r="O35" s="60">
        <f>O34+O32</f>
        <v>2902994.0700000012</v>
      </c>
    </row>
    <row r="36" spans="1:15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3FAF-CB7C-4F33-B38E-197A3F7030B6}">
  <sheetPr codeName="Sheet7"/>
  <dimension ref="A1:C21"/>
  <sheetViews>
    <sheetView workbookViewId="0"/>
  </sheetViews>
  <sheetFormatPr defaultRowHeight="15" x14ac:dyDescent="0.25"/>
  <cols>
    <col min="1" max="1" width="40.7109375" customWidth="1"/>
    <col min="2" max="2" width="15.7109375" customWidth="1"/>
    <col min="3" max="3" width="60.7109375" customWidth="1"/>
  </cols>
  <sheetData>
    <row r="1" spans="1:3" x14ac:dyDescent="0.25">
      <c r="A1" s="17" t="s">
        <v>0</v>
      </c>
      <c r="B1" s="17" t="s">
        <v>4</v>
      </c>
      <c r="C1" s="17" t="s">
        <v>5</v>
      </c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</sheetData>
  <dataValidations count="2">
    <dataValidation type="list" allowBlank="1" showInputMessage="1" showErrorMessage="1" sqref="A2 A3 A4 A5 A6 A7 A8 A9 A10 A11 A12 A13 A14 A15 A16 A17 A18 A19 A20 A21" xr:uid="{4B8FDE84-8C41-4F0C-80DE-CE14FDD573D7}">
      <formula1>"Income,4000 Service Revenue,4001 Quoted Revenue,4002 T&amp;M Revenue,4003 Rental Revenue,4004 Late Fee Income,4005 Discounts given,4006 Sales Income,4007 Training Classes Revenue,Total for 4000 Service Revenue,4050 Dividend Income,4990 Unapplied Cash Payment "</formula1>
    </dataValidation>
    <dataValidation type="list" allowBlank="1" showInputMessage="1" showErrorMessage="1" sqref="B2 B3 B4 B5 B6 B7 B8 B9 B10 B11 B12 B13 B14 B15 B16 B17 B18 B19 B20 B21" xr:uid="{219C06A5-8DFF-4959-B357-5F19482D821B}">
      <formula1>"Jan-2024,Feb-2024,Mar-2024,Apr-2024,May-2024,Jun-2024,Jul-2024,Aug-2024,Sep-2024,Oct-2024,Nov-2024,Dec-2024"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E93C-A346-4F9E-8665-6929A0F7F6CB}">
  <sheetPr codeName="Sheet2">
    <tabColor rgb="FF000000"/>
  </sheetPr>
  <dimension ref="A1:M102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6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7</v>
      </c>
      <c r="B3" s="7">
        <v>161373.18</v>
      </c>
      <c r="C3" s="7">
        <v>121704</v>
      </c>
      <c r="D3" s="7">
        <v>711615.3</v>
      </c>
      <c r="E3" s="7">
        <v>184733.67</v>
      </c>
      <c r="F3" s="7">
        <v>64915.92</v>
      </c>
      <c r="G3" s="7">
        <v>26798</v>
      </c>
      <c r="H3" s="7">
        <v>0</v>
      </c>
      <c r="I3" s="7">
        <v>0</v>
      </c>
      <c r="J3" s="7">
        <v>0</v>
      </c>
      <c r="K3" s="7">
        <v>22701.33</v>
      </c>
      <c r="L3" s="7">
        <v>0</v>
      </c>
      <c r="M3" s="7">
        <v>0</v>
      </c>
    </row>
    <row r="4" spans="1:13" x14ac:dyDescent="0.25">
      <c r="A4" s="1" t="s">
        <v>8</v>
      </c>
      <c r="B4" s="7">
        <v>0</v>
      </c>
      <c r="C4" s="7">
        <v>0</v>
      </c>
      <c r="D4" s="7">
        <v>0</v>
      </c>
      <c r="E4" s="7">
        <v>31071</v>
      </c>
      <c r="F4" s="7">
        <v>325952.78000000003</v>
      </c>
      <c r="G4" s="7">
        <v>112476.44</v>
      </c>
      <c r="H4" s="7">
        <v>319502.03000000003</v>
      </c>
      <c r="I4" s="7">
        <v>520745.67</v>
      </c>
      <c r="J4" s="7">
        <v>191940.76</v>
      </c>
      <c r="K4" s="7">
        <v>151783.79999999999</v>
      </c>
      <c r="L4" s="7">
        <v>445540.71</v>
      </c>
      <c r="M4" s="7">
        <v>536248.32999999996</v>
      </c>
    </row>
    <row r="5" spans="1:13" x14ac:dyDescent="0.25">
      <c r="A5" s="1" t="s">
        <v>9</v>
      </c>
      <c r="B5" s="7">
        <v>0</v>
      </c>
      <c r="C5" s="7">
        <v>0</v>
      </c>
      <c r="D5" s="7">
        <v>0</v>
      </c>
      <c r="E5" s="7">
        <v>0</v>
      </c>
      <c r="F5" s="7">
        <v>1660</v>
      </c>
      <c r="G5" s="7">
        <v>116167.77</v>
      </c>
      <c r="H5" s="7">
        <v>115009.68</v>
      </c>
      <c r="I5" s="7">
        <v>48829.04</v>
      </c>
      <c r="J5" s="7">
        <v>246378.58</v>
      </c>
      <c r="K5" s="7">
        <v>147682.63</v>
      </c>
      <c r="L5" s="7">
        <v>147019.51999999999</v>
      </c>
      <c r="M5" s="7">
        <v>179550</v>
      </c>
    </row>
    <row r="6" spans="1:13" x14ac:dyDescent="0.25">
      <c r="A6" s="1" t="s">
        <v>10</v>
      </c>
      <c r="B6" s="7">
        <v>4575</v>
      </c>
      <c r="C6" s="7">
        <v>0</v>
      </c>
      <c r="D6" s="7">
        <v>0</v>
      </c>
      <c r="E6" s="7">
        <v>0</v>
      </c>
      <c r="F6" s="7">
        <v>0</v>
      </c>
      <c r="G6" s="7">
        <v>9000</v>
      </c>
      <c r="H6" s="7">
        <v>0</v>
      </c>
      <c r="I6" s="7">
        <v>1607.77</v>
      </c>
      <c r="J6" s="7">
        <v>0</v>
      </c>
      <c r="K6" s="7">
        <v>0</v>
      </c>
      <c r="L6" s="7">
        <v>0</v>
      </c>
      <c r="M6" s="7">
        <v>0</v>
      </c>
    </row>
    <row r="7" spans="1:13" x14ac:dyDescent="0.25">
      <c r="A7" s="1" t="s">
        <v>11</v>
      </c>
      <c r="B7" s="7">
        <v>2.2200000000000002</v>
      </c>
      <c r="C7" s="7">
        <v>156.22</v>
      </c>
      <c r="D7" s="7">
        <v>214.52</v>
      </c>
      <c r="E7" s="7">
        <v>97.66</v>
      </c>
      <c r="F7" s="7">
        <v>111.99</v>
      </c>
      <c r="G7" s="7">
        <v>401.97</v>
      </c>
      <c r="H7" s="7">
        <v>40.5</v>
      </c>
      <c r="I7" s="7">
        <v>241.12</v>
      </c>
      <c r="J7" s="7">
        <v>0</v>
      </c>
      <c r="K7" s="7">
        <v>0</v>
      </c>
      <c r="L7" s="7">
        <v>485.92</v>
      </c>
      <c r="M7" s="7">
        <v>0</v>
      </c>
    </row>
    <row r="8" spans="1:13" x14ac:dyDescent="0.25">
      <c r="A8" s="1" t="s">
        <v>12</v>
      </c>
      <c r="B8" s="7">
        <v>-826.65</v>
      </c>
      <c r="C8" s="7">
        <v>-101.12</v>
      </c>
      <c r="D8" s="7">
        <v>-438.4</v>
      </c>
      <c r="E8" s="7">
        <v>-623.87</v>
      </c>
      <c r="F8" s="7">
        <v>-1056.2</v>
      </c>
      <c r="G8" s="7">
        <v>-22.2</v>
      </c>
      <c r="H8" s="7">
        <v>-846.7</v>
      </c>
      <c r="I8" s="7">
        <v>-419.42</v>
      </c>
      <c r="J8" s="7">
        <v>-392.82</v>
      </c>
      <c r="K8" s="7">
        <v>0</v>
      </c>
      <c r="L8" s="7">
        <v>-1824.96</v>
      </c>
      <c r="M8" s="7">
        <v>0</v>
      </c>
    </row>
    <row r="9" spans="1:13" x14ac:dyDescent="0.25">
      <c r="A9" s="1" t="s">
        <v>13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7000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</row>
    <row r="10" spans="1:13" x14ac:dyDescent="0.25">
      <c r="A10" s="1" t="s">
        <v>14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5600</v>
      </c>
      <c r="I10" s="7">
        <v>5500</v>
      </c>
      <c r="J10" s="7">
        <v>0</v>
      </c>
      <c r="K10" s="7">
        <v>0</v>
      </c>
      <c r="L10" s="7">
        <v>4500</v>
      </c>
      <c r="M10" s="7">
        <v>0</v>
      </c>
    </row>
    <row r="11" spans="1:13" x14ac:dyDescent="0.25">
      <c r="A11" s="1" t="s">
        <v>15</v>
      </c>
      <c r="B11" s="7">
        <v>165123.75</v>
      </c>
      <c r="C11" s="7">
        <v>121759.1</v>
      </c>
      <c r="D11" s="7">
        <v>711391.42</v>
      </c>
      <c r="E11" s="7">
        <v>215278.46000000002</v>
      </c>
      <c r="F11" s="7">
        <v>391584.49</v>
      </c>
      <c r="G11" s="7">
        <v>271821.98</v>
      </c>
      <c r="H11" s="7">
        <v>439305.51</v>
      </c>
      <c r="I11" s="7">
        <v>576504.17999999993</v>
      </c>
      <c r="J11" s="7">
        <v>437926.51999999996</v>
      </c>
      <c r="K11" s="7">
        <v>322167.76</v>
      </c>
      <c r="L11" s="7">
        <v>595721.19000000006</v>
      </c>
      <c r="M11" s="7">
        <v>715798.33</v>
      </c>
    </row>
    <row r="12" spans="1:13" x14ac:dyDescent="0.25">
      <c r="A12" s="1" t="s">
        <v>16</v>
      </c>
      <c r="B12" s="7">
        <v>0</v>
      </c>
      <c r="C12" s="7">
        <v>0</v>
      </c>
      <c r="D12" s="7">
        <v>0</v>
      </c>
      <c r="E12" s="7">
        <v>1755.1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</row>
    <row r="13" spans="1:13" x14ac:dyDescent="0.25">
      <c r="A13" s="1" t="s">
        <v>17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1607.77</v>
      </c>
      <c r="I13" s="7">
        <v>-1607.77</v>
      </c>
      <c r="J13" s="7">
        <v>18338.400000000001</v>
      </c>
      <c r="K13" s="7">
        <v>0</v>
      </c>
      <c r="L13" s="7">
        <v>0</v>
      </c>
      <c r="M13" s="7">
        <v>0</v>
      </c>
    </row>
    <row r="14" spans="1:13" x14ac:dyDescent="0.25">
      <c r="A14" s="1" t="s">
        <v>18</v>
      </c>
      <c r="B14" s="7">
        <v>165123.75</v>
      </c>
      <c r="C14" s="7">
        <v>121759.1</v>
      </c>
      <c r="D14" s="7">
        <v>711391.42</v>
      </c>
      <c r="E14" s="7">
        <v>217033.56000000003</v>
      </c>
      <c r="F14" s="7">
        <v>391584.49</v>
      </c>
      <c r="G14" s="7">
        <v>271821.98</v>
      </c>
      <c r="H14" s="7">
        <v>440913.28</v>
      </c>
      <c r="I14" s="7">
        <v>574896.40999999992</v>
      </c>
      <c r="J14" s="7">
        <v>456264.92</v>
      </c>
      <c r="K14" s="7">
        <v>322167.76</v>
      </c>
      <c r="L14" s="7">
        <v>595721.19000000006</v>
      </c>
      <c r="M14" s="7">
        <v>715798.33</v>
      </c>
    </row>
    <row r="15" spans="1:13" x14ac:dyDescent="0.25">
      <c r="A15" s="1" t="s">
        <v>19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20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21</v>
      </c>
      <c r="B17" s="7">
        <v>401918.85</v>
      </c>
      <c r="C17" s="7">
        <v>31195.59</v>
      </c>
      <c r="D17" s="7">
        <v>3264.86</v>
      </c>
      <c r="E17" s="7">
        <v>1202.5899999999999</v>
      </c>
      <c r="F17" s="7">
        <v>26179.84</v>
      </c>
      <c r="G17" s="7">
        <v>2183.17</v>
      </c>
      <c r="H17" s="7">
        <v>86573.09</v>
      </c>
      <c r="I17" s="7">
        <v>181803.62</v>
      </c>
      <c r="J17" s="7">
        <v>31916.93</v>
      </c>
      <c r="K17" s="7">
        <v>55094.11</v>
      </c>
      <c r="L17" s="7">
        <v>8163.62</v>
      </c>
      <c r="M17" s="7">
        <v>9893.92</v>
      </c>
    </row>
    <row r="18" spans="1:13" x14ac:dyDescent="0.25">
      <c r="A18" s="1" t="s">
        <v>22</v>
      </c>
      <c r="B18" s="7">
        <v>0</v>
      </c>
      <c r="C18" s="7">
        <v>0</v>
      </c>
      <c r="D18" s="7">
        <v>0</v>
      </c>
      <c r="E18" s="7">
        <v>0</v>
      </c>
      <c r="F18" s="7">
        <v>302.47000000000003</v>
      </c>
      <c r="G18" s="7">
        <v>241.17</v>
      </c>
      <c r="H18" s="7">
        <v>30.68</v>
      </c>
      <c r="I18" s="7">
        <v>3923.93</v>
      </c>
      <c r="J18" s="7">
        <v>2356.0300000000002</v>
      </c>
      <c r="K18" s="7">
        <v>4023.39</v>
      </c>
      <c r="L18" s="7">
        <v>4053.9</v>
      </c>
      <c r="M18" s="7">
        <v>4508.6400000000003</v>
      </c>
    </row>
    <row r="19" spans="1:13" x14ac:dyDescent="0.25">
      <c r="A19" s="1" t="s">
        <v>23</v>
      </c>
      <c r="B19" s="7">
        <v>0</v>
      </c>
      <c r="C19" s="7">
        <v>0</v>
      </c>
      <c r="D19" s="7">
        <v>0</v>
      </c>
      <c r="E19" s="7">
        <v>0</v>
      </c>
      <c r="F19" s="7">
        <v>185.84</v>
      </c>
      <c r="G19" s="7">
        <v>324.89</v>
      </c>
      <c r="H19" s="7">
        <v>0</v>
      </c>
      <c r="I19" s="7">
        <v>494.4</v>
      </c>
      <c r="J19" s="7">
        <v>468.35</v>
      </c>
      <c r="K19" s="7">
        <v>1434.67</v>
      </c>
      <c r="L19" s="7">
        <v>542.66999999999996</v>
      </c>
      <c r="M19" s="7">
        <v>283.56</v>
      </c>
    </row>
    <row r="20" spans="1:13" x14ac:dyDescent="0.25">
      <c r="A20" s="1" t="s">
        <v>24</v>
      </c>
      <c r="B20" s="7">
        <v>5182.87</v>
      </c>
      <c r="C20" s="7">
        <v>0</v>
      </c>
      <c r="D20" s="7">
        <v>0</v>
      </c>
      <c r="E20" s="7">
        <v>0</v>
      </c>
      <c r="F20" s="7">
        <v>2767.82</v>
      </c>
      <c r="G20" s="7">
        <v>3881.24</v>
      </c>
      <c r="H20" s="7">
        <v>-36.33</v>
      </c>
      <c r="I20" s="7">
        <v>37151.33</v>
      </c>
      <c r="J20" s="7">
        <v>17953.62</v>
      </c>
      <c r="K20" s="7">
        <v>11235.63</v>
      </c>
      <c r="L20" s="7">
        <v>9555.0300000000007</v>
      </c>
      <c r="M20" s="7">
        <v>7321.74</v>
      </c>
    </row>
    <row r="21" spans="1:13" x14ac:dyDescent="0.25">
      <c r="A21" s="1" t="s">
        <v>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229.83</v>
      </c>
      <c r="J21" s="7">
        <v>0</v>
      </c>
      <c r="K21" s="7">
        <v>0</v>
      </c>
      <c r="L21" s="7">
        <v>187</v>
      </c>
      <c r="M21" s="7">
        <v>518.41</v>
      </c>
    </row>
    <row r="22" spans="1:13" x14ac:dyDescent="0.25">
      <c r="A22" s="1" t="s">
        <v>26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36895.97</v>
      </c>
      <c r="J22" s="7">
        <v>82264.639999999999</v>
      </c>
      <c r="K22" s="7">
        <v>91277.73</v>
      </c>
      <c r="L22" s="7">
        <v>107220.78</v>
      </c>
      <c r="M22" s="7">
        <v>92045.01</v>
      </c>
    </row>
    <row r="23" spans="1:13" x14ac:dyDescent="0.25">
      <c r="A23" s="1" t="s">
        <v>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1624.16</v>
      </c>
      <c r="J23" s="7">
        <v>0</v>
      </c>
      <c r="K23" s="7">
        <v>0</v>
      </c>
      <c r="L23" s="7">
        <v>3860.32</v>
      </c>
      <c r="M23" s="7">
        <v>14913.4</v>
      </c>
    </row>
    <row r="24" spans="1:13" x14ac:dyDescent="0.25">
      <c r="A24" s="1" t="s">
        <v>28</v>
      </c>
      <c r="B24" s="7">
        <v>25016.17</v>
      </c>
      <c r="C24" s="7">
        <v>10828.69</v>
      </c>
      <c r="D24" s="7">
        <v>46382.95</v>
      </c>
      <c r="E24" s="7">
        <v>2355.8200000000002</v>
      </c>
      <c r="F24" s="7">
        <v>3706</v>
      </c>
      <c r="G24" s="7">
        <v>0</v>
      </c>
      <c r="H24" s="7">
        <v>37406.730000000003</v>
      </c>
      <c r="I24" s="7">
        <v>46830.06</v>
      </c>
      <c r="J24" s="7">
        <v>16346.46</v>
      </c>
      <c r="K24" s="7">
        <v>26496.23</v>
      </c>
      <c r="L24" s="7">
        <v>71496.83</v>
      </c>
      <c r="M24" s="7">
        <v>95055.43</v>
      </c>
    </row>
    <row r="25" spans="1:13" x14ac:dyDescent="0.25">
      <c r="A25" s="1" t="s">
        <v>29</v>
      </c>
      <c r="B25" s="7">
        <v>0</v>
      </c>
      <c r="C25" s="7">
        <v>0</v>
      </c>
      <c r="D25" s="7">
        <v>0</v>
      </c>
      <c r="E25" s="7">
        <v>0</v>
      </c>
      <c r="F25" s="7">
        <v>300</v>
      </c>
      <c r="G25" s="7">
        <v>300</v>
      </c>
      <c r="H25" s="7">
        <v>0</v>
      </c>
      <c r="I25" s="7">
        <v>0</v>
      </c>
      <c r="J25" s="7">
        <v>0</v>
      </c>
      <c r="K25" s="7">
        <v>0</v>
      </c>
      <c r="L25" s="7">
        <v>5700</v>
      </c>
      <c r="M25" s="7">
        <v>0</v>
      </c>
    </row>
    <row r="26" spans="1:13" x14ac:dyDescent="0.25">
      <c r="A26" s="1" t="s">
        <v>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5167.5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</row>
    <row r="27" spans="1:13" x14ac:dyDescent="0.25">
      <c r="A27" s="1" t="s">
        <v>31</v>
      </c>
      <c r="B27" s="7">
        <v>432117.88999999996</v>
      </c>
      <c r="C27" s="7">
        <v>42024.28</v>
      </c>
      <c r="D27" s="7">
        <v>49647.81</v>
      </c>
      <c r="E27" s="7">
        <v>3558.41</v>
      </c>
      <c r="F27" s="7">
        <v>33441.97</v>
      </c>
      <c r="G27" s="7">
        <v>6930.4699999999993</v>
      </c>
      <c r="H27" s="7">
        <v>129141.66999999998</v>
      </c>
      <c r="I27" s="7">
        <v>308953.29999999993</v>
      </c>
      <c r="J27" s="7">
        <v>151306.03</v>
      </c>
      <c r="K27" s="7">
        <v>189561.76</v>
      </c>
      <c r="L27" s="7">
        <v>210780.15000000002</v>
      </c>
      <c r="M27" s="7">
        <v>224540.11</v>
      </c>
    </row>
    <row r="28" spans="1:13" x14ac:dyDescent="0.25">
      <c r="A28" s="1" t="s">
        <v>32</v>
      </c>
      <c r="B28" s="7">
        <v>432117.88999999996</v>
      </c>
      <c r="C28" s="7">
        <v>42024.28</v>
      </c>
      <c r="D28" s="7">
        <v>49647.81</v>
      </c>
      <c r="E28" s="7">
        <v>3558.41</v>
      </c>
      <c r="F28" s="7">
        <v>33441.97</v>
      </c>
      <c r="G28" s="7">
        <v>6930.4699999999993</v>
      </c>
      <c r="H28" s="7">
        <v>129141.66999999998</v>
      </c>
      <c r="I28" s="7">
        <v>308953.29999999993</v>
      </c>
      <c r="J28" s="7">
        <v>151306.03</v>
      </c>
      <c r="K28" s="7">
        <v>189561.76</v>
      </c>
      <c r="L28" s="7">
        <v>210780.15000000002</v>
      </c>
      <c r="M28" s="7">
        <v>224540.11</v>
      </c>
    </row>
    <row r="29" spans="1:13" x14ac:dyDescent="0.25">
      <c r="A29" s="1" t="s">
        <v>33</v>
      </c>
      <c r="B29" s="7">
        <v>-266994.13999999996</v>
      </c>
      <c r="C29" s="7">
        <v>79734.820000000007</v>
      </c>
      <c r="D29" s="7">
        <v>661743.6100000001</v>
      </c>
      <c r="E29" s="7">
        <v>213475.15000000002</v>
      </c>
      <c r="F29" s="7">
        <v>358142.52</v>
      </c>
      <c r="G29" s="7">
        <v>264891.51</v>
      </c>
      <c r="H29" s="7">
        <v>311771.61000000004</v>
      </c>
      <c r="I29" s="7">
        <v>265943.11</v>
      </c>
      <c r="J29" s="7">
        <v>304958.89</v>
      </c>
      <c r="K29" s="7">
        <v>132606</v>
      </c>
      <c r="L29" s="7">
        <v>384941.04000000004</v>
      </c>
      <c r="M29" s="7">
        <v>491258.22</v>
      </c>
    </row>
    <row r="30" spans="1:13" x14ac:dyDescent="0.25">
      <c r="A30" s="1" t="s">
        <v>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</row>
    <row r="31" spans="1:13" x14ac:dyDescent="0.25">
      <c r="A31" s="1" t="s">
        <v>35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</row>
    <row r="32" spans="1:13" x14ac:dyDescent="0.25">
      <c r="A32" s="1" t="s">
        <v>36</v>
      </c>
      <c r="B32" s="7">
        <v>146082.88</v>
      </c>
      <c r="C32" s="7">
        <v>149263.07</v>
      </c>
      <c r="D32" s="7">
        <v>213768.73</v>
      </c>
      <c r="E32" s="7">
        <v>145277.29</v>
      </c>
      <c r="F32" s="7">
        <v>150187.51</v>
      </c>
      <c r="G32" s="7">
        <v>157126.6</v>
      </c>
      <c r="H32" s="7">
        <v>155057.94</v>
      </c>
      <c r="I32" s="7">
        <v>223896.87</v>
      </c>
      <c r="J32" s="7">
        <v>92240.98</v>
      </c>
      <c r="K32" s="7">
        <v>112836.98</v>
      </c>
      <c r="L32" s="7">
        <v>137107.73000000001</v>
      </c>
      <c r="M32" s="7">
        <v>149071.01999999999</v>
      </c>
    </row>
    <row r="33" spans="1:13" x14ac:dyDescent="0.25">
      <c r="A33" s="1" t="s">
        <v>37</v>
      </c>
      <c r="B33" s="7">
        <v>12735.11</v>
      </c>
      <c r="C33" s="7">
        <v>12183.34</v>
      </c>
      <c r="D33" s="7">
        <v>16909.5</v>
      </c>
      <c r="E33" s="7">
        <v>10988.34</v>
      </c>
      <c r="F33" s="7">
        <v>11314.49</v>
      </c>
      <c r="G33" s="7">
        <v>10040.07</v>
      </c>
      <c r="H33" s="7">
        <v>11910</v>
      </c>
      <c r="I33" s="7">
        <v>19724.400000000001</v>
      </c>
      <c r="J33" s="7">
        <v>13216.04</v>
      </c>
      <c r="K33" s="7">
        <v>15698.18</v>
      </c>
      <c r="L33" s="7">
        <v>19095.63</v>
      </c>
      <c r="M33" s="7">
        <v>9683.64</v>
      </c>
    </row>
    <row r="34" spans="1:13" x14ac:dyDescent="0.25">
      <c r="A34" s="1" t="s">
        <v>38</v>
      </c>
      <c r="B34" s="7">
        <v>-15782.81</v>
      </c>
      <c r="C34" s="7">
        <v>-38525.99</v>
      </c>
      <c r="D34" s="7">
        <v>-17689.62</v>
      </c>
      <c r="E34" s="7">
        <v>-8311.52</v>
      </c>
      <c r="F34" s="7">
        <v>-22842.75</v>
      </c>
      <c r="G34" s="7">
        <v>-16798.86</v>
      </c>
      <c r="H34" s="7">
        <v>-18488.16</v>
      </c>
      <c r="I34" s="7">
        <v>-27246</v>
      </c>
      <c r="J34" s="7">
        <v>-20338.669999999998</v>
      </c>
      <c r="K34" s="7">
        <v>-39237.9</v>
      </c>
      <c r="L34" s="7">
        <v>-25510.25</v>
      </c>
      <c r="M34" s="7">
        <v>-33244.04</v>
      </c>
    </row>
    <row r="35" spans="1:13" x14ac:dyDescent="0.25">
      <c r="A35" s="1" t="s">
        <v>39</v>
      </c>
      <c r="B35" s="7">
        <v>143035.18</v>
      </c>
      <c r="C35" s="7">
        <v>122920.42000000001</v>
      </c>
      <c r="D35" s="7">
        <v>212988.61000000002</v>
      </c>
      <c r="E35" s="7">
        <v>147954.11000000002</v>
      </c>
      <c r="F35" s="7">
        <v>138659.25</v>
      </c>
      <c r="G35" s="7">
        <v>150367.81</v>
      </c>
      <c r="H35" s="7">
        <v>148479.78</v>
      </c>
      <c r="I35" s="7">
        <v>216375.27</v>
      </c>
      <c r="J35" s="7">
        <v>85118.349999999991</v>
      </c>
      <c r="K35" s="7">
        <v>89297.260000000009</v>
      </c>
      <c r="L35" s="7">
        <v>130693.11000000002</v>
      </c>
      <c r="M35" s="7">
        <v>125510.61999999997</v>
      </c>
    </row>
    <row r="36" spans="1:13" x14ac:dyDescent="0.25">
      <c r="A36" s="1" t="s">
        <v>40</v>
      </c>
      <c r="B36" s="7">
        <v>-6700.45</v>
      </c>
      <c r="C36" s="7">
        <v>2037.86</v>
      </c>
      <c r="D36" s="7">
        <v>7569.33</v>
      </c>
      <c r="E36" s="7">
        <v>7198.68</v>
      </c>
      <c r="F36" s="7">
        <v>8348.51</v>
      </c>
      <c r="G36" s="7">
        <v>6059.83</v>
      </c>
      <c r="H36" s="7">
        <v>5952.81</v>
      </c>
      <c r="I36" s="7">
        <v>2034.48</v>
      </c>
      <c r="J36" s="7">
        <v>1012.02</v>
      </c>
      <c r="K36" s="7">
        <v>3656.46</v>
      </c>
      <c r="L36" s="7">
        <v>10555.38</v>
      </c>
      <c r="M36" s="7">
        <v>6934.66</v>
      </c>
    </row>
    <row r="37" spans="1:13" x14ac:dyDescent="0.25">
      <c r="A37" s="1" t="s">
        <v>41</v>
      </c>
      <c r="B37" s="7">
        <v>-1.05</v>
      </c>
      <c r="C37" s="7">
        <v>-1.05</v>
      </c>
      <c r="D37" s="7">
        <v>0</v>
      </c>
      <c r="E37" s="7">
        <v>30</v>
      </c>
      <c r="F37" s="7">
        <v>0</v>
      </c>
      <c r="G37" s="7">
        <v>0</v>
      </c>
      <c r="H37" s="7">
        <v>45.95</v>
      </c>
      <c r="I37" s="7">
        <v>118.01</v>
      </c>
      <c r="J37" s="7">
        <v>363.25</v>
      </c>
      <c r="K37" s="7">
        <v>0</v>
      </c>
      <c r="L37" s="7">
        <v>446.5</v>
      </c>
      <c r="M37" s="7">
        <v>50</v>
      </c>
    </row>
    <row r="38" spans="1:13" x14ac:dyDescent="0.25">
      <c r="A38" s="1" t="s">
        <v>42</v>
      </c>
      <c r="B38" s="7">
        <v>17.09</v>
      </c>
      <c r="C38" s="7">
        <v>452.9</v>
      </c>
      <c r="D38" s="7">
        <v>445.76</v>
      </c>
      <c r="E38" s="7">
        <v>362.2</v>
      </c>
      <c r="F38" s="7">
        <v>62.14</v>
      </c>
      <c r="G38" s="7">
        <v>157.86000000000001</v>
      </c>
      <c r="H38" s="7">
        <v>208.53</v>
      </c>
      <c r="I38" s="7">
        <v>354.96</v>
      </c>
      <c r="J38" s="7">
        <v>2789.9</v>
      </c>
      <c r="K38" s="7">
        <v>456.74</v>
      </c>
      <c r="L38" s="7">
        <v>2481.6999999999998</v>
      </c>
      <c r="M38" s="7">
        <v>68.17</v>
      </c>
    </row>
    <row r="39" spans="1:13" x14ac:dyDescent="0.25">
      <c r="A39" s="1" t="s">
        <v>43</v>
      </c>
      <c r="B39" s="7">
        <v>0</v>
      </c>
      <c r="C39" s="7">
        <v>0</v>
      </c>
      <c r="D39" s="7">
        <v>0</v>
      </c>
      <c r="E39" s="7">
        <v>5000</v>
      </c>
      <c r="F39" s="7">
        <v>0</v>
      </c>
      <c r="G39" s="7">
        <v>0</v>
      </c>
      <c r="H39" s="7">
        <v>0</v>
      </c>
      <c r="I39" s="7">
        <v>105</v>
      </c>
      <c r="J39" s="7">
        <v>0</v>
      </c>
      <c r="K39" s="7">
        <v>232.92</v>
      </c>
      <c r="L39" s="7">
        <v>250</v>
      </c>
      <c r="M39" s="7">
        <v>450</v>
      </c>
    </row>
    <row r="40" spans="1:13" x14ac:dyDescent="0.25">
      <c r="A40" s="1" t="s">
        <v>44</v>
      </c>
      <c r="B40" s="7">
        <v>4000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</row>
    <row r="41" spans="1:13" x14ac:dyDescent="0.25">
      <c r="A41" s="1" t="s">
        <v>45</v>
      </c>
      <c r="B41" s="7">
        <v>4500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46</v>
      </c>
      <c r="B42" s="7">
        <v>1063.5</v>
      </c>
      <c r="C42" s="7">
        <v>663.32</v>
      </c>
      <c r="D42" s="7">
        <v>975</v>
      </c>
      <c r="E42" s="7">
        <v>389.32</v>
      </c>
      <c r="F42" s="7">
        <v>1266.47</v>
      </c>
      <c r="G42" s="7">
        <v>2844.46</v>
      </c>
      <c r="H42" s="7">
        <v>0</v>
      </c>
      <c r="I42" s="7">
        <v>315.39999999999998</v>
      </c>
      <c r="J42" s="7">
        <v>1185.8599999999999</v>
      </c>
      <c r="K42" s="7">
        <v>305.33999999999997</v>
      </c>
      <c r="L42" s="7">
        <v>1525.53</v>
      </c>
      <c r="M42" s="7">
        <v>3476.38</v>
      </c>
    </row>
    <row r="43" spans="1:13" x14ac:dyDescent="0.25">
      <c r="A43" s="1" t="s">
        <v>47</v>
      </c>
      <c r="B43" s="7">
        <v>45.12</v>
      </c>
      <c r="C43" s="7">
        <v>0</v>
      </c>
      <c r="D43" s="7">
        <v>0</v>
      </c>
      <c r="E43" s="7">
        <v>386.36</v>
      </c>
      <c r="F43" s="7">
        <v>135.54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355.89</v>
      </c>
    </row>
    <row r="44" spans="1:13" x14ac:dyDescent="0.25">
      <c r="A44" s="1" t="s">
        <v>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85</v>
      </c>
    </row>
    <row r="45" spans="1:13" x14ac:dyDescent="0.25">
      <c r="A45" s="1" t="s">
        <v>49</v>
      </c>
      <c r="B45" s="7">
        <v>3692.81</v>
      </c>
      <c r="C45" s="7">
        <v>633.78</v>
      </c>
      <c r="D45" s="7">
        <v>2744.23</v>
      </c>
      <c r="E45" s="7">
        <v>439.98</v>
      </c>
      <c r="F45" s="7">
        <v>558.77</v>
      </c>
      <c r="G45" s="7">
        <v>567.16999999999996</v>
      </c>
      <c r="H45" s="7">
        <v>439.98</v>
      </c>
      <c r="I45" s="7">
        <v>809.98</v>
      </c>
      <c r="J45" s="7">
        <v>4383.79</v>
      </c>
      <c r="K45" s="7">
        <v>1548.12</v>
      </c>
      <c r="L45" s="7">
        <v>6735.99</v>
      </c>
      <c r="M45" s="7">
        <v>3412.4</v>
      </c>
    </row>
    <row r="46" spans="1:13" x14ac:dyDescent="0.25">
      <c r="A46" s="1" t="s">
        <v>50</v>
      </c>
      <c r="B46" s="7">
        <v>154.80000000000001</v>
      </c>
      <c r="C46" s="7">
        <v>19.5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244502.89</v>
      </c>
    </row>
    <row r="47" spans="1:13" x14ac:dyDescent="0.25">
      <c r="A47" s="1" t="s">
        <v>51</v>
      </c>
      <c r="B47" s="7">
        <v>5016.1499999999996</v>
      </c>
      <c r="C47" s="7">
        <v>6656.08</v>
      </c>
      <c r="D47" s="7">
        <v>9443.77</v>
      </c>
      <c r="E47" s="7">
        <v>1628.67</v>
      </c>
      <c r="F47" s="7">
        <v>2955.66</v>
      </c>
      <c r="G47" s="7">
        <v>2198.3000000000002</v>
      </c>
      <c r="H47" s="7">
        <v>8192.34</v>
      </c>
      <c r="I47" s="7">
        <v>4969.2299999999996</v>
      </c>
      <c r="J47" s="7">
        <v>6184.91</v>
      </c>
      <c r="K47" s="7">
        <v>4036.66</v>
      </c>
      <c r="L47" s="7">
        <v>4371.2299999999996</v>
      </c>
      <c r="M47" s="7">
        <v>3523.19</v>
      </c>
    </row>
    <row r="48" spans="1:13" x14ac:dyDescent="0.25">
      <c r="A48" s="1" t="s">
        <v>52</v>
      </c>
      <c r="B48" s="7">
        <v>5327.62</v>
      </c>
      <c r="C48" s="7">
        <v>5287.54</v>
      </c>
      <c r="D48" s="7">
        <v>5067.1099999999997</v>
      </c>
      <c r="E48" s="7">
        <v>5495.05</v>
      </c>
      <c r="F48" s="7">
        <v>6161.37</v>
      </c>
      <c r="G48" s="7">
        <v>5454.97</v>
      </c>
      <c r="H48" s="7">
        <v>5589.07</v>
      </c>
      <c r="I48" s="7">
        <v>1926.19</v>
      </c>
      <c r="J48" s="7">
        <v>2866.18</v>
      </c>
      <c r="K48" s="7">
        <v>2095.19</v>
      </c>
      <c r="L48" s="7">
        <v>2437.12</v>
      </c>
      <c r="M48" s="7">
        <v>3871.62</v>
      </c>
    </row>
    <row r="49" spans="1:13" x14ac:dyDescent="0.25">
      <c r="A49" s="1" t="s">
        <v>53</v>
      </c>
      <c r="B49" s="7">
        <v>0</v>
      </c>
      <c r="C49" s="7">
        <v>30543.58</v>
      </c>
      <c r="D49" s="7">
        <v>0</v>
      </c>
      <c r="E49" s="7">
        <v>0</v>
      </c>
      <c r="F49" s="7">
        <v>0</v>
      </c>
      <c r="G49" s="7">
        <v>2804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54</v>
      </c>
      <c r="B50" s="7">
        <v>334</v>
      </c>
      <c r="C50" s="7">
        <v>349.81</v>
      </c>
      <c r="D50" s="7">
        <v>278.35000000000002</v>
      </c>
      <c r="E50" s="7">
        <v>249</v>
      </c>
      <c r="F50" s="7">
        <v>249</v>
      </c>
      <c r="G50" s="7">
        <v>249</v>
      </c>
      <c r="H50" s="7">
        <v>293.95</v>
      </c>
      <c r="I50" s="7">
        <v>293.95</v>
      </c>
      <c r="J50" s="7">
        <v>692.9</v>
      </c>
      <c r="K50" s="7">
        <v>303.95</v>
      </c>
      <c r="L50" s="7">
        <v>293.95</v>
      </c>
      <c r="M50" s="7">
        <v>543.95000000000005</v>
      </c>
    </row>
    <row r="51" spans="1:13" x14ac:dyDescent="0.25">
      <c r="A51" s="1" t="s">
        <v>55</v>
      </c>
      <c r="B51" s="7">
        <v>0</v>
      </c>
      <c r="C51" s="7">
        <v>0</v>
      </c>
      <c r="D51" s="7">
        <v>0</v>
      </c>
      <c r="E51" s="7">
        <v>0</v>
      </c>
      <c r="F51" s="7">
        <v>7749</v>
      </c>
      <c r="G51" s="7">
        <v>-224</v>
      </c>
      <c r="H51" s="7">
        <v>625</v>
      </c>
      <c r="I51" s="7">
        <v>42374.61</v>
      </c>
      <c r="J51" s="7">
        <v>0</v>
      </c>
      <c r="K51" s="7">
        <v>0</v>
      </c>
      <c r="L51" s="7">
        <v>31948.82</v>
      </c>
      <c r="M51" s="7">
        <v>11781</v>
      </c>
    </row>
    <row r="52" spans="1:13" x14ac:dyDescent="0.25">
      <c r="A52" s="1" t="s">
        <v>56</v>
      </c>
      <c r="B52" s="7">
        <v>192.96</v>
      </c>
      <c r="C52" s="7">
        <v>1903.36</v>
      </c>
      <c r="D52" s="7">
        <v>1364.57</v>
      </c>
      <c r="E52" s="7">
        <v>192.96</v>
      </c>
      <c r="F52" s="7">
        <v>192.96</v>
      </c>
      <c r="G52" s="7">
        <v>136.18</v>
      </c>
      <c r="H52" s="7">
        <v>192.96</v>
      </c>
      <c r="I52" s="7">
        <v>192.96</v>
      </c>
      <c r="J52" s="7">
        <v>192.96</v>
      </c>
      <c r="K52" s="7">
        <v>192.96</v>
      </c>
      <c r="L52" s="7">
        <v>192.96</v>
      </c>
      <c r="M52" s="7">
        <v>192.96</v>
      </c>
    </row>
    <row r="53" spans="1:13" x14ac:dyDescent="0.25">
      <c r="A53" s="1" t="s">
        <v>57</v>
      </c>
      <c r="B53" s="7">
        <v>0</v>
      </c>
      <c r="C53" s="7">
        <v>0</v>
      </c>
      <c r="D53" s="7">
        <v>0</v>
      </c>
      <c r="E53" s="7">
        <v>579.42999999999995</v>
      </c>
      <c r="F53" s="7">
        <v>579.42999999999995</v>
      </c>
      <c r="G53" s="7">
        <v>554.92999999999995</v>
      </c>
      <c r="H53" s="7">
        <v>603.92999999999995</v>
      </c>
      <c r="I53" s="7">
        <v>579.42999999999995</v>
      </c>
      <c r="J53" s="7">
        <v>579.42999999999995</v>
      </c>
      <c r="K53" s="7">
        <v>579.42999999999995</v>
      </c>
      <c r="L53" s="7">
        <v>579.42999999999995</v>
      </c>
      <c r="M53" s="7">
        <v>603.92999999999995</v>
      </c>
    </row>
    <row r="54" spans="1:13" x14ac:dyDescent="0.25">
      <c r="A54" s="1" t="s">
        <v>58</v>
      </c>
      <c r="B54" s="7">
        <v>0</v>
      </c>
      <c r="C54" s="7">
        <v>0</v>
      </c>
      <c r="D54" s="7">
        <v>0</v>
      </c>
      <c r="E54" s="7">
        <v>493.25</v>
      </c>
      <c r="F54" s="7">
        <v>519.72</v>
      </c>
      <c r="G54" s="7">
        <v>493.25</v>
      </c>
      <c r="H54" s="7">
        <v>539.22</v>
      </c>
      <c r="I54" s="7">
        <v>519.17999999999995</v>
      </c>
      <c r="J54" s="7">
        <v>520.95000000000005</v>
      </c>
      <c r="K54" s="7">
        <v>510.34</v>
      </c>
      <c r="L54" s="7">
        <v>495.9</v>
      </c>
      <c r="M54" s="7">
        <v>525.25</v>
      </c>
    </row>
    <row r="55" spans="1:13" x14ac:dyDescent="0.25">
      <c r="A55" s="1" t="s">
        <v>59</v>
      </c>
      <c r="B55" s="7">
        <v>14320.23</v>
      </c>
      <c r="C55" s="7">
        <v>12716.16</v>
      </c>
      <c r="D55" s="7">
        <v>16943.939999999999</v>
      </c>
      <c r="E55" s="7">
        <v>24151.86</v>
      </c>
      <c r="F55" s="7">
        <v>4191.66</v>
      </c>
      <c r="G55" s="7">
        <v>4191.66</v>
      </c>
      <c r="H55" s="7">
        <v>4657.3999999999996</v>
      </c>
      <c r="I55" s="7">
        <v>4657.3999999999996</v>
      </c>
      <c r="J55" s="7">
        <v>4657.3999999999996</v>
      </c>
      <c r="K55" s="7">
        <v>4036.41</v>
      </c>
      <c r="L55" s="7">
        <v>4657.3999999999996</v>
      </c>
      <c r="M55" s="7">
        <v>6327.58</v>
      </c>
    </row>
    <row r="56" spans="1:13" x14ac:dyDescent="0.25">
      <c r="A56" s="1" t="s">
        <v>60</v>
      </c>
      <c r="B56" s="7">
        <v>0</v>
      </c>
      <c r="C56" s="7">
        <v>0</v>
      </c>
      <c r="D56" s="7">
        <v>0</v>
      </c>
      <c r="E56" s="7">
        <v>0</v>
      </c>
      <c r="F56" s="7">
        <v>10506.12</v>
      </c>
      <c r="G56" s="7">
        <v>8262.08</v>
      </c>
      <c r="H56" s="7">
        <v>11239.18</v>
      </c>
      <c r="I56" s="7">
        <v>7376.23</v>
      </c>
      <c r="J56" s="7">
        <v>11239.18</v>
      </c>
      <c r="K56" s="7">
        <v>11326.71</v>
      </c>
      <c r="L56" s="7">
        <v>10705.72</v>
      </c>
      <c r="M56" s="7">
        <v>28786.59</v>
      </c>
    </row>
    <row r="57" spans="1:13" x14ac:dyDescent="0.25">
      <c r="A57" s="1" t="s">
        <v>61</v>
      </c>
      <c r="B57" s="7">
        <v>0</v>
      </c>
      <c r="C57" s="7">
        <v>0</v>
      </c>
      <c r="D57" s="7">
        <v>0</v>
      </c>
      <c r="E57" s="7">
        <v>0</v>
      </c>
      <c r="F57" s="7">
        <v>-2379.7800000000002</v>
      </c>
      <c r="G57" s="7">
        <v>0</v>
      </c>
      <c r="H57" s="7">
        <v>2140.11</v>
      </c>
      <c r="I57" s="7">
        <v>0</v>
      </c>
      <c r="J57" s="7">
        <v>0</v>
      </c>
      <c r="K57" s="7">
        <v>-2492.5500000000002</v>
      </c>
      <c r="L57" s="7">
        <v>985.82</v>
      </c>
      <c r="M57" s="7">
        <v>3874.12</v>
      </c>
    </row>
    <row r="58" spans="1:13" x14ac:dyDescent="0.25">
      <c r="A58" s="1" t="s">
        <v>62</v>
      </c>
      <c r="B58" s="7">
        <v>0</v>
      </c>
      <c r="C58" s="7">
        <v>0</v>
      </c>
      <c r="D58" s="7">
        <v>0</v>
      </c>
      <c r="E58" s="7">
        <v>0</v>
      </c>
      <c r="F58" s="7">
        <v>76.44</v>
      </c>
      <c r="G58" s="7">
        <v>-160.91</v>
      </c>
      <c r="H58" s="7">
        <v>437.31</v>
      </c>
      <c r="I58" s="7">
        <v>-252.28</v>
      </c>
      <c r="J58" s="7">
        <v>15.45</v>
      </c>
      <c r="K58" s="7">
        <v>-90.25</v>
      </c>
      <c r="L58" s="7">
        <v>-86.75</v>
      </c>
      <c r="M58" s="7">
        <v>155.01</v>
      </c>
    </row>
    <row r="59" spans="1:13" x14ac:dyDescent="0.25">
      <c r="A59" s="1" t="s">
        <v>63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3985.8</v>
      </c>
      <c r="H59" s="7">
        <v>4131.75</v>
      </c>
      <c r="I59" s="7">
        <v>4101.75</v>
      </c>
      <c r="J59" s="7">
        <v>4101.75</v>
      </c>
      <c r="K59" s="7">
        <v>4353.8100000000004</v>
      </c>
      <c r="L59" s="7">
        <v>4402.0200000000004</v>
      </c>
      <c r="M59" s="7">
        <v>4064.17</v>
      </c>
    </row>
    <row r="60" spans="1:13" x14ac:dyDescent="0.25">
      <c r="A60" s="1" t="s">
        <v>64</v>
      </c>
      <c r="B60" s="7">
        <v>14513.189999999999</v>
      </c>
      <c r="C60" s="7">
        <v>14619.52</v>
      </c>
      <c r="D60" s="7">
        <v>18308.509999999998</v>
      </c>
      <c r="E60" s="7">
        <v>25417.5</v>
      </c>
      <c r="F60" s="7">
        <v>13686.550000000001</v>
      </c>
      <c r="G60" s="7">
        <v>17462.989999999998</v>
      </c>
      <c r="H60" s="7">
        <v>23941.860000000004</v>
      </c>
      <c r="I60" s="7">
        <v>17174.669999999998</v>
      </c>
      <c r="J60" s="7">
        <v>21307.119999999999</v>
      </c>
      <c r="K60" s="7">
        <v>18416.86</v>
      </c>
      <c r="L60" s="7">
        <v>21932.5</v>
      </c>
      <c r="M60" s="7">
        <v>44529.61</v>
      </c>
    </row>
    <row r="61" spans="1:13" x14ac:dyDescent="0.25">
      <c r="A61" s="1" t="s">
        <v>65</v>
      </c>
      <c r="B61" s="7">
        <v>5506</v>
      </c>
      <c r="C61" s="7">
        <v>644</v>
      </c>
      <c r="D61" s="7">
        <v>834</v>
      </c>
      <c r="E61" s="7">
        <v>6175</v>
      </c>
      <c r="F61" s="7">
        <v>2853</v>
      </c>
      <c r="G61" s="7">
        <v>834</v>
      </c>
      <c r="H61" s="7">
        <v>13141</v>
      </c>
      <c r="I61" s="7">
        <v>0</v>
      </c>
      <c r="J61" s="7">
        <v>2504</v>
      </c>
      <c r="K61" s="7">
        <v>4398</v>
      </c>
      <c r="L61" s="7">
        <v>3347</v>
      </c>
      <c r="M61" s="7">
        <v>834</v>
      </c>
    </row>
    <row r="62" spans="1:13" x14ac:dyDescent="0.25">
      <c r="A62" s="1" t="s">
        <v>66</v>
      </c>
      <c r="B62" s="7">
        <v>288.41000000000003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</row>
    <row r="63" spans="1:13" x14ac:dyDescent="0.25">
      <c r="A63" s="1" t="s">
        <v>67</v>
      </c>
      <c r="B63" s="7">
        <v>0</v>
      </c>
      <c r="C63" s="7">
        <v>0</v>
      </c>
      <c r="D63" s="7">
        <v>0</v>
      </c>
      <c r="E63" s="7">
        <v>0</v>
      </c>
      <c r="F63" s="7">
        <v>38584.589999999997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</row>
    <row r="64" spans="1:13" x14ac:dyDescent="0.25">
      <c r="A64" s="1" t="s">
        <v>68</v>
      </c>
      <c r="B64" s="7">
        <v>0</v>
      </c>
      <c r="C64" s="7">
        <v>0</v>
      </c>
      <c r="D64" s="7">
        <v>1656.25</v>
      </c>
      <c r="E64" s="7">
        <v>236</v>
      </c>
      <c r="F64" s="7">
        <v>0</v>
      </c>
      <c r="G64" s="7">
        <v>392.5</v>
      </c>
      <c r="H64" s="7">
        <v>1679.97</v>
      </c>
      <c r="I64" s="7">
        <v>405</v>
      </c>
      <c r="J64" s="7">
        <v>824.35</v>
      </c>
      <c r="K64" s="7">
        <v>33</v>
      </c>
      <c r="L64" s="7">
        <v>0</v>
      </c>
      <c r="M64" s="7">
        <v>1850.2</v>
      </c>
    </row>
    <row r="65" spans="1:13" x14ac:dyDescent="0.25">
      <c r="A65" s="1" t="s">
        <v>69</v>
      </c>
      <c r="B65" s="7">
        <v>1641.67</v>
      </c>
      <c r="C65" s="7">
        <v>865.77</v>
      </c>
      <c r="D65" s="7">
        <v>710.86</v>
      </c>
      <c r="E65" s="7">
        <v>1780.1</v>
      </c>
      <c r="F65" s="7">
        <v>2928.11</v>
      </c>
      <c r="G65" s="7">
        <v>2405.9899999999998</v>
      </c>
      <c r="H65" s="7">
        <v>3624.82</v>
      </c>
      <c r="I65" s="7">
        <v>1408.13</v>
      </c>
      <c r="J65" s="7">
        <v>3065.94</v>
      </c>
      <c r="K65" s="7">
        <v>2255.7800000000002</v>
      </c>
      <c r="L65" s="7">
        <v>2172.0100000000002</v>
      </c>
      <c r="M65" s="7">
        <v>9523.42</v>
      </c>
    </row>
    <row r="66" spans="1:13" x14ac:dyDescent="0.25">
      <c r="A66" s="1" t="s">
        <v>70</v>
      </c>
      <c r="B66" s="7">
        <v>656.08</v>
      </c>
      <c r="C66" s="7">
        <v>964.54</v>
      </c>
      <c r="D66" s="7">
        <v>678.12</v>
      </c>
      <c r="E66" s="7">
        <v>306.83999999999997</v>
      </c>
      <c r="F66" s="7">
        <v>227.98</v>
      </c>
      <c r="G66" s="7">
        <v>286.56</v>
      </c>
      <c r="H66" s="7">
        <v>88.21</v>
      </c>
      <c r="I66" s="7">
        <v>270</v>
      </c>
      <c r="J66" s="7">
        <v>271.77999999999997</v>
      </c>
      <c r="K66" s="7">
        <v>2091.89</v>
      </c>
      <c r="L66" s="7">
        <v>5220.9799999999996</v>
      </c>
      <c r="M66" s="7">
        <v>2102.0700000000002</v>
      </c>
    </row>
    <row r="67" spans="1:13" x14ac:dyDescent="0.25">
      <c r="A67" s="1" t="s">
        <v>71</v>
      </c>
      <c r="B67" s="7">
        <v>641.1</v>
      </c>
      <c r="C67" s="7">
        <v>0</v>
      </c>
      <c r="D67" s="7">
        <v>843.21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20</v>
      </c>
    </row>
    <row r="68" spans="1:13" x14ac:dyDescent="0.25">
      <c r="A68" s="1" t="s">
        <v>72</v>
      </c>
      <c r="B68" s="7">
        <v>15725.77</v>
      </c>
      <c r="C68" s="7">
        <v>937.61</v>
      </c>
      <c r="D68" s="7">
        <v>1097.31</v>
      </c>
      <c r="E68" s="7">
        <v>654.39</v>
      </c>
      <c r="F68" s="7">
        <v>3017.94</v>
      </c>
      <c r="G68" s="7">
        <v>213.97</v>
      </c>
      <c r="H68" s="7">
        <v>261.49</v>
      </c>
      <c r="I68" s="7">
        <v>1207.03</v>
      </c>
      <c r="J68" s="7">
        <v>2240.5300000000002</v>
      </c>
      <c r="K68" s="7">
        <v>1102.08</v>
      </c>
      <c r="L68" s="7">
        <v>5414.91</v>
      </c>
      <c r="M68" s="7">
        <v>2612.04</v>
      </c>
    </row>
    <row r="69" spans="1:13" x14ac:dyDescent="0.25">
      <c r="A69" s="1" t="s">
        <v>73</v>
      </c>
      <c r="B69" s="7">
        <v>267.45</v>
      </c>
      <c r="C69" s="7">
        <v>1.1000000000000001</v>
      </c>
      <c r="D69" s="7">
        <v>0</v>
      </c>
      <c r="E69" s="7">
        <v>425.87</v>
      </c>
      <c r="F69" s="7">
        <v>592.45000000000005</v>
      </c>
      <c r="G69" s="7">
        <v>4093.02</v>
      </c>
      <c r="H69" s="7">
        <v>637.09</v>
      </c>
      <c r="I69" s="7">
        <v>549.01</v>
      </c>
      <c r="J69" s="7">
        <v>55.12</v>
      </c>
      <c r="K69" s="7">
        <v>0</v>
      </c>
      <c r="L69" s="7">
        <v>103.98</v>
      </c>
      <c r="M69" s="7">
        <v>163.53</v>
      </c>
    </row>
    <row r="70" spans="1:13" x14ac:dyDescent="0.25">
      <c r="A70" s="1" t="s">
        <v>74</v>
      </c>
      <c r="B70" s="7">
        <v>9225</v>
      </c>
      <c r="C70" s="7">
        <v>5919.2</v>
      </c>
      <c r="D70" s="7">
        <v>81635.59</v>
      </c>
      <c r="E70" s="7">
        <v>2620</v>
      </c>
      <c r="F70" s="7">
        <v>4525.5</v>
      </c>
      <c r="G70" s="7">
        <v>1650</v>
      </c>
      <c r="H70" s="7">
        <v>28985.58</v>
      </c>
      <c r="I70" s="7">
        <v>10843.57</v>
      </c>
      <c r="J70" s="7">
        <v>40625.730000000003</v>
      </c>
      <c r="K70" s="7">
        <v>17033.64</v>
      </c>
      <c r="L70" s="7">
        <v>4711</v>
      </c>
      <c r="M70" s="7">
        <v>14327.89</v>
      </c>
    </row>
    <row r="71" spans="1:13" x14ac:dyDescent="0.25">
      <c r="A71" s="1" t="s">
        <v>75</v>
      </c>
      <c r="B71" s="7">
        <v>121.27</v>
      </c>
      <c r="C71" s="7">
        <v>36.46</v>
      </c>
      <c r="D71" s="7">
        <v>0</v>
      </c>
      <c r="E71" s="7">
        <v>365.89</v>
      </c>
      <c r="F71" s="7">
        <v>71.430000000000007</v>
      </c>
      <c r="G71" s="7">
        <v>1087.76</v>
      </c>
      <c r="H71" s="7">
        <v>1754.05</v>
      </c>
      <c r="I71" s="7">
        <v>1835.96</v>
      </c>
      <c r="J71" s="7">
        <v>367.76</v>
      </c>
      <c r="K71" s="7">
        <v>855</v>
      </c>
      <c r="L71" s="7">
        <v>806.41</v>
      </c>
      <c r="M71" s="7">
        <v>15655.65</v>
      </c>
    </row>
    <row r="72" spans="1:13" x14ac:dyDescent="0.25">
      <c r="A72" s="1" t="s">
        <v>76</v>
      </c>
      <c r="B72" s="7">
        <v>603.44000000000005</v>
      </c>
      <c r="C72" s="7">
        <v>676.27</v>
      </c>
      <c r="D72" s="7">
        <v>3504.52</v>
      </c>
      <c r="E72" s="7">
        <v>169.99</v>
      </c>
      <c r="F72" s="7">
        <v>169.99</v>
      </c>
      <c r="G72" s="7">
        <v>0</v>
      </c>
      <c r="H72" s="7">
        <v>0</v>
      </c>
      <c r="I72" s="7">
        <v>0</v>
      </c>
      <c r="J72" s="7">
        <v>579.77</v>
      </c>
      <c r="K72" s="7">
        <v>7769.56</v>
      </c>
      <c r="L72" s="7">
        <v>169.99</v>
      </c>
      <c r="M72" s="7">
        <v>7969.99</v>
      </c>
    </row>
    <row r="73" spans="1:13" x14ac:dyDescent="0.25">
      <c r="A73" s="1" t="s">
        <v>77</v>
      </c>
      <c r="B73" s="7">
        <v>2919.53</v>
      </c>
      <c r="C73" s="7">
        <v>937.08</v>
      </c>
      <c r="D73" s="7">
        <v>2723</v>
      </c>
      <c r="E73" s="7">
        <v>2302</v>
      </c>
      <c r="F73" s="7">
        <v>6235.06</v>
      </c>
      <c r="G73" s="7">
        <v>3539.83</v>
      </c>
      <c r="H73" s="7">
        <v>3677.49</v>
      </c>
      <c r="I73" s="7">
        <v>3825.56</v>
      </c>
      <c r="J73" s="7">
        <v>11797.06</v>
      </c>
      <c r="K73" s="7">
        <v>8848.34</v>
      </c>
      <c r="L73" s="7">
        <v>11552.67</v>
      </c>
      <c r="M73" s="7">
        <v>13883.8</v>
      </c>
    </row>
    <row r="74" spans="1:13" x14ac:dyDescent="0.25">
      <c r="A74" s="1" t="s">
        <v>78</v>
      </c>
      <c r="B74" s="7">
        <v>2572.37</v>
      </c>
      <c r="C74" s="7">
        <v>2622.37</v>
      </c>
      <c r="D74" s="7">
        <v>4031.22</v>
      </c>
      <c r="E74" s="7">
        <v>4031.22</v>
      </c>
      <c r="F74" s="7">
        <v>3931.22</v>
      </c>
      <c r="G74" s="7">
        <v>3931.22</v>
      </c>
      <c r="H74" s="7">
        <v>18030.22</v>
      </c>
      <c r="I74" s="7">
        <v>19458.22</v>
      </c>
      <c r="J74" s="7">
        <v>23804.240000000002</v>
      </c>
      <c r="K74" s="7">
        <v>21990.86</v>
      </c>
      <c r="L74" s="7">
        <v>11160.21</v>
      </c>
      <c r="M74" s="7">
        <v>39496.93</v>
      </c>
    </row>
    <row r="75" spans="1:13" x14ac:dyDescent="0.25">
      <c r="A75" s="1" t="s">
        <v>79</v>
      </c>
      <c r="B75" s="7">
        <v>8577.7800000000007</v>
      </c>
      <c r="C75" s="7">
        <v>0</v>
      </c>
      <c r="D75" s="7">
        <v>6341.99</v>
      </c>
      <c r="E75" s="7">
        <v>4288.8900000000003</v>
      </c>
      <c r="F75" s="7">
        <v>614.70000000000005</v>
      </c>
      <c r="G75" s="7">
        <v>587.96</v>
      </c>
      <c r="H75" s="7">
        <v>7394.12</v>
      </c>
      <c r="I75" s="7">
        <v>1491.37</v>
      </c>
      <c r="J75" s="7">
        <v>5864.13</v>
      </c>
      <c r="K75" s="7">
        <v>6263.89</v>
      </c>
      <c r="L75" s="7">
        <v>3515.61</v>
      </c>
      <c r="M75" s="7">
        <v>0</v>
      </c>
    </row>
    <row r="76" spans="1:13" x14ac:dyDescent="0.25">
      <c r="A76" s="1" t="s">
        <v>80</v>
      </c>
      <c r="B76" s="7">
        <v>51.65</v>
      </c>
      <c r="C76" s="7">
        <v>0</v>
      </c>
      <c r="D76" s="7">
        <v>3916</v>
      </c>
      <c r="E76" s="7">
        <v>272.7</v>
      </c>
      <c r="F76" s="7">
        <v>0</v>
      </c>
      <c r="G76" s="7">
        <v>34.71</v>
      </c>
      <c r="H76" s="7">
        <v>8019.35</v>
      </c>
      <c r="I76" s="7">
        <v>122.23</v>
      </c>
      <c r="J76" s="7">
        <v>128.65</v>
      </c>
      <c r="K76" s="7">
        <v>3428.27</v>
      </c>
      <c r="L76" s="7">
        <v>220.32</v>
      </c>
      <c r="M76" s="7">
        <v>5308.3</v>
      </c>
    </row>
    <row r="77" spans="1:13" x14ac:dyDescent="0.25">
      <c r="A77" s="1" t="s">
        <v>81</v>
      </c>
      <c r="B77" s="7">
        <v>17172.59</v>
      </c>
      <c r="C77" s="7">
        <v>13553.58</v>
      </c>
      <c r="D77" s="7">
        <v>7027.69</v>
      </c>
      <c r="E77" s="7">
        <v>4717.04</v>
      </c>
      <c r="F77" s="7">
        <v>4026.53</v>
      </c>
      <c r="G77" s="7">
        <v>3899.13</v>
      </c>
      <c r="H77" s="7">
        <v>2580.23</v>
      </c>
      <c r="I77" s="7">
        <v>2853.15</v>
      </c>
      <c r="J77" s="7">
        <v>1293.57</v>
      </c>
      <c r="K77" s="7">
        <v>5009.01</v>
      </c>
      <c r="L77" s="7">
        <v>6501.94</v>
      </c>
      <c r="M77" s="7">
        <v>3451.57</v>
      </c>
    </row>
    <row r="78" spans="1:13" x14ac:dyDescent="0.25">
      <c r="A78" s="1" t="s">
        <v>82</v>
      </c>
      <c r="B78" s="7">
        <v>0</v>
      </c>
      <c r="C78" s="7">
        <v>0</v>
      </c>
      <c r="D78" s="7">
        <v>3978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83</v>
      </c>
      <c r="B79" s="7">
        <v>6171.78</v>
      </c>
      <c r="C79" s="7">
        <v>2039.27</v>
      </c>
      <c r="D79" s="7">
        <v>638.14</v>
      </c>
      <c r="E79" s="7">
        <v>319.69</v>
      </c>
      <c r="F79" s="7">
        <v>1799.42</v>
      </c>
      <c r="G79" s="7">
        <v>1278.69</v>
      </c>
      <c r="H79" s="7">
        <v>858.36</v>
      </c>
      <c r="I79" s="7">
        <v>8088.07</v>
      </c>
      <c r="J79" s="7">
        <v>6961.07</v>
      </c>
      <c r="K79" s="7">
        <v>3503.73</v>
      </c>
      <c r="L79" s="7">
        <v>761.91</v>
      </c>
      <c r="M79" s="7">
        <v>2783.25</v>
      </c>
    </row>
    <row r="80" spans="1:13" x14ac:dyDescent="0.25">
      <c r="A80" s="1" t="s">
        <v>84</v>
      </c>
      <c r="B80" s="7">
        <v>61.01</v>
      </c>
      <c r="C80" s="7">
        <v>0</v>
      </c>
      <c r="D80" s="7">
        <v>180.69</v>
      </c>
      <c r="E80" s="7">
        <v>231.1</v>
      </c>
      <c r="F80" s="7">
        <v>2875.33</v>
      </c>
      <c r="G80" s="7">
        <v>550.38</v>
      </c>
      <c r="H80" s="7">
        <v>667.41</v>
      </c>
      <c r="I80" s="7">
        <v>1931.76</v>
      </c>
      <c r="J80" s="7">
        <v>111.24</v>
      </c>
      <c r="K80" s="7">
        <v>17.91</v>
      </c>
      <c r="L80" s="7">
        <v>99.12</v>
      </c>
      <c r="M80" s="7">
        <v>0</v>
      </c>
    </row>
    <row r="81" spans="1:13" x14ac:dyDescent="0.25">
      <c r="A81" s="1" t="s">
        <v>85</v>
      </c>
      <c r="B81" s="7">
        <v>5432.6</v>
      </c>
      <c r="C81" s="7">
        <v>0</v>
      </c>
      <c r="D81" s="7">
        <v>382</v>
      </c>
      <c r="E81" s="7">
        <v>0</v>
      </c>
      <c r="F81" s="7">
        <v>1998.27</v>
      </c>
      <c r="G81" s="7">
        <v>273.70999999999998</v>
      </c>
      <c r="H81" s="7">
        <v>1175.6300000000001</v>
      </c>
      <c r="I81" s="7">
        <v>2544.7800000000002</v>
      </c>
      <c r="J81" s="7">
        <v>1466.76</v>
      </c>
      <c r="K81" s="7">
        <v>2958.28</v>
      </c>
      <c r="L81" s="7">
        <v>589.1</v>
      </c>
      <c r="M81" s="7">
        <v>1640.31</v>
      </c>
    </row>
    <row r="82" spans="1:13" x14ac:dyDescent="0.25">
      <c r="A82" s="1" t="s">
        <v>86</v>
      </c>
      <c r="B82" s="7">
        <v>1983.35</v>
      </c>
      <c r="C82" s="7">
        <v>1058.83</v>
      </c>
      <c r="D82" s="7">
        <v>2413.37</v>
      </c>
      <c r="E82" s="7">
        <v>1130.7</v>
      </c>
      <c r="F82" s="7">
        <v>3254.01</v>
      </c>
      <c r="G82" s="7">
        <v>3291.29</v>
      </c>
      <c r="H82" s="7">
        <v>1676.3</v>
      </c>
      <c r="I82" s="7">
        <v>1348.33</v>
      </c>
      <c r="J82" s="7">
        <v>1493.69</v>
      </c>
      <c r="K82" s="7">
        <v>3763.83</v>
      </c>
      <c r="L82" s="7">
        <v>1592.58</v>
      </c>
      <c r="M82" s="7">
        <v>4231.29</v>
      </c>
    </row>
    <row r="83" spans="1:13" x14ac:dyDescent="0.25">
      <c r="A83" s="1" t="s">
        <v>87</v>
      </c>
      <c r="B83" s="7">
        <v>0</v>
      </c>
      <c r="C83" s="7">
        <v>6226.19</v>
      </c>
      <c r="D83" s="7">
        <v>3727.77</v>
      </c>
      <c r="E83" s="7">
        <v>2123.2399999999998</v>
      </c>
      <c r="F83" s="7">
        <v>0</v>
      </c>
      <c r="G83" s="7">
        <v>0</v>
      </c>
      <c r="H83" s="7">
        <v>0</v>
      </c>
      <c r="I83" s="7">
        <v>1.53</v>
      </c>
      <c r="J83" s="7">
        <v>0</v>
      </c>
      <c r="K83" s="7">
        <v>8.5</v>
      </c>
      <c r="L83" s="7">
        <v>7265.59</v>
      </c>
      <c r="M83" s="7">
        <v>14653.54</v>
      </c>
    </row>
    <row r="84" spans="1:13" x14ac:dyDescent="0.25">
      <c r="A84" s="1" t="s">
        <v>88</v>
      </c>
      <c r="B84" s="7">
        <v>0</v>
      </c>
      <c r="C84" s="7">
        <v>0</v>
      </c>
      <c r="D84" s="7">
        <v>0</v>
      </c>
      <c r="E84" s="7">
        <v>1014.34</v>
      </c>
      <c r="F84" s="7">
        <v>36.85</v>
      </c>
      <c r="G84" s="7">
        <v>29</v>
      </c>
      <c r="H84" s="7">
        <v>759.61</v>
      </c>
      <c r="I84" s="7">
        <v>350</v>
      </c>
      <c r="J84" s="7">
        <v>0</v>
      </c>
      <c r="K84" s="7">
        <v>54.5</v>
      </c>
      <c r="L84" s="7">
        <v>50</v>
      </c>
      <c r="M84" s="7">
        <v>0</v>
      </c>
    </row>
    <row r="85" spans="1:13" x14ac:dyDescent="0.25">
      <c r="A85" s="1" t="s">
        <v>89</v>
      </c>
      <c r="B85" s="7">
        <v>1750.74</v>
      </c>
      <c r="C85" s="7">
        <v>1971.33</v>
      </c>
      <c r="D85" s="7">
        <v>1806.76</v>
      </c>
      <c r="E85" s="7">
        <v>1460.92</v>
      </c>
      <c r="F85" s="7">
        <v>1748.18</v>
      </c>
      <c r="G85" s="7">
        <v>1751.14</v>
      </c>
      <c r="H85" s="7">
        <v>1904.22</v>
      </c>
      <c r="I85" s="7">
        <v>2075.38</v>
      </c>
      <c r="J85" s="7">
        <v>2107.65</v>
      </c>
      <c r="K85" s="7">
        <v>2302</v>
      </c>
      <c r="L85" s="7">
        <v>3599.22</v>
      </c>
      <c r="M85" s="7">
        <v>2695.54</v>
      </c>
    </row>
    <row r="86" spans="1:13" x14ac:dyDescent="0.25">
      <c r="A86" s="1" t="s">
        <v>90</v>
      </c>
      <c r="B86" s="7">
        <v>0</v>
      </c>
      <c r="C86" s="7">
        <v>0</v>
      </c>
      <c r="D86" s="7">
        <v>0</v>
      </c>
      <c r="E86" s="7">
        <v>0</v>
      </c>
      <c r="F86" s="7">
        <v>309</v>
      </c>
      <c r="G86" s="7">
        <v>0</v>
      </c>
      <c r="H86" s="7">
        <v>103</v>
      </c>
      <c r="I86" s="7">
        <v>0</v>
      </c>
      <c r="J86" s="7">
        <v>0</v>
      </c>
      <c r="K86" s="7">
        <v>103</v>
      </c>
      <c r="L86" s="7">
        <v>0</v>
      </c>
      <c r="M86" s="7">
        <v>0</v>
      </c>
    </row>
    <row r="87" spans="1:13" x14ac:dyDescent="0.25">
      <c r="A87" s="1" t="s">
        <v>91</v>
      </c>
      <c r="B87" s="7">
        <v>9139.86</v>
      </c>
      <c r="C87" s="7">
        <v>13831.07</v>
      </c>
      <c r="D87" s="7">
        <v>13806.61</v>
      </c>
      <c r="E87" s="7">
        <v>12560.45</v>
      </c>
      <c r="F87" s="7">
        <v>10992.02</v>
      </c>
      <c r="G87" s="7">
        <v>19017.05</v>
      </c>
      <c r="H87" s="7">
        <v>11238.54</v>
      </c>
      <c r="I87" s="7">
        <v>562.54</v>
      </c>
      <c r="J87" s="7">
        <v>4549.8100000000004</v>
      </c>
      <c r="K87" s="7">
        <v>4819.1899999999996</v>
      </c>
      <c r="L87" s="7">
        <v>3239.11</v>
      </c>
      <c r="M87" s="7">
        <v>3280.01</v>
      </c>
    </row>
    <row r="88" spans="1:13" x14ac:dyDescent="0.25">
      <c r="A88" s="1" t="s">
        <v>92</v>
      </c>
      <c r="B88" s="7">
        <v>1999.17</v>
      </c>
      <c r="C88" s="7">
        <v>3380.41</v>
      </c>
      <c r="D88" s="7">
        <v>2303.19</v>
      </c>
      <c r="E88" s="7">
        <v>3164.59</v>
      </c>
      <c r="F88" s="7">
        <v>2140.9499999999998</v>
      </c>
      <c r="G88" s="7">
        <v>2754.84</v>
      </c>
      <c r="H88" s="7">
        <v>2030.08</v>
      </c>
      <c r="I88" s="7">
        <v>2229.48</v>
      </c>
      <c r="J88" s="7">
        <v>2702.57</v>
      </c>
      <c r="K88" s="7">
        <v>2930.86</v>
      </c>
      <c r="L88" s="7">
        <v>3582.9</v>
      </c>
      <c r="M88" s="7">
        <v>6447.98</v>
      </c>
    </row>
    <row r="89" spans="1:13" x14ac:dyDescent="0.25">
      <c r="A89" s="1" t="s">
        <v>93</v>
      </c>
      <c r="B89" s="7">
        <v>2349.3200000000002</v>
      </c>
      <c r="C89" s="7">
        <v>2183.19</v>
      </c>
      <c r="D89" s="7">
        <v>1091.4000000000001</v>
      </c>
      <c r="E89" s="7">
        <v>1944.54</v>
      </c>
      <c r="F89" s="7">
        <v>1331.97</v>
      </c>
      <c r="G89" s="7">
        <v>4771.1099999999997</v>
      </c>
      <c r="H89" s="7">
        <v>2246.25</v>
      </c>
      <c r="I89" s="7">
        <v>2854.09</v>
      </c>
      <c r="J89" s="7">
        <v>2860.83</v>
      </c>
      <c r="K89" s="7">
        <v>2941.16</v>
      </c>
      <c r="L89" s="7">
        <v>2038.49</v>
      </c>
      <c r="M89" s="7">
        <v>1828.98</v>
      </c>
    </row>
    <row r="90" spans="1:13" x14ac:dyDescent="0.25">
      <c r="A90" s="1" t="s">
        <v>94</v>
      </c>
      <c r="B90" s="7">
        <v>0</v>
      </c>
      <c r="C90" s="7">
        <v>0</v>
      </c>
      <c r="D90" s="7">
        <v>7735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1515.22</v>
      </c>
    </row>
    <row r="91" spans="1:13" x14ac:dyDescent="0.25">
      <c r="A91" s="1" t="s">
        <v>95</v>
      </c>
      <c r="B91" s="7">
        <v>0</v>
      </c>
      <c r="C91" s="7">
        <v>0</v>
      </c>
      <c r="D91" s="7">
        <v>0</v>
      </c>
      <c r="E91" s="7">
        <v>0</v>
      </c>
      <c r="F91" s="7">
        <v>-94.83</v>
      </c>
      <c r="G91" s="7">
        <v>-1337</v>
      </c>
      <c r="H91" s="7">
        <v>1431.83</v>
      </c>
      <c r="I91" s="7">
        <v>1515.22</v>
      </c>
      <c r="J91" s="7">
        <v>0</v>
      </c>
      <c r="K91" s="7">
        <v>0</v>
      </c>
      <c r="L91" s="7">
        <v>0</v>
      </c>
      <c r="M91" s="7">
        <v>-1465.22</v>
      </c>
    </row>
    <row r="92" spans="1:13" x14ac:dyDescent="0.25">
      <c r="A92" s="1" t="s">
        <v>96</v>
      </c>
      <c r="B92" s="7">
        <v>5088.1400000000003</v>
      </c>
      <c r="C92" s="7">
        <v>11421.73</v>
      </c>
      <c r="D92" s="7">
        <v>11097</v>
      </c>
      <c r="E92" s="7">
        <v>10390.030000000001</v>
      </c>
      <c r="F92" s="7">
        <v>9624.86</v>
      </c>
      <c r="G92" s="7">
        <v>8125.67</v>
      </c>
      <c r="H92" s="7">
        <v>8759.39</v>
      </c>
      <c r="I92" s="7">
        <v>-6056.77</v>
      </c>
      <c r="J92" s="7">
        <v>7768.49</v>
      </c>
      <c r="K92" s="7">
        <v>8443.31</v>
      </c>
      <c r="L92" s="7">
        <v>6688.87</v>
      </c>
      <c r="M92" s="7">
        <v>5698.23</v>
      </c>
    </row>
    <row r="93" spans="1:13" x14ac:dyDescent="0.25">
      <c r="A93" s="1" t="s">
        <v>97</v>
      </c>
      <c r="B93" s="7">
        <v>274944.03999999998</v>
      </c>
      <c r="C93" s="7">
        <v>253453.25999999992</v>
      </c>
      <c r="D93" s="7">
        <v>421980.36000000004</v>
      </c>
      <c r="E93" s="7">
        <v>257236.40000000011</v>
      </c>
      <c r="F93" s="7">
        <v>283626.78999999998</v>
      </c>
      <c r="G93" s="7">
        <v>251404.91999999993</v>
      </c>
      <c r="H93" s="7">
        <v>316493.50999999995</v>
      </c>
      <c r="I93" s="7">
        <v>348565.39000000013</v>
      </c>
      <c r="J93" s="7">
        <v>249349.01999999996</v>
      </c>
      <c r="K93" s="7">
        <v>233275.09000000003</v>
      </c>
      <c r="L93" s="7">
        <v>298075.75</v>
      </c>
      <c r="M93" s="7">
        <v>609603.90000000014</v>
      </c>
    </row>
    <row r="94" spans="1:13" x14ac:dyDescent="0.25">
      <c r="A94" s="1" t="s">
        <v>98</v>
      </c>
      <c r="B94" s="7">
        <v>-541938.17999999993</v>
      </c>
      <c r="C94" s="7">
        <v>-173718.43999999992</v>
      </c>
      <c r="D94" s="7">
        <v>239763.25000000006</v>
      </c>
      <c r="E94" s="7">
        <v>-43761.250000000087</v>
      </c>
      <c r="F94" s="7">
        <v>74515.73000000004</v>
      </c>
      <c r="G94" s="7">
        <v>13486.590000000084</v>
      </c>
      <c r="H94" s="7">
        <v>-4721.8999999999069</v>
      </c>
      <c r="I94" s="7">
        <v>-82622.280000000144</v>
      </c>
      <c r="J94" s="7">
        <v>55609.870000000054</v>
      </c>
      <c r="K94" s="7">
        <v>-100669.09000000003</v>
      </c>
      <c r="L94" s="7">
        <v>86865.290000000037</v>
      </c>
      <c r="M94" s="7">
        <v>-118345.68000000017</v>
      </c>
    </row>
    <row r="95" spans="1:13" x14ac:dyDescent="0.25">
      <c r="A95" s="1" t="s">
        <v>99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</row>
    <row r="96" spans="1:13" x14ac:dyDescent="0.25">
      <c r="A96" s="1" t="s">
        <v>100</v>
      </c>
      <c r="B96" s="7">
        <v>1469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41273.56</v>
      </c>
      <c r="L96" s="7">
        <v>0</v>
      </c>
      <c r="M96" s="7">
        <v>0</v>
      </c>
    </row>
    <row r="97" spans="1:13" x14ac:dyDescent="0.25">
      <c r="A97" s="1" t="s">
        <v>101</v>
      </c>
      <c r="B97" s="7">
        <v>1469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41273.56</v>
      </c>
      <c r="L97" s="7">
        <v>0</v>
      </c>
      <c r="M97" s="7">
        <v>0</v>
      </c>
    </row>
    <row r="98" spans="1:13" x14ac:dyDescent="0.25">
      <c r="A98" s="1" t="s">
        <v>102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</row>
    <row r="99" spans="1:13" x14ac:dyDescent="0.25">
      <c r="A99" s="1" t="s">
        <v>103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71836.210000000006</v>
      </c>
    </row>
    <row r="100" spans="1:13" x14ac:dyDescent="0.25">
      <c r="A100" s="1" t="s">
        <v>104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71836.210000000006</v>
      </c>
    </row>
    <row r="101" spans="1:13" x14ac:dyDescent="0.25">
      <c r="A101" s="1" t="s">
        <v>105</v>
      </c>
      <c r="B101" s="7">
        <v>1469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41273.56</v>
      </c>
      <c r="L101" s="7">
        <v>0</v>
      </c>
      <c r="M101" s="7">
        <v>-71836.210000000006</v>
      </c>
    </row>
    <row r="102" spans="1:13" x14ac:dyDescent="0.25">
      <c r="A102" s="1" t="s">
        <v>106</v>
      </c>
      <c r="B102" s="7">
        <v>-540469.17999999993</v>
      </c>
      <c r="C102" s="7">
        <v>-173718.43999999992</v>
      </c>
      <c r="D102" s="7">
        <v>239763.25000000006</v>
      </c>
      <c r="E102" s="7">
        <v>-43761.250000000087</v>
      </c>
      <c r="F102" s="7">
        <v>74515.73000000004</v>
      </c>
      <c r="G102" s="7">
        <v>13486.590000000084</v>
      </c>
      <c r="H102" s="7">
        <v>-4721.8999999999069</v>
      </c>
      <c r="I102" s="7">
        <v>-82622.280000000144</v>
      </c>
      <c r="J102" s="7">
        <v>55609.870000000054</v>
      </c>
      <c r="K102" s="7">
        <v>-59395.530000000028</v>
      </c>
      <c r="L102" s="7">
        <v>86865.290000000037</v>
      </c>
      <c r="M102" s="7">
        <v>-190181.89000000019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4ADCE-2EFC-469C-A617-D4CDFE74CF06}">
  <sheetPr codeName="Sheet3">
    <tabColor rgb="FF000000"/>
  </sheetPr>
  <dimension ref="A1:M119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107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108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</row>
    <row r="4" spans="1:13" x14ac:dyDescent="0.25">
      <c r="A4" s="1" t="s">
        <v>109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</row>
    <row r="5" spans="1:13" x14ac:dyDescent="0.25">
      <c r="A5" s="1" t="s">
        <v>110</v>
      </c>
      <c r="B5" s="7">
        <v>170906.45</v>
      </c>
      <c r="C5" s="7">
        <v>38882.110000000015</v>
      </c>
      <c r="D5" s="7">
        <v>266297.2</v>
      </c>
      <c r="E5" s="7">
        <v>199553.96000000002</v>
      </c>
      <c r="F5" s="7">
        <v>85836.180000000022</v>
      </c>
      <c r="G5" s="7">
        <v>95201.500000000029</v>
      </c>
      <c r="H5" s="7">
        <v>130676.08000000003</v>
      </c>
      <c r="I5" s="7">
        <v>119943.55000000003</v>
      </c>
      <c r="J5" s="7">
        <v>46425.340000000026</v>
      </c>
      <c r="K5" s="7">
        <v>-8497.9399999999732</v>
      </c>
      <c r="L5" s="7">
        <v>81723.61000000003</v>
      </c>
      <c r="M5" s="7">
        <v>88856.630000000034</v>
      </c>
    </row>
    <row r="6" spans="1:13" x14ac:dyDescent="0.25">
      <c r="A6" s="1" t="s">
        <v>111</v>
      </c>
      <c r="B6" s="7">
        <v>67327.539999999994</v>
      </c>
      <c r="C6" s="7">
        <v>111570.9</v>
      </c>
      <c r="D6" s="7">
        <v>44014.39</v>
      </c>
      <c r="E6" s="7">
        <v>27414.66</v>
      </c>
      <c r="F6" s="7">
        <v>19608.72</v>
      </c>
      <c r="G6" s="7">
        <v>30857.88</v>
      </c>
      <c r="H6" s="7">
        <v>40649.64</v>
      </c>
      <c r="I6" s="7">
        <v>74883.38</v>
      </c>
      <c r="J6" s="7">
        <v>85720.77</v>
      </c>
      <c r="K6" s="7">
        <v>71650.02</v>
      </c>
      <c r="L6" s="7">
        <v>84307.650000000009</v>
      </c>
      <c r="M6" s="7">
        <v>220900.89</v>
      </c>
    </row>
    <row r="7" spans="1:13" x14ac:dyDescent="0.25">
      <c r="A7" s="1" t="s">
        <v>112</v>
      </c>
      <c r="B7" s="7">
        <v>576.74000000001979</v>
      </c>
      <c r="C7" s="7">
        <v>576.74000000001979</v>
      </c>
      <c r="D7" s="7">
        <v>576.74000000001979</v>
      </c>
      <c r="E7" s="7">
        <v>576.74000000001979</v>
      </c>
      <c r="F7" s="7">
        <v>152576.74000000002</v>
      </c>
      <c r="G7" s="7">
        <v>576.74000000001979</v>
      </c>
      <c r="H7" s="7">
        <v>576.74000000001979</v>
      </c>
      <c r="I7" s="7">
        <v>576.74000000001979</v>
      </c>
      <c r="J7" s="7">
        <v>576.74000000001979</v>
      </c>
      <c r="K7" s="7">
        <v>576.74000000001979</v>
      </c>
      <c r="L7" s="7">
        <v>576.74000000001979</v>
      </c>
      <c r="M7" s="7">
        <v>576.74000000001979</v>
      </c>
    </row>
    <row r="8" spans="1:13" x14ac:dyDescent="0.25">
      <c r="A8" s="1" t="s">
        <v>113</v>
      </c>
      <c r="B8" s="7">
        <v>184.52</v>
      </c>
      <c r="C8" s="7">
        <v>184.52</v>
      </c>
      <c r="D8" s="7">
        <v>184.52</v>
      </c>
      <c r="E8" s="7">
        <v>184.52</v>
      </c>
      <c r="F8" s="7">
        <v>184.52</v>
      </c>
      <c r="G8" s="7">
        <v>8278.9500000000007</v>
      </c>
      <c r="H8" s="7">
        <v>8278.9500000000007</v>
      </c>
      <c r="I8" s="7">
        <v>184.52000000000044</v>
      </c>
      <c r="J8" s="7">
        <v>184.52000000000044</v>
      </c>
      <c r="K8" s="7">
        <v>184.52000000000044</v>
      </c>
      <c r="L8" s="7">
        <v>184.52000000000044</v>
      </c>
      <c r="M8" s="7">
        <v>4.2632564145606011E-13</v>
      </c>
    </row>
    <row r="9" spans="1:13" x14ac:dyDescent="0.25">
      <c r="A9" s="1" t="s">
        <v>114</v>
      </c>
      <c r="B9" s="7">
        <v>74408.73</v>
      </c>
      <c r="C9" s="7">
        <v>44635.659999999996</v>
      </c>
      <c r="D9" s="7">
        <v>80738.679999999993</v>
      </c>
      <c r="E9" s="7">
        <v>66160.7</v>
      </c>
      <c r="F9" s="7">
        <v>61137.03</v>
      </c>
      <c r="G9" s="7">
        <v>61137.03</v>
      </c>
      <c r="H9" s="7">
        <v>74852.399999999994</v>
      </c>
      <c r="I9" s="7">
        <v>33815.409999999996</v>
      </c>
      <c r="J9" s="7">
        <v>185099.48</v>
      </c>
      <c r="K9" s="7">
        <v>134696.97</v>
      </c>
      <c r="L9" s="7">
        <v>105320.82</v>
      </c>
      <c r="M9" s="7">
        <v>111902.34000000001</v>
      </c>
    </row>
    <row r="10" spans="1:13" x14ac:dyDescent="0.25">
      <c r="A10" s="1" t="s">
        <v>115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</row>
    <row r="11" spans="1:13" x14ac:dyDescent="0.25">
      <c r="A11" s="1" t="s">
        <v>116</v>
      </c>
      <c r="B11" s="7">
        <v>0</v>
      </c>
      <c r="C11" s="7">
        <v>0</v>
      </c>
      <c r="D11" s="7">
        <v>0</v>
      </c>
      <c r="E11" s="7">
        <v>-555</v>
      </c>
      <c r="F11" s="7">
        <v>1431.83</v>
      </c>
      <c r="G11" s="7">
        <v>1431.83</v>
      </c>
      <c r="H11" s="7">
        <v>5520.76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</row>
    <row r="12" spans="1:13" x14ac:dyDescent="0.25">
      <c r="A12" s="1" t="s">
        <v>117</v>
      </c>
      <c r="B12" s="7">
        <v>313403.98</v>
      </c>
      <c r="C12" s="7">
        <v>195849.93000000002</v>
      </c>
      <c r="D12" s="7">
        <v>391811.53000000009</v>
      </c>
      <c r="E12" s="7">
        <v>293335.58</v>
      </c>
      <c r="F12" s="7">
        <v>320775.02000000008</v>
      </c>
      <c r="G12" s="7">
        <v>197483.93000000005</v>
      </c>
      <c r="H12" s="7">
        <v>260554.57000000007</v>
      </c>
      <c r="I12" s="7">
        <v>229403.60000000006</v>
      </c>
      <c r="J12" s="7">
        <v>318006.85000000009</v>
      </c>
      <c r="K12" s="7">
        <v>198610.31000000006</v>
      </c>
      <c r="L12" s="7">
        <v>272113.34000000008</v>
      </c>
      <c r="M12" s="7">
        <v>422236.60000000003</v>
      </c>
    </row>
    <row r="13" spans="1:13" x14ac:dyDescent="0.25">
      <c r="A13" s="1" t="s">
        <v>118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</row>
    <row r="14" spans="1:13" x14ac:dyDescent="0.25">
      <c r="A14" s="1" t="s">
        <v>119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</row>
    <row r="15" spans="1:13" x14ac:dyDescent="0.25">
      <c r="A15" s="1" t="s">
        <v>120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121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122</v>
      </c>
      <c r="B17" s="7">
        <v>0</v>
      </c>
      <c r="C17" s="7">
        <v>0</v>
      </c>
      <c r="D17" s="7">
        <v>0</v>
      </c>
      <c r="E17" s="7">
        <v>0</v>
      </c>
      <c r="F17" s="7">
        <v>1846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</row>
    <row r="18" spans="1:13" x14ac:dyDescent="0.25">
      <c r="A18" s="1" t="s">
        <v>123</v>
      </c>
      <c r="B18" s="7">
        <v>747.38</v>
      </c>
      <c r="C18" s="7">
        <v>747.38</v>
      </c>
      <c r="D18" s="7">
        <v>19358.440000000002</v>
      </c>
      <c r="E18" s="7">
        <v>28221.74</v>
      </c>
      <c r="F18" s="7">
        <v>25189.74</v>
      </c>
      <c r="G18" s="7">
        <v>30189.74</v>
      </c>
      <c r="H18" s="7">
        <v>30189.74</v>
      </c>
      <c r="I18" s="7">
        <v>28003.050000000003</v>
      </c>
      <c r="J18" s="7">
        <v>28003.050000000003</v>
      </c>
      <c r="K18" s="7">
        <v>28003.050000000003</v>
      </c>
      <c r="L18" s="7">
        <v>28003.050000000003</v>
      </c>
      <c r="M18" s="7">
        <v>28187.570000000003</v>
      </c>
    </row>
    <row r="19" spans="1:13" x14ac:dyDescent="0.25">
      <c r="A19" s="1" t="s">
        <v>124</v>
      </c>
      <c r="B19" s="7">
        <v>0</v>
      </c>
      <c r="C19" s="7">
        <v>0</v>
      </c>
      <c r="D19" s="7">
        <v>0</v>
      </c>
      <c r="E19" s="7">
        <v>0</v>
      </c>
      <c r="F19" s="7">
        <v>11849</v>
      </c>
      <c r="G19" s="7">
        <v>11849</v>
      </c>
      <c r="H19" s="7">
        <v>11849</v>
      </c>
      <c r="I19" s="7">
        <v>11849</v>
      </c>
      <c r="J19" s="7">
        <v>11849</v>
      </c>
      <c r="K19" s="7">
        <v>11849</v>
      </c>
      <c r="L19" s="7">
        <v>11849</v>
      </c>
      <c r="M19" s="7">
        <v>11849</v>
      </c>
    </row>
    <row r="20" spans="1:13" x14ac:dyDescent="0.25">
      <c r="A20" s="1" t="s">
        <v>125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</row>
    <row r="21" spans="1:13" x14ac:dyDescent="0.25">
      <c r="A21" s="1" t="s">
        <v>126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</row>
    <row r="22" spans="1:13" x14ac:dyDescent="0.25">
      <c r="A22" s="1" t="s">
        <v>127</v>
      </c>
      <c r="B22" s="7">
        <v>747.38</v>
      </c>
      <c r="C22" s="7">
        <v>747.38</v>
      </c>
      <c r="D22" s="7">
        <v>19358.440000000002</v>
      </c>
      <c r="E22" s="7">
        <v>28221.74</v>
      </c>
      <c r="F22" s="7">
        <v>38884.740000000005</v>
      </c>
      <c r="G22" s="7">
        <v>42038.740000000005</v>
      </c>
      <c r="H22" s="7">
        <v>42038.740000000005</v>
      </c>
      <c r="I22" s="7">
        <v>39852.050000000003</v>
      </c>
      <c r="J22" s="7">
        <v>39852.050000000003</v>
      </c>
      <c r="K22" s="7">
        <v>39852.050000000003</v>
      </c>
      <c r="L22" s="7">
        <v>39852.050000000003</v>
      </c>
      <c r="M22" s="7">
        <v>40036.570000000007</v>
      </c>
    </row>
    <row r="23" spans="1:13" x14ac:dyDescent="0.25">
      <c r="A23" s="1" t="s">
        <v>128</v>
      </c>
      <c r="B23" s="7">
        <v>314151.36</v>
      </c>
      <c r="C23" s="7">
        <v>196597.31000000003</v>
      </c>
      <c r="D23" s="7">
        <v>411169.97000000009</v>
      </c>
      <c r="E23" s="7">
        <v>321557.32</v>
      </c>
      <c r="F23" s="7">
        <v>359659.76000000007</v>
      </c>
      <c r="G23" s="7">
        <v>239522.67000000004</v>
      </c>
      <c r="H23" s="7">
        <v>302593.31000000006</v>
      </c>
      <c r="I23" s="7">
        <v>269255.65000000008</v>
      </c>
      <c r="J23" s="7">
        <v>357858.90000000008</v>
      </c>
      <c r="K23" s="7">
        <v>238462.36000000004</v>
      </c>
      <c r="L23" s="7">
        <v>311965.39000000007</v>
      </c>
      <c r="M23" s="7">
        <v>462273.17000000004</v>
      </c>
    </row>
    <row r="24" spans="1:13" x14ac:dyDescent="0.25">
      <c r="A24" s="1" t="s">
        <v>129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</row>
    <row r="25" spans="1:13" x14ac:dyDescent="0.25">
      <c r="A25" s="1" t="s">
        <v>130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</row>
    <row r="26" spans="1:13" x14ac:dyDescent="0.25">
      <c r="A26" s="1" t="s">
        <v>131</v>
      </c>
      <c r="B26" s="7">
        <v>887944.59</v>
      </c>
      <c r="C26" s="7">
        <v>887944.59</v>
      </c>
      <c r="D26" s="7">
        <v>887944.59</v>
      </c>
      <c r="E26" s="7">
        <v>887944.59</v>
      </c>
      <c r="F26" s="7">
        <v>887944.59</v>
      </c>
      <c r="G26" s="7">
        <v>887944.59</v>
      </c>
      <c r="H26" s="7">
        <v>887944.59</v>
      </c>
      <c r="I26" s="7">
        <v>887944.59</v>
      </c>
      <c r="J26" s="7">
        <v>979155.2</v>
      </c>
      <c r="K26" s="7">
        <v>1007973.58</v>
      </c>
      <c r="L26" s="7">
        <v>1007973.58</v>
      </c>
      <c r="M26" s="7">
        <v>798927.54999999993</v>
      </c>
    </row>
    <row r="27" spans="1:13" x14ac:dyDescent="0.25">
      <c r="A27" s="1" t="s">
        <v>132</v>
      </c>
      <c r="B27" s="7">
        <v>23657.119999999999</v>
      </c>
      <c r="C27" s="7">
        <v>23657.119999999999</v>
      </c>
      <c r="D27" s="7">
        <v>23657.119999999999</v>
      </c>
      <c r="E27" s="7">
        <v>23657.119999999999</v>
      </c>
      <c r="F27" s="7">
        <v>23657.119999999999</v>
      </c>
      <c r="G27" s="7">
        <v>23657.119999999999</v>
      </c>
      <c r="H27" s="7">
        <v>23657.119999999999</v>
      </c>
      <c r="I27" s="7">
        <v>23657.119999999999</v>
      </c>
      <c r="J27" s="7">
        <v>23657.119999999999</v>
      </c>
      <c r="K27" s="7">
        <v>23657.119999999999</v>
      </c>
      <c r="L27" s="7">
        <v>23657.119999999999</v>
      </c>
      <c r="M27" s="7">
        <v>4995.4500000000007</v>
      </c>
    </row>
    <row r="28" spans="1:13" x14ac:dyDescent="0.25">
      <c r="A28" s="1" t="s">
        <v>133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</row>
    <row r="29" spans="1:13" x14ac:dyDescent="0.25">
      <c r="A29" s="1" t="s">
        <v>134</v>
      </c>
      <c r="B29" s="7">
        <v>54871.06</v>
      </c>
      <c r="C29" s="7">
        <v>54871.06</v>
      </c>
      <c r="D29" s="7">
        <v>54871.06</v>
      </c>
      <c r="E29" s="7">
        <v>54871.06</v>
      </c>
      <c r="F29" s="7">
        <v>54871.06</v>
      </c>
      <c r="G29" s="7">
        <v>54871.06</v>
      </c>
      <c r="H29" s="7">
        <v>54871.06</v>
      </c>
      <c r="I29" s="7">
        <v>54871.06</v>
      </c>
      <c r="J29" s="7">
        <v>54871.06</v>
      </c>
      <c r="K29" s="7">
        <v>54871.06</v>
      </c>
      <c r="L29" s="7">
        <v>54871.06</v>
      </c>
      <c r="M29" s="7">
        <v>0</v>
      </c>
    </row>
    <row r="30" spans="1:13" x14ac:dyDescent="0.25">
      <c r="A30" s="1" t="s">
        <v>135</v>
      </c>
      <c r="B30" s="7">
        <v>18384.43</v>
      </c>
      <c r="C30" s="7">
        <v>18384.43</v>
      </c>
      <c r="D30" s="7">
        <v>18384.43</v>
      </c>
      <c r="E30" s="7">
        <v>18384.43</v>
      </c>
      <c r="F30" s="7">
        <v>18384.43</v>
      </c>
      <c r="G30" s="7">
        <v>18384.43</v>
      </c>
      <c r="H30" s="7">
        <v>18384.43</v>
      </c>
      <c r="I30" s="7">
        <v>18384.43</v>
      </c>
      <c r="J30" s="7">
        <v>18384.43</v>
      </c>
      <c r="K30" s="7">
        <v>18384.43</v>
      </c>
      <c r="L30" s="7">
        <v>18384.43</v>
      </c>
      <c r="M30" s="7">
        <v>0</v>
      </c>
    </row>
    <row r="31" spans="1:13" x14ac:dyDescent="0.25">
      <c r="A31" s="1" t="s">
        <v>136</v>
      </c>
      <c r="B31" s="7">
        <v>103275.77</v>
      </c>
      <c r="C31" s="7">
        <v>172805.96000000002</v>
      </c>
      <c r="D31" s="7">
        <v>172805.96000000002</v>
      </c>
      <c r="E31" s="7">
        <v>172805.96000000002</v>
      </c>
      <c r="F31" s="7">
        <v>172805.96000000002</v>
      </c>
      <c r="G31" s="7">
        <v>172805.96000000002</v>
      </c>
      <c r="H31" s="7">
        <v>172805.96000000002</v>
      </c>
      <c r="I31" s="7">
        <v>172805.96000000002</v>
      </c>
      <c r="J31" s="7">
        <v>172805.96000000002</v>
      </c>
      <c r="K31" s="7">
        <v>193555.96000000002</v>
      </c>
      <c r="L31" s="7">
        <v>193555.96000000002</v>
      </c>
      <c r="M31" s="7">
        <v>193555.96000000002</v>
      </c>
    </row>
    <row r="32" spans="1:13" x14ac:dyDescent="0.25">
      <c r="A32" s="1" t="s">
        <v>137</v>
      </c>
      <c r="B32" s="7">
        <v>176531.26</v>
      </c>
      <c r="C32" s="7">
        <v>246061.45</v>
      </c>
      <c r="D32" s="7">
        <v>246061.45</v>
      </c>
      <c r="E32" s="7">
        <v>246061.45</v>
      </c>
      <c r="F32" s="7">
        <v>246061.45</v>
      </c>
      <c r="G32" s="7">
        <v>246061.45</v>
      </c>
      <c r="H32" s="7">
        <v>246061.45</v>
      </c>
      <c r="I32" s="7">
        <v>246061.45</v>
      </c>
      <c r="J32" s="7">
        <v>246061.45</v>
      </c>
      <c r="K32" s="7">
        <v>266811.45</v>
      </c>
      <c r="L32" s="7">
        <v>266811.45</v>
      </c>
      <c r="M32" s="7">
        <v>193555.96000000002</v>
      </c>
    </row>
    <row r="33" spans="1:13" x14ac:dyDescent="0.25">
      <c r="A33" s="1" t="s">
        <v>138</v>
      </c>
      <c r="B33" s="7">
        <v>33286.22</v>
      </c>
      <c r="C33" s="7">
        <v>33286.22</v>
      </c>
      <c r="D33" s="7">
        <v>33286.22</v>
      </c>
      <c r="E33" s="7">
        <v>33286.22</v>
      </c>
      <c r="F33" s="7">
        <v>33286.22</v>
      </c>
      <c r="G33" s="7">
        <v>33286.22</v>
      </c>
      <c r="H33" s="7">
        <v>33286.22</v>
      </c>
      <c r="I33" s="7">
        <v>33286.22</v>
      </c>
      <c r="J33" s="7">
        <v>33286.22</v>
      </c>
      <c r="K33" s="7">
        <v>38358.300000000003</v>
      </c>
      <c r="L33" s="7">
        <v>47272.060000000005</v>
      </c>
      <c r="M33" s="7">
        <v>41549.47</v>
      </c>
    </row>
    <row r="34" spans="1:13" x14ac:dyDescent="0.25">
      <c r="A34" s="1" t="s">
        <v>139</v>
      </c>
      <c r="B34" s="7">
        <v>761069.27</v>
      </c>
      <c r="C34" s="7">
        <v>761069.27</v>
      </c>
      <c r="D34" s="7">
        <v>761069.27</v>
      </c>
      <c r="E34" s="7">
        <v>761069.27</v>
      </c>
      <c r="F34" s="7">
        <v>811454.27</v>
      </c>
      <c r="G34" s="7">
        <v>932344.27</v>
      </c>
      <c r="H34" s="7">
        <v>932344.27</v>
      </c>
      <c r="I34" s="7">
        <v>932344.27</v>
      </c>
      <c r="J34" s="7">
        <v>932344.27</v>
      </c>
      <c r="K34" s="7">
        <v>932344.27</v>
      </c>
      <c r="L34" s="7">
        <v>932344.27</v>
      </c>
      <c r="M34" s="7">
        <v>916024.9</v>
      </c>
    </row>
    <row r="35" spans="1:13" x14ac:dyDescent="0.25">
      <c r="A35" s="1" t="s">
        <v>140</v>
      </c>
      <c r="B35" s="7">
        <v>48500</v>
      </c>
      <c r="C35" s="7">
        <v>48500</v>
      </c>
      <c r="D35" s="7">
        <v>48500</v>
      </c>
      <c r="E35" s="7">
        <v>48500</v>
      </c>
      <c r="F35" s="7">
        <v>48500</v>
      </c>
      <c r="G35" s="7">
        <v>48500</v>
      </c>
      <c r="H35" s="7">
        <v>48500</v>
      </c>
      <c r="I35" s="7">
        <v>48500</v>
      </c>
      <c r="J35" s="7">
        <v>48500</v>
      </c>
      <c r="K35" s="7">
        <v>48500</v>
      </c>
      <c r="L35" s="7">
        <v>48500</v>
      </c>
      <c r="M35" s="7">
        <v>48500</v>
      </c>
    </row>
    <row r="36" spans="1:13" x14ac:dyDescent="0.25">
      <c r="A36" s="1" t="s">
        <v>141</v>
      </c>
      <c r="B36" s="7">
        <v>70555.56</v>
      </c>
      <c r="C36" s="7">
        <v>70555.56</v>
      </c>
      <c r="D36" s="7">
        <v>70555.56</v>
      </c>
      <c r="E36" s="7">
        <v>70555.56</v>
      </c>
      <c r="F36" s="7">
        <v>70555.56</v>
      </c>
      <c r="G36" s="7">
        <v>70555.56</v>
      </c>
      <c r="H36" s="7">
        <v>70555.56</v>
      </c>
      <c r="I36" s="7">
        <v>70555.56</v>
      </c>
      <c r="J36" s="7">
        <v>70555.56</v>
      </c>
      <c r="K36" s="7">
        <v>70555.56</v>
      </c>
      <c r="L36" s="7">
        <v>70555.56</v>
      </c>
      <c r="M36" s="7">
        <v>70555.56</v>
      </c>
    </row>
    <row r="37" spans="1:13" x14ac:dyDescent="0.25">
      <c r="A37" s="1" t="s">
        <v>142</v>
      </c>
      <c r="B37" s="7">
        <v>880124.83000000007</v>
      </c>
      <c r="C37" s="7">
        <v>880124.83000000007</v>
      </c>
      <c r="D37" s="7">
        <v>880124.83000000007</v>
      </c>
      <c r="E37" s="7">
        <v>880124.83000000007</v>
      </c>
      <c r="F37" s="7">
        <v>930509.83000000007</v>
      </c>
      <c r="G37" s="7">
        <v>1051399.83</v>
      </c>
      <c r="H37" s="7">
        <v>1051399.83</v>
      </c>
      <c r="I37" s="7">
        <v>1051399.83</v>
      </c>
      <c r="J37" s="7">
        <v>1051399.83</v>
      </c>
      <c r="K37" s="7">
        <v>1051399.83</v>
      </c>
      <c r="L37" s="7">
        <v>1051399.83</v>
      </c>
      <c r="M37" s="7">
        <v>1035080.46</v>
      </c>
    </row>
    <row r="38" spans="1:13" x14ac:dyDescent="0.25">
      <c r="A38" s="1" t="s">
        <v>143</v>
      </c>
      <c r="B38" s="7">
        <v>-1047115.16</v>
      </c>
      <c r="C38" s="7">
        <v>-1047115.16</v>
      </c>
      <c r="D38" s="7">
        <v>-1047115.16</v>
      </c>
      <c r="E38" s="7">
        <v>-1047115.16</v>
      </c>
      <c r="F38" s="7">
        <v>-1047115.16</v>
      </c>
      <c r="G38" s="7">
        <v>-1047115.16</v>
      </c>
      <c r="H38" s="7">
        <v>-1047115.16</v>
      </c>
      <c r="I38" s="7">
        <v>-1047115.16</v>
      </c>
      <c r="J38" s="7">
        <v>-1047115.16</v>
      </c>
      <c r="K38" s="7">
        <v>-1047115.16</v>
      </c>
      <c r="L38" s="7">
        <v>-1047115.16</v>
      </c>
      <c r="M38" s="7">
        <v>-991109.9</v>
      </c>
    </row>
    <row r="39" spans="1:13" x14ac:dyDescent="0.25">
      <c r="A39" s="1" t="s">
        <v>144</v>
      </c>
      <c r="B39" s="7">
        <v>954428.86</v>
      </c>
      <c r="C39" s="7">
        <v>1023959.0499999999</v>
      </c>
      <c r="D39" s="7">
        <v>1023959.0499999999</v>
      </c>
      <c r="E39" s="7">
        <v>1023959.0499999999</v>
      </c>
      <c r="F39" s="7">
        <v>1074344.0499999998</v>
      </c>
      <c r="G39" s="7">
        <v>1195234.0499999998</v>
      </c>
      <c r="H39" s="7">
        <v>1195234.0499999998</v>
      </c>
      <c r="I39" s="7">
        <v>1195234.0499999998</v>
      </c>
      <c r="J39" s="7">
        <v>1286444.6600000001</v>
      </c>
      <c r="K39" s="7">
        <v>1341085.1200000001</v>
      </c>
      <c r="L39" s="7">
        <v>1349998.88</v>
      </c>
      <c r="M39" s="7">
        <v>1082998.9899999998</v>
      </c>
    </row>
    <row r="40" spans="1:13" x14ac:dyDescent="0.25">
      <c r="A40" s="1" t="s">
        <v>145</v>
      </c>
      <c r="B40" s="7">
        <v>954428.86</v>
      </c>
      <c r="C40" s="7">
        <v>1023959.0499999999</v>
      </c>
      <c r="D40" s="7">
        <v>1023959.0499999999</v>
      </c>
      <c r="E40" s="7">
        <v>1023959.0499999999</v>
      </c>
      <c r="F40" s="7">
        <v>1074344.0499999998</v>
      </c>
      <c r="G40" s="7">
        <v>1195234.0499999998</v>
      </c>
      <c r="H40" s="7">
        <v>1195234.0499999998</v>
      </c>
      <c r="I40" s="7">
        <v>1195234.0499999998</v>
      </c>
      <c r="J40" s="7">
        <v>1286444.6600000001</v>
      </c>
      <c r="K40" s="7">
        <v>1341085.1200000001</v>
      </c>
      <c r="L40" s="7">
        <v>1349998.88</v>
      </c>
      <c r="M40" s="7">
        <v>1082998.9899999998</v>
      </c>
    </row>
    <row r="41" spans="1:13" x14ac:dyDescent="0.25">
      <c r="A41" s="1" t="s">
        <v>146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147</v>
      </c>
      <c r="B42" s="7">
        <v>824</v>
      </c>
      <c r="C42" s="7">
        <v>824</v>
      </c>
      <c r="D42" s="7">
        <v>824</v>
      </c>
      <c r="E42" s="7">
        <v>824</v>
      </c>
      <c r="F42" s="7">
        <v>824</v>
      </c>
      <c r="G42" s="7">
        <v>824</v>
      </c>
      <c r="H42" s="7">
        <v>824</v>
      </c>
      <c r="I42" s="7">
        <v>824</v>
      </c>
      <c r="J42" s="7">
        <v>824</v>
      </c>
      <c r="K42" s="7">
        <v>824</v>
      </c>
      <c r="L42" s="7">
        <v>824</v>
      </c>
      <c r="M42" s="7">
        <v>0</v>
      </c>
    </row>
    <row r="43" spans="1:13" x14ac:dyDescent="0.25">
      <c r="A43" s="1" t="s">
        <v>148</v>
      </c>
      <c r="B43" s="7">
        <v>0</v>
      </c>
      <c r="C43" s="7">
        <v>0</v>
      </c>
      <c r="D43" s="7">
        <v>0</v>
      </c>
      <c r="E43" s="7">
        <v>700</v>
      </c>
      <c r="F43" s="7">
        <v>700</v>
      </c>
      <c r="G43" s="7">
        <v>700</v>
      </c>
      <c r="H43" s="7">
        <v>700</v>
      </c>
      <c r="I43" s="7">
        <v>700</v>
      </c>
      <c r="J43" s="7">
        <v>700</v>
      </c>
      <c r="K43" s="7">
        <v>700</v>
      </c>
      <c r="L43" s="7">
        <v>700</v>
      </c>
      <c r="M43" s="7">
        <v>700</v>
      </c>
    </row>
    <row r="44" spans="1:13" x14ac:dyDescent="0.25">
      <c r="A44" s="1" t="s">
        <v>149</v>
      </c>
      <c r="B44" s="7">
        <v>824</v>
      </c>
      <c r="C44" s="7">
        <v>824</v>
      </c>
      <c r="D44" s="7">
        <v>824</v>
      </c>
      <c r="E44" s="7">
        <v>1524</v>
      </c>
      <c r="F44" s="7">
        <v>1524</v>
      </c>
      <c r="G44" s="7">
        <v>1524</v>
      </c>
      <c r="H44" s="7">
        <v>1524</v>
      </c>
      <c r="I44" s="7">
        <v>1524</v>
      </c>
      <c r="J44" s="7">
        <v>1524</v>
      </c>
      <c r="K44" s="7">
        <v>1524</v>
      </c>
      <c r="L44" s="7">
        <v>1524</v>
      </c>
      <c r="M44" s="7">
        <v>700</v>
      </c>
    </row>
    <row r="45" spans="1:13" x14ac:dyDescent="0.25">
      <c r="A45" s="1" t="s">
        <v>150</v>
      </c>
      <c r="B45" s="7">
        <v>1269404.22</v>
      </c>
      <c r="C45" s="7">
        <v>1221380.3599999999</v>
      </c>
      <c r="D45" s="7">
        <v>1435953.02</v>
      </c>
      <c r="E45" s="7">
        <v>1347040.3699999999</v>
      </c>
      <c r="F45" s="7">
        <v>1435527.8099999998</v>
      </c>
      <c r="G45" s="7">
        <v>1436280.7199999997</v>
      </c>
      <c r="H45" s="7">
        <v>1499351.3599999999</v>
      </c>
      <c r="I45" s="7">
        <v>1466013.7</v>
      </c>
      <c r="J45" s="7">
        <v>1645827.5600000003</v>
      </c>
      <c r="K45" s="7">
        <v>1581071.4800000002</v>
      </c>
      <c r="L45" s="7">
        <v>1663488.27</v>
      </c>
      <c r="M45" s="7">
        <v>1545972.1599999997</v>
      </c>
    </row>
    <row r="46" spans="1:13" x14ac:dyDescent="0.25">
      <c r="A46" s="1" t="s">
        <v>151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</row>
    <row r="47" spans="1:13" x14ac:dyDescent="0.25">
      <c r="A47" s="1" t="s">
        <v>152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</row>
    <row r="48" spans="1:13" x14ac:dyDescent="0.25">
      <c r="A48" s="1" t="s">
        <v>153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</row>
    <row r="49" spans="1:13" x14ac:dyDescent="0.25">
      <c r="A49" s="1" t="s">
        <v>154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155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</row>
    <row r="51" spans="1:13" x14ac:dyDescent="0.25">
      <c r="A51" s="1" t="s">
        <v>156</v>
      </c>
      <c r="B51" s="7">
        <v>15476.72</v>
      </c>
      <c r="C51" s="7">
        <v>7848.3399999999992</v>
      </c>
      <c r="D51" s="7">
        <v>6781.2199999999993</v>
      </c>
      <c r="E51" s="7">
        <v>8776.119999999999</v>
      </c>
      <c r="F51" s="7">
        <v>6202.9399999999987</v>
      </c>
      <c r="G51" s="7">
        <v>11732.259999999998</v>
      </c>
      <c r="H51" s="7">
        <v>15515.469999999998</v>
      </c>
      <c r="I51" s="7">
        <v>8655.9099999999962</v>
      </c>
      <c r="J51" s="7">
        <v>9312.8799999999956</v>
      </c>
      <c r="K51" s="7">
        <v>3059.9199999999955</v>
      </c>
      <c r="L51" s="7">
        <v>19646.339999999993</v>
      </c>
      <c r="M51" s="7">
        <v>17417.709999999992</v>
      </c>
    </row>
    <row r="52" spans="1:13" x14ac:dyDescent="0.25">
      <c r="A52" s="1" t="s">
        <v>157</v>
      </c>
      <c r="B52" s="7">
        <v>32621.91</v>
      </c>
      <c r="C52" s="7">
        <v>23081.52</v>
      </c>
      <c r="D52" s="7">
        <v>76.290000000000873</v>
      </c>
      <c r="E52" s="7">
        <v>4558.5400000000009</v>
      </c>
      <c r="F52" s="7">
        <v>3321.2400000000007</v>
      </c>
      <c r="G52" s="7">
        <v>5889.4900000000007</v>
      </c>
      <c r="H52" s="7">
        <v>18385.43</v>
      </c>
      <c r="I52" s="7">
        <v>579.45000000000073</v>
      </c>
      <c r="J52" s="7">
        <v>16522.27</v>
      </c>
      <c r="K52" s="7">
        <v>24019.57</v>
      </c>
      <c r="L52" s="7">
        <v>4913.2099999999991</v>
      </c>
      <c r="M52" s="7">
        <v>32047.829999999998</v>
      </c>
    </row>
    <row r="53" spans="1:13" x14ac:dyDescent="0.25">
      <c r="A53" s="1" t="s">
        <v>158</v>
      </c>
      <c r="B53" s="7">
        <v>1754.21</v>
      </c>
      <c r="C53" s="7">
        <v>1974.46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</row>
    <row r="54" spans="1:13" x14ac:dyDescent="0.25">
      <c r="A54" s="1" t="s">
        <v>159</v>
      </c>
      <c r="B54" s="7">
        <v>29485.98</v>
      </c>
      <c r="C54" s="7">
        <v>14813.039999999999</v>
      </c>
      <c r="D54" s="7">
        <v>7994.8399999999992</v>
      </c>
      <c r="E54" s="7">
        <v>2084.7199999999993</v>
      </c>
      <c r="F54" s="7">
        <v>16586.080000000002</v>
      </c>
      <c r="G54" s="7">
        <v>13327.130000000001</v>
      </c>
      <c r="H54" s="7">
        <v>13405.34</v>
      </c>
      <c r="I54" s="7">
        <v>23086.73</v>
      </c>
      <c r="J54" s="7">
        <v>16269.57</v>
      </c>
      <c r="K54" s="7">
        <v>21621.8</v>
      </c>
      <c r="L54" s="7">
        <v>1949.1499999999978</v>
      </c>
      <c r="M54" s="7">
        <v>8999.6899999999987</v>
      </c>
    </row>
    <row r="55" spans="1:13" x14ac:dyDescent="0.25">
      <c r="A55" s="1" t="s">
        <v>160</v>
      </c>
      <c r="B55" s="7">
        <v>0</v>
      </c>
      <c r="C55" s="7">
        <v>0</v>
      </c>
      <c r="D55" s="7">
        <v>0</v>
      </c>
      <c r="E55" s="7">
        <v>694.4</v>
      </c>
      <c r="F55" s="7">
        <v>694.4</v>
      </c>
      <c r="G55" s="7">
        <v>740.85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</row>
    <row r="56" spans="1:13" x14ac:dyDescent="0.25">
      <c r="A56" s="1" t="s">
        <v>161</v>
      </c>
      <c r="B56" s="7">
        <v>0</v>
      </c>
      <c r="C56" s="7">
        <v>6506.06</v>
      </c>
      <c r="D56" s="7">
        <v>-3472.5299999999997</v>
      </c>
      <c r="E56" s="7">
        <v>-61.869999999999891</v>
      </c>
      <c r="F56" s="7">
        <v>1.0658141036401503E-13</v>
      </c>
      <c r="G56" s="7">
        <v>1.0658141036401503E-13</v>
      </c>
      <c r="H56" s="7">
        <v>11811.61</v>
      </c>
      <c r="I56" s="7">
        <v>0</v>
      </c>
      <c r="J56" s="7">
        <v>0</v>
      </c>
      <c r="K56" s="7">
        <v>10562.31</v>
      </c>
      <c r="L56" s="7">
        <v>0</v>
      </c>
      <c r="M56" s="7">
        <v>0</v>
      </c>
    </row>
    <row r="57" spans="1:13" x14ac:dyDescent="0.25">
      <c r="A57" s="1" t="s">
        <v>162</v>
      </c>
      <c r="B57" s="7">
        <v>4896.88</v>
      </c>
      <c r="C57" s="7">
        <v>9265.4700000000012</v>
      </c>
      <c r="D57" s="7">
        <v>9738.69</v>
      </c>
      <c r="E57" s="7">
        <v>117.54000000000087</v>
      </c>
      <c r="F57" s="7">
        <v>8.6686213762732223E-13</v>
      </c>
      <c r="G57" s="7">
        <v>8969.5300000000007</v>
      </c>
      <c r="H57" s="7">
        <v>7869.2400000000007</v>
      </c>
      <c r="I57" s="7">
        <v>7608.1600000000008</v>
      </c>
      <c r="J57" s="7">
        <v>10621.68</v>
      </c>
      <c r="K57" s="7">
        <v>2171.6200000000008</v>
      </c>
      <c r="L57" s="7">
        <v>9.0949470177292824E-13</v>
      </c>
      <c r="M57" s="7">
        <v>11.74000000000091</v>
      </c>
    </row>
    <row r="58" spans="1:13" x14ac:dyDescent="0.25">
      <c r="A58" s="1" t="s">
        <v>163</v>
      </c>
      <c r="B58" s="7">
        <v>1619.52</v>
      </c>
      <c r="C58" s="7">
        <v>209.98000000000002</v>
      </c>
      <c r="D58" s="7">
        <v>327.43</v>
      </c>
      <c r="E58" s="7">
        <v>0</v>
      </c>
      <c r="F58" s="7">
        <v>0</v>
      </c>
      <c r="G58" s="7">
        <v>628.16</v>
      </c>
      <c r="H58" s="7">
        <v>642.79</v>
      </c>
      <c r="I58" s="7">
        <v>367.99999999999994</v>
      </c>
      <c r="J58" s="7">
        <v>-5.6843418860808015E-14</v>
      </c>
      <c r="K58" s="7">
        <v>-5.6843418860808015E-14</v>
      </c>
      <c r="L58" s="7">
        <v>-5.6843418860808015E-14</v>
      </c>
      <c r="M58" s="7">
        <v>-5.6843418860808015E-14</v>
      </c>
    </row>
    <row r="59" spans="1:13" x14ac:dyDescent="0.25">
      <c r="A59" s="1" t="s">
        <v>164</v>
      </c>
      <c r="B59" s="7">
        <v>0</v>
      </c>
      <c r="C59" s="7">
        <v>126.33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336.64</v>
      </c>
      <c r="J59" s="7">
        <v>46.629999999999995</v>
      </c>
      <c r="K59" s="7">
        <v>-7.1054273576010019E-15</v>
      </c>
      <c r="L59" s="7">
        <v>-7.1054273576010019E-15</v>
      </c>
      <c r="M59" s="7">
        <v>-7.1054273576010019E-15</v>
      </c>
    </row>
    <row r="60" spans="1:13" x14ac:dyDescent="0.25">
      <c r="A60" s="1" t="s">
        <v>165</v>
      </c>
      <c r="B60" s="7">
        <v>0</v>
      </c>
      <c r="C60" s="7">
        <v>0</v>
      </c>
      <c r="D60" s="7">
        <v>30.56</v>
      </c>
      <c r="E60" s="7">
        <v>0</v>
      </c>
      <c r="F60" s="7">
        <v>0</v>
      </c>
      <c r="G60" s="7">
        <v>23.17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</row>
    <row r="61" spans="1:13" x14ac:dyDescent="0.25">
      <c r="A61" s="1" t="s">
        <v>166</v>
      </c>
      <c r="B61" s="7">
        <v>67.039999999999992</v>
      </c>
      <c r="C61" s="7">
        <v>-1.4210854715202004E-14</v>
      </c>
      <c r="D61" s="7">
        <v>-1.4210854715202004E-14</v>
      </c>
      <c r="E61" s="7">
        <v>-1.4210854715202004E-14</v>
      </c>
      <c r="F61" s="7">
        <v>-1.4210854715202004E-14</v>
      </c>
      <c r="G61" s="7">
        <v>-1.4210854715202004E-14</v>
      </c>
      <c r="H61" s="7">
        <v>-1.4210854715202004E-14</v>
      </c>
      <c r="I61" s="7">
        <v>-1.4210854715202004E-14</v>
      </c>
      <c r="J61" s="7">
        <v>-1.4210854715202004E-14</v>
      </c>
      <c r="K61" s="7">
        <v>-1.4210854715202004E-14</v>
      </c>
      <c r="L61" s="7">
        <v>-1.4210854715202004E-14</v>
      </c>
      <c r="M61" s="7">
        <v>-1.4210854715202004E-14</v>
      </c>
    </row>
    <row r="62" spans="1:13" x14ac:dyDescent="0.25">
      <c r="A62" s="1" t="s">
        <v>167</v>
      </c>
      <c r="B62" s="7">
        <v>7556.7199999999993</v>
      </c>
      <c r="C62" s="7">
        <v>7536.1299999999992</v>
      </c>
      <c r="D62" s="7">
        <v>-9.0949470177292824E-13</v>
      </c>
      <c r="E62" s="7">
        <v>-9.0949470177292824E-13</v>
      </c>
      <c r="F62" s="7">
        <v>-9.0949470177292824E-13</v>
      </c>
      <c r="G62" s="7">
        <v>-9.0949470177292824E-13</v>
      </c>
      <c r="H62" s="7">
        <v>-9.0949470177292824E-13</v>
      </c>
      <c r="I62" s="7">
        <v>-9.0949470177292824E-13</v>
      </c>
      <c r="J62" s="7">
        <v>49.999999999999091</v>
      </c>
      <c r="K62" s="7">
        <v>-9.0949470177292824E-13</v>
      </c>
      <c r="L62" s="7">
        <v>-9.0949470177292824E-13</v>
      </c>
      <c r="M62" s="7">
        <v>-9.0949470177292824E-13</v>
      </c>
    </row>
    <row r="63" spans="1:13" x14ac:dyDescent="0.25">
      <c r="A63" s="1" t="s">
        <v>168</v>
      </c>
      <c r="B63" s="7">
        <v>93478.98</v>
      </c>
      <c r="C63" s="7">
        <v>71361.33</v>
      </c>
      <c r="D63" s="7">
        <v>21476.500000000004</v>
      </c>
      <c r="E63" s="7">
        <v>16169.45</v>
      </c>
      <c r="F63" s="7">
        <v>26804.660000000003</v>
      </c>
      <c r="G63" s="7">
        <v>41310.590000000004</v>
      </c>
      <c r="H63" s="7">
        <v>67629.87999999999</v>
      </c>
      <c r="I63" s="7">
        <v>40634.89</v>
      </c>
      <c r="J63" s="7">
        <v>52823.029999999992</v>
      </c>
      <c r="K63" s="7">
        <v>61435.219999999994</v>
      </c>
      <c r="L63" s="7">
        <v>26508.69999999999</v>
      </c>
      <c r="M63" s="7">
        <v>58476.969999999994</v>
      </c>
    </row>
    <row r="64" spans="1:13" x14ac:dyDescent="0.25">
      <c r="A64" s="1" t="s">
        <v>169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</row>
    <row r="65" spans="1:13" x14ac:dyDescent="0.25">
      <c r="A65" s="1" t="s">
        <v>170</v>
      </c>
      <c r="B65" s="7">
        <v>210000</v>
      </c>
      <c r="C65" s="7">
        <v>360000</v>
      </c>
      <c r="D65" s="7">
        <v>375707.44</v>
      </c>
      <c r="E65" s="7">
        <v>375707.44</v>
      </c>
      <c r="F65" s="7">
        <v>367707.44</v>
      </c>
      <c r="G65" s="7">
        <v>215707.44</v>
      </c>
      <c r="H65" s="7">
        <v>255707.44</v>
      </c>
      <c r="I65" s="7">
        <v>318000</v>
      </c>
      <c r="J65" s="7">
        <v>360000</v>
      </c>
      <c r="K65" s="7">
        <v>360000</v>
      </c>
      <c r="L65" s="7">
        <v>400000</v>
      </c>
      <c r="M65" s="7">
        <v>400000</v>
      </c>
    </row>
    <row r="66" spans="1:13" x14ac:dyDescent="0.25">
      <c r="A66" s="1" t="s">
        <v>171</v>
      </c>
      <c r="B66" s="7">
        <v>0</v>
      </c>
      <c r="C66" s="7">
        <v>0</v>
      </c>
      <c r="D66" s="7">
        <v>17533.63</v>
      </c>
      <c r="E66" s="7">
        <v>-14640.48</v>
      </c>
      <c r="F66" s="7">
        <v>-14640.48</v>
      </c>
      <c r="G66" s="7">
        <v>-14822.48</v>
      </c>
      <c r="H66" s="7">
        <v>-14822.48</v>
      </c>
      <c r="I66" s="7">
        <v>-14822.48</v>
      </c>
      <c r="J66" s="7">
        <v>-14822.48</v>
      </c>
      <c r="K66" s="7">
        <v>-14822.48</v>
      </c>
      <c r="L66" s="7">
        <v>-14822.48</v>
      </c>
      <c r="M66" s="7">
        <v>0</v>
      </c>
    </row>
    <row r="67" spans="1:13" x14ac:dyDescent="0.25">
      <c r="A67" s="1" t="s">
        <v>172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</row>
    <row r="68" spans="1:13" x14ac:dyDescent="0.25">
      <c r="A68" s="1" t="s">
        <v>173</v>
      </c>
      <c r="B68" s="7">
        <v>32174.11</v>
      </c>
      <c r="C68" s="7">
        <v>32174.11</v>
      </c>
      <c r="D68" s="7">
        <v>31648.95</v>
      </c>
      <c r="E68" s="7">
        <v>32380.280000000002</v>
      </c>
      <c r="F68" s="7">
        <v>15061.220000000001</v>
      </c>
      <c r="G68" s="7">
        <v>15061.220000000001</v>
      </c>
      <c r="H68" s="7">
        <v>15061.220000000001</v>
      </c>
      <c r="I68" s="7">
        <v>33832.43</v>
      </c>
      <c r="J68" s="7">
        <v>37046.629999999997</v>
      </c>
      <c r="K68" s="7">
        <v>15061.219999999998</v>
      </c>
      <c r="L68" s="7">
        <v>15061.219999999998</v>
      </c>
      <c r="M68" s="7">
        <v>-1.8189894035458565E-12</v>
      </c>
    </row>
    <row r="69" spans="1:13" x14ac:dyDescent="0.25">
      <c r="A69" s="1" t="s">
        <v>174</v>
      </c>
      <c r="B69" s="7">
        <v>546</v>
      </c>
      <c r="C69" s="7">
        <v>821.6</v>
      </c>
      <c r="D69" s="7">
        <v>947.49</v>
      </c>
      <c r="E69" s="7">
        <v>-122.52999999999997</v>
      </c>
      <c r="F69" s="7">
        <v>-118.08999999999997</v>
      </c>
      <c r="G69" s="7">
        <v>-67.259999999999977</v>
      </c>
      <c r="H69" s="7">
        <v>-33.219999999999978</v>
      </c>
      <c r="I69" s="7">
        <v>-28.349999999999977</v>
      </c>
      <c r="J69" s="7">
        <v>17.860000000000024</v>
      </c>
      <c r="K69" s="7">
        <v>88.270000000000024</v>
      </c>
      <c r="L69" s="7">
        <v>254.82000000000005</v>
      </c>
      <c r="M69" s="7">
        <v>599.23</v>
      </c>
    </row>
    <row r="70" spans="1:13" x14ac:dyDescent="0.25">
      <c r="A70" s="1" t="s">
        <v>175</v>
      </c>
      <c r="B70" s="7">
        <v>11107.67</v>
      </c>
      <c r="C70" s="7">
        <v>15942.2</v>
      </c>
      <c r="D70" s="7">
        <v>17170.580000000002</v>
      </c>
      <c r="E70" s="7">
        <v>14831.880000000001</v>
      </c>
      <c r="F70" s="7">
        <v>14906.95</v>
      </c>
      <c r="G70" s="7">
        <v>14896.83</v>
      </c>
      <c r="H70" s="7">
        <v>14768.91</v>
      </c>
      <c r="I70" s="7">
        <v>17559.89</v>
      </c>
      <c r="J70" s="7">
        <v>15549.8</v>
      </c>
      <c r="K70" s="7">
        <v>16389.649999999998</v>
      </c>
      <c r="L70" s="7">
        <v>17945.689999999999</v>
      </c>
      <c r="M70" s="7">
        <v>7005.3299999999981</v>
      </c>
    </row>
    <row r="71" spans="1:13" x14ac:dyDescent="0.25">
      <c r="A71" s="1" t="s">
        <v>176</v>
      </c>
      <c r="B71" s="7">
        <v>185.55</v>
      </c>
      <c r="C71" s="7">
        <v>271.78000000000003</v>
      </c>
      <c r="D71" s="7">
        <v>-604.71</v>
      </c>
      <c r="E71" s="7">
        <v>-922.32</v>
      </c>
      <c r="F71" s="7">
        <v>-917.88</v>
      </c>
      <c r="G71" s="7">
        <v>-915.18</v>
      </c>
      <c r="H71" s="7">
        <v>-936.62</v>
      </c>
      <c r="I71" s="7">
        <v>-935.41</v>
      </c>
      <c r="J71" s="7">
        <v>-920.01</v>
      </c>
      <c r="K71" s="7">
        <v>-926.45</v>
      </c>
      <c r="L71" s="7">
        <v>-894.86</v>
      </c>
      <c r="M71" s="7">
        <v>70.569999999999936</v>
      </c>
    </row>
    <row r="72" spans="1:13" x14ac:dyDescent="0.25">
      <c r="A72" s="1" t="s">
        <v>177</v>
      </c>
      <c r="B72" s="7">
        <v>549.91</v>
      </c>
      <c r="C72" s="7">
        <v>598.47</v>
      </c>
      <c r="D72" s="7">
        <v>977.02</v>
      </c>
      <c r="E72" s="7">
        <v>594</v>
      </c>
      <c r="F72" s="7">
        <v>657.4</v>
      </c>
      <c r="G72" s="7">
        <v>653.86</v>
      </c>
      <c r="H72" s="7">
        <v>983.88</v>
      </c>
      <c r="I72" s="7">
        <v>2198.0500000000002</v>
      </c>
      <c r="J72" s="7">
        <v>1354.46</v>
      </c>
      <c r="K72" s="7">
        <v>1656.17</v>
      </c>
      <c r="L72" s="7">
        <v>2067.25</v>
      </c>
      <c r="M72" s="7">
        <v>2811.42</v>
      </c>
    </row>
    <row r="73" spans="1:13" x14ac:dyDescent="0.25">
      <c r="A73" s="1" t="s">
        <v>178</v>
      </c>
      <c r="B73" s="7">
        <v>287.69</v>
      </c>
      <c r="C73" s="7">
        <v>464.34000000000003</v>
      </c>
      <c r="D73" s="7">
        <v>513</v>
      </c>
      <c r="E73" s="7">
        <v>0</v>
      </c>
      <c r="F73" s="7">
        <v>0</v>
      </c>
      <c r="G73" s="7">
        <v>264.99</v>
      </c>
      <c r="H73" s="7">
        <v>174.93</v>
      </c>
      <c r="I73" s="7">
        <v>248.01</v>
      </c>
      <c r="J73" s="7">
        <v>248.01</v>
      </c>
      <c r="K73" s="7">
        <v>206.5</v>
      </c>
      <c r="L73" s="7">
        <v>613.55999999999995</v>
      </c>
      <c r="M73" s="7">
        <v>1216.28</v>
      </c>
    </row>
    <row r="74" spans="1:13" x14ac:dyDescent="0.25">
      <c r="A74" s="1" t="s">
        <v>179</v>
      </c>
      <c r="B74" s="7">
        <v>167.5</v>
      </c>
      <c r="C74" s="7">
        <v>583.20000000000005</v>
      </c>
      <c r="D74" s="7">
        <v>1206.06</v>
      </c>
      <c r="E74" s="7">
        <v>413.03999999999996</v>
      </c>
      <c r="F74" s="7">
        <v>826.07999999999993</v>
      </c>
      <c r="G74" s="7">
        <v>1239.1199999999999</v>
      </c>
      <c r="H74" s="7">
        <v>413.03999999999985</v>
      </c>
      <c r="I74" s="7">
        <v>1052.1599999999999</v>
      </c>
      <c r="J74" s="7">
        <v>1496.9899999999998</v>
      </c>
      <c r="K74" s="7">
        <v>457.05999999999972</v>
      </c>
      <c r="L74" s="7">
        <v>914.11999999999966</v>
      </c>
      <c r="M74" s="7">
        <v>1371.1799999999996</v>
      </c>
    </row>
    <row r="75" spans="1:13" x14ac:dyDescent="0.25">
      <c r="A75" s="1" t="s">
        <v>180</v>
      </c>
      <c r="B75" s="7">
        <v>0</v>
      </c>
      <c r="C75" s="7">
        <v>195.46</v>
      </c>
      <c r="D75" s="7">
        <v>221</v>
      </c>
      <c r="E75" s="7">
        <v>221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</row>
    <row r="76" spans="1:13" x14ac:dyDescent="0.25">
      <c r="A76" s="1" t="s">
        <v>181</v>
      </c>
      <c r="B76" s="7">
        <v>402.25</v>
      </c>
      <c r="C76" s="7">
        <v>502.62</v>
      </c>
      <c r="D76" s="7">
        <v>567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</row>
    <row r="77" spans="1:13" x14ac:dyDescent="0.25">
      <c r="A77" s="1" t="s">
        <v>182</v>
      </c>
      <c r="B77" s="7">
        <v>45420.680000000008</v>
      </c>
      <c r="C77" s="7">
        <v>51553.78</v>
      </c>
      <c r="D77" s="7">
        <v>52646.39</v>
      </c>
      <c r="E77" s="7">
        <v>47395.350000000006</v>
      </c>
      <c r="F77" s="7">
        <v>30415.68</v>
      </c>
      <c r="G77" s="7">
        <v>31133.58</v>
      </c>
      <c r="H77" s="7">
        <v>30432.140000000007</v>
      </c>
      <c r="I77" s="7">
        <v>53926.78</v>
      </c>
      <c r="J77" s="7">
        <v>54793.739999999991</v>
      </c>
      <c r="K77" s="7">
        <v>32932.419999999991</v>
      </c>
      <c r="L77" s="7">
        <v>35961.799999999996</v>
      </c>
      <c r="M77" s="7">
        <v>13074.009999999997</v>
      </c>
    </row>
    <row r="78" spans="1:13" x14ac:dyDescent="0.25">
      <c r="A78" s="1" t="s">
        <v>183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184</v>
      </c>
      <c r="B79" s="7">
        <v>-990.56</v>
      </c>
      <c r="C79" s="7">
        <v>-1638.32</v>
      </c>
      <c r="D79" s="7">
        <v>-472.54999999999995</v>
      </c>
      <c r="E79" s="7">
        <v>-593.13</v>
      </c>
      <c r="F79" s="7">
        <v>-694.68</v>
      </c>
      <c r="G79" s="7">
        <v>-678.17</v>
      </c>
      <c r="H79" s="7">
        <v>-842.82999999999993</v>
      </c>
      <c r="I79" s="7">
        <v>-323.74999999999989</v>
      </c>
      <c r="J79" s="7">
        <v>-576.4799999999999</v>
      </c>
      <c r="K79" s="7">
        <v>-704.76999999999987</v>
      </c>
      <c r="L79" s="7">
        <v>-802.24999999999989</v>
      </c>
      <c r="M79" s="7">
        <v>1326.8000000000002</v>
      </c>
    </row>
    <row r="80" spans="1:13" x14ac:dyDescent="0.25">
      <c r="A80" s="1" t="s">
        <v>185</v>
      </c>
      <c r="B80" s="7">
        <v>148.91999999999999</v>
      </c>
      <c r="C80" s="7">
        <v>320.86</v>
      </c>
      <c r="D80" s="7">
        <v>597.77</v>
      </c>
      <c r="E80" s="7">
        <v>558.74</v>
      </c>
      <c r="F80" s="7">
        <v>535.25</v>
      </c>
      <c r="G80" s="7">
        <v>543.52</v>
      </c>
      <c r="H80" s="7">
        <v>502.95</v>
      </c>
      <c r="I80" s="7">
        <v>622.87</v>
      </c>
      <c r="J80" s="7">
        <v>570.51</v>
      </c>
      <c r="K80" s="7">
        <v>548.18999999999994</v>
      </c>
      <c r="L80" s="7">
        <v>526.44999999999993</v>
      </c>
      <c r="M80" s="7">
        <v>289.00999999999993</v>
      </c>
    </row>
    <row r="81" spans="1:13" x14ac:dyDescent="0.25">
      <c r="A81" s="1" t="s">
        <v>186</v>
      </c>
      <c r="B81" s="7">
        <v>0</v>
      </c>
      <c r="C81" s="7">
        <v>0</v>
      </c>
      <c r="D81" s="7">
        <v>0</v>
      </c>
      <c r="E81" s="7">
        <v>9.9499999999999993</v>
      </c>
      <c r="F81" s="7">
        <v>-13.5</v>
      </c>
      <c r="G81" s="7">
        <v>31.189999999999998</v>
      </c>
      <c r="H81" s="7">
        <v>6.6099999999999994</v>
      </c>
      <c r="I81" s="7">
        <v>81.19</v>
      </c>
      <c r="J81" s="7">
        <v>62.9</v>
      </c>
      <c r="K81" s="7">
        <v>43.91</v>
      </c>
      <c r="L81" s="7">
        <v>50.86</v>
      </c>
      <c r="M81" s="7">
        <v>279.36</v>
      </c>
    </row>
    <row r="82" spans="1:13" x14ac:dyDescent="0.25">
      <c r="A82" s="1" t="s">
        <v>187</v>
      </c>
      <c r="B82" s="7">
        <v>0</v>
      </c>
      <c r="C82" s="7">
        <v>0</v>
      </c>
      <c r="D82" s="7">
        <v>0</v>
      </c>
      <c r="E82" s="7">
        <v>-74.09</v>
      </c>
      <c r="F82" s="7">
        <v>-91.92</v>
      </c>
      <c r="G82" s="7">
        <v>-71.849999999999994</v>
      </c>
      <c r="H82" s="7">
        <v>-99.339999999999989</v>
      </c>
      <c r="I82" s="7">
        <v>8.2800000000000153</v>
      </c>
      <c r="J82" s="7">
        <v>-28.119999999999983</v>
      </c>
      <c r="K82" s="7">
        <v>-51.499999999999986</v>
      </c>
      <c r="L82" s="7">
        <v>-55.739999999999988</v>
      </c>
      <c r="M82" s="7">
        <v>328.15999999999997</v>
      </c>
    </row>
    <row r="83" spans="1:13" x14ac:dyDescent="0.25">
      <c r="A83" s="1" t="s">
        <v>188</v>
      </c>
      <c r="B83" s="7">
        <v>0</v>
      </c>
      <c r="C83" s="7">
        <v>0</v>
      </c>
      <c r="D83" s="7">
        <v>0</v>
      </c>
      <c r="E83" s="7">
        <v>-98.44</v>
      </c>
      <c r="F83" s="7">
        <v>-178.84</v>
      </c>
      <c r="G83" s="7">
        <v>-64.73</v>
      </c>
      <c r="H83" s="7">
        <v>-141.13999999999999</v>
      </c>
      <c r="I83" s="7">
        <v>146.54000000000002</v>
      </c>
      <c r="J83" s="7">
        <v>89.03000000000003</v>
      </c>
      <c r="K83" s="7">
        <v>54.340000000000032</v>
      </c>
      <c r="L83" s="7">
        <v>-23.699999999999974</v>
      </c>
      <c r="M83" s="7">
        <v>928.07</v>
      </c>
    </row>
    <row r="84" spans="1:13" x14ac:dyDescent="0.25">
      <c r="A84" s="1" t="s">
        <v>189</v>
      </c>
      <c r="B84" s="7">
        <v>0</v>
      </c>
      <c r="C84" s="7">
        <v>0</v>
      </c>
      <c r="D84" s="7">
        <v>297.16000000000003</v>
      </c>
      <c r="E84" s="7">
        <v>7428.76</v>
      </c>
      <c r="F84" s="7">
        <v>-3789.83</v>
      </c>
      <c r="G84" s="7">
        <v>-5439.57</v>
      </c>
      <c r="H84" s="7">
        <v>-5439.57</v>
      </c>
      <c r="I84" s="7">
        <v>-5439.57</v>
      </c>
      <c r="J84" s="7">
        <v>-5736.7199999999993</v>
      </c>
      <c r="K84" s="7">
        <v>-5712.6299999999992</v>
      </c>
      <c r="L84" s="7">
        <v>-5985.69</v>
      </c>
      <c r="M84" s="7">
        <v>7725.9000000000005</v>
      </c>
    </row>
    <row r="85" spans="1:13" x14ac:dyDescent="0.25">
      <c r="A85" s="1" t="s">
        <v>190</v>
      </c>
      <c r="B85" s="7">
        <v>26659.599999999999</v>
      </c>
      <c r="C85" s="7">
        <v>26659.599999999999</v>
      </c>
      <c r="D85" s="7">
        <v>26659.599999999999</v>
      </c>
      <c r="E85" s="7">
        <v>26659.599999999999</v>
      </c>
      <c r="F85" s="7">
        <v>26659.599999999999</v>
      </c>
      <c r="G85" s="7">
        <v>26659.599999999999</v>
      </c>
      <c r="H85" s="7">
        <v>26659.599999999999</v>
      </c>
      <c r="I85" s="7">
        <v>26659.599999999999</v>
      </c>
      <c r="J85" s="7">
        <v>26659.599999999999</v>
      </c>
      <c r="K85" s="7">
        <v>26659.599999999999</v>
      </c>
      <c r="L85" s="7">
        <v>26659.599999999999</v>
      </c>
      <c r="M85" s="7">
        <v>26659.599999999999</v>
      </c>
    </row>
    <row r="86" spans="1:13" x14ac:dyDescent="0.25">
      <c r="A86" s="1" t="s">
        <v>191</v>
      </c>
      <c r="B86" s="7">
        <v>25817.96</v>
      </c>
      <c r="C86" s="7">
        <v>25342.14</v>
      </c>
      <c r="D86" s="7">
        <v>27081.98</v>
      </c>
      <c r="E86" s="7">
        <v>33891.39</v>
      </c>
      <c r="F86" s="7">
        <v>22426.079999999998</v>
      </c>
      <c r="G86" s="7">
        <v>20979.989999999998</v>
      </c>
      <c r="H86" s="7">
        <v>20646.28</v>
      </c>
      <c r="I86" s="7">
        <v>21755.16</v>
      </c>
      <c r="J86" s="7">
        <v>21040.720000000001</v>
      </c>
      <c r="K86" s="7">
        <v>20837.14</v>
      </c>
      <c r="L86" s="7">
        <v>20369.53</v>
      </c>
      <c r="M86" s="7">
        <v>37536.9</v>
      </c>
    </row>
    <row r="87" spans="1:13" x14ac:dyDescent="0.25">
      <c r="A87" s="1" t="s">
        <v>192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</row>
    <row r="88" spans="1:13" x14ac:dyDescent="0.25">
      <c r="A88" s="1" t="s">
        <v>193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</row>
    <row r="89" spans="1:13" x14ac:dyDescent="0.25">
      <c r="A89" s="1" t="s">
        <v>194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</row>
    <row r="90" spans="1:13" x14ac:dyDescent="0.25">
      <c r="A90" s="1" t="s">
        <v>195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21682.400000000001</v>
      </c>
      <c r="L90" s="7">
        <v>21682.400000000001</v>
      </c>
      <c r="M90" s="7">
        <v>19479.160000000003</v>
      </c>
    </row>
    <row r="91" spans="1:13" x14ac:dyDescent="0.25">
      <c r="A91" s="1" t="s">
        <v>196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</row>
    <row r="92" spans="1:13" x14ac:dyDescent="0.25">
      <c r="A92" s="1" t="s">
        <v>197</v>
      </c>
      <c r="B92" s="7">
        <v>281238.64</v>
      </c>
      <c r="C92" s="7">
        <v>436895.92000000004</v>
      </c>
      <c r="D92" s="7">
        <v>472969.44</v>
      </c>
      <c r="E92" s="7">
        <v>442353.70000000007</v>
      </c>
      <c r="F92" s="7">
        <v>405908.72000000003</v>
      </c>
      <c r="G92" s="7">
        <v>252998.52999999997</v>
      </c>
      <c r="H92" s="7">
        <v>291963.38</v>
      </c>
      <c r="I92" s="7">
        <v>378859.46</v>
      </c>
      <c r="J92" s="7">
        <v>421011.98</v>
      </c>
      <c r="K92" s="7">
        <v>420629.48000000004</v>
      </c>
      <c r="L92" s="7">
        <v>463191.25</v>
      </c>
      <c r="M92" s="7">
        <v>470090.07000000007</v>
      </c>
    </row>
    <row r="93" spans="1:13" x14ac:dyDescent="0.25">
      <c r="A93" s="1" t="s">
        <v>198</v>
      </c>
      <c r="B93" s="7">
        <v>374717.62</v>
      </c>
      <c r="C93" s="7">
        <v>508257.25000000006</v>
      </c>
      <c r="D93" s="7">
        <v>494445.94</v>
      </c>
      <c r="E93" s="7">
        <v>458523.15000000008</v>
      </c>
      <c r="F93" s="7">
        <v>432713.38</v>
      </c>
      <c r="G93" s="7">
        <v>294309.12</v>
      </c>
      <c r="H93" s="7">
        <v>359593.26</v>
      </c>
      <c r="I93" s="7">
        <v>419494.35000000003</v>
      </c>
      <c r="J93" s="7">
        <v>473835.00999999995</v>
      </c>
      <c r="K93" s="7">
        <v>482064.7</v>
      </c>
      <c r="L93" s="7">
        <v>489699.95</v>
      </c>
      <c r="M93" s="7">
        <v>528567.04000000004</v>
      </c>
    </row>
    <row r="94" spans="1:13" x14ac:dyDescent="0.25">
      <c r="A94" s="1" t="s">
        <v>199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</row>
    <row r="95" spans="1:13" x14ac:dyDescent="0.25">
      <c r="A95" s="1" t="s">
        <v>200</v>
      </c>
      <c r="B95" s="7">
        <v>89499.839999999997</v>
      </c>
      <c r="C95" s="7">
        <v>89499.839999999997</v>
      </c>
      <c r="D95" s="7">
        <v>89499.839999999997</v>
      </c>
      <c r="E95" s="7">
        <v>89499.839999999997</v>
      </c>
      <c r="F95" s="7">
        <v>89499.839999999997</v>
      </c>
      <c r="G95" s="7">
        <v>89499.839999999997</v>
      </c>
      <c r="H95" s="7">
        <v>89499.839999999997</v>
      </c>
      <c r="I95" s="7">
        <v>89499.839999999997</v>
      </c>
      <c r="J95" s="7">
        <v>89499.839999999997</v>
      </c>
      <c r="K95" s="7">
        <v>89499.839999999997</v>
      </c>
      <c r="L95" s="7">
        <v>89499.839999999997</v>
      </c>
      <c r="M95" s="7">
        <v>0</v>
      </c>
    </row>
    <row r="96" spans="1:13" x14ac:dyDescent="0.25">
      <c r="A96" s="1" t="s">
        <v>201</v>
      </c>
      <c r="B96" s="7">
        <v>12818.619999999999</v>
      </c>
      <c r="C96" s="7">
        <v>12430.179999999998</v>
      </c>
      <c r="D96" s="7">
        <v>12041.739999999998</v>
      </c>
      <c r="E96" s="7">
        <v>11653.299999999997</v>
      </c>
      <c r="F96" s="7">
        <v>11264.859999999997</v>
      </c>
      <c r="G96" s="7">
        <v>10876.419999999996</v>
      </c>
      <c r="H96" s="7">
        <v>10487.979999999996</v>
      </c>
      <c r="I96" s="7">
        <v>10099.539999999995</v>
      </c>
      <c r="J96" s="7">
        <v>9711.0999999999949</v>
      </c>
      <c r="K96" s="7">
        <v>9322.6599999999944</v>
      </c>
      <c r="L96" s="7">
        <v>8934.2199999999939</v>
      </c>
      <c r="M96" s="7">
        <v>8545.7799999999934</v>
      </c>
    </row>
    <row r="97" spans="1:13" x14ac:dyDescent="0.25">
      <c r="A97" s="1" t="s">
        <v>202</v>
      </c>
      <c r="B97" s="7">
        <v>8493.44</v>
      </c>
      <c r="C97" s="7">
        <v>7858.0800000000008</v>
      </c>
      <c r="D97" s="7">
        <v>7217.5600000000013</v>
      </c>
      <c r="E97" s="7">
        <v>6576.4300000000012</v>
      </c>
      <c r="F97" s="7">
        <v>5931.4500000000007</v>
      </c>
      <c r="G97" s="7">
        <v>5284.51</v>
      </c>
      <c r="H97" s="7">
        <v>4634.0600000000004</v>
      </c>
      <c r="I97" s="7">
        <v>3981.2500000000005</v>
      </c>
      <c r="J97" s="7">
        <v>3325.4900000000007</v>
      </c>
      <c r="K97" s="7">
        <v>2666.4700000000007</v>
      </c>
      <c r="L97" s="7">
        <v>2004.7700000000007</v>
      </c>
      <c r="M97" s="7">
        <v>1339.7900000000006</v>
      </c>
    </row>
    <row r="98" spans="1:13" x14ac:dyDescent="0.25">
      <c r="A98" s="1" t="s">
        <v>203</v>
      </c>
      <c r="B98" s="7">
        <v>21535.530000000002</v>
      </c>
      <c r="C98" s="7">
        <v>20677.150000000001</v>
      </c>
      <c r="D98" s="7">
        <v>19810.45</v>
      </c>
      <c r="E98" s="7">
        <v>18945.510000000002</v>
      </c>
      <c r="F98" s="7">
        <v>18075.140000000003</v>
      </c>
      <c r="G98" s="7">
        <v>17203.700000000004</v>
      </c>
      <c r="H98" s="7">
        <v>16326.910000000003</v>
      </c>
      <c r="I98" s="7">
        <v>15449.030000000004</v>
      </c>
      <c r="J98" s="7">
        <v>14567.750000000004</v>
      </c>
      <c r="K98" s="7">
        <v>13681.620000000004</v>
      </c>
      <c r="L98" s="7">
        <v>12793.720000000005</v>
      </c>
      <c r="M98" s="7">
        <v>11900.950000000004</v>
      </c>
    </row>
    <row r="99" spans="1:13" x14ac:dyDescent="0.25">
      <c r="A99" s="1" t="s">
        <v>204</v>
      </c>
      <c r="B99" s="7">
        <v>14568.76</v>
      </c>
      <c r="C99" s="7">
        <v>13828.14</v>
      </c>
      <c r="D99" s="7">
        <v>13081.58</v>
      </c>
      <c r="E99" s="7">
        <v>12335.39</v>
      </c>
      <c r="F99" s="7">
        <v>11584.91</v>
      </c>
      <c r="G99" s="7">
        <v>10833.289999999999</v>
      </c>
      <c r="H99" s="7">
        <v>10077.369999999999</v>
      </c>
      <c r="I99" s="7">
        <v>9319.9199999999983</v>
      </c>
      <c r="J99" s="7">
        <v>8559.7299999999977</v>
      </c>
      <c r="K99" s="7">
        <v>7795.5599999999977</v>
      </c>
      <c r="L99" s="7">
        <v>7029.5699999999979</v>
      </c>
      <c r="M99" s="7">
        <v>6259.8599999999979</v>
      </c>
    </row>
    <row r="100" spans="1:13" x14ac:dyDescent="0.25">
      <c r="A100" s="1" t="s">
        <v>205</v>
      </c>
      <c r="B100" s="7">
        <v>38989.82</v>
      </c>
      <c r="C100" s="7">
        <v>37759.760000000002</v>
      </c>
      <c r="D100" s="7">
        <v>36515.840000000004</v>
      </c>
      <c r="E100" s="7">
        <v>35276.280000000006</v>
      </c>
      <c r="F100" s="7">
        <v>34028.310000000005</v>
      </c>
      <c r="G100" s="7">
        <v>32779.65</v>
      </c>
      <c r="H100" s="7">
        <v>31522.550000000003</v>
      </c>
      <c r="I100" s="7">
        <v>30265.020000000004</v>
      </c>
      <c r="J100" s="7">
        <v>29002.590000000004</v>
      </c>
      <c r="K100" s="7">
        <v>27732.110000000004</v>
      </c>
      <c r="L100" s="7">
        <v>26460.710000000003</v>
      </c>
      <c r="M100" s="7">
        <v>25181.230000000003</v>
      </c>
    </row>
    <row r="101" spans="1:13" x14ac:dyDescent="0.25">
      <c r="A101" s="1" t="s">
        <v>206</v>
      </c>
      <c r="B101" s="7">
        <v>51054.200000000004</v>
      </c>
      <c r="C101" s="7">
        <v>50028.860000000008</v>
      </c>
      <c r="D101" s="7">
        <v>48999.890000000007</v>
      </c>
      <c r="E101" s="7">
        <v>47973.30000000001</v>
      </c>
      <c r="F101" s="7">
        <v>46937.05000000001</v>
      </c>
      <c r="G101" s="7">
        <v>46937.05000000001</v>
      </c>
      <c r="H101" s="7">
        <v>44859.210000000006</v>
      </c>
      <c r="I101" s="7">
        <v>43817.23</v>
      </c>
      <c r="J101" s="7">
        <v>42771.43</v>
      </c>
      <c r="K101" s="7">
        <v>41716.76</v>
      </c>
      <c r="L101" s="7">
        <v>41716.76</v>
      </c>
      <c r="M101" s="7">
        <v>39601.39</v>
      </c>
    </row>
    <row r="102" spans="1:13" x14ac:dyDescent="0.25">
      <c r="A102" s="1" t="s">
        <v>207</v>
      </c>
      <c r="B102" s="7">
        <v>60914.22</v>
      </c>
      <c r="C102" s="7">
        <v>59648.75</v>
      </c>
      <c r="D102" s="7">
        <v>58357.49</v>
      </c>
      <c r="E102" s="7">
        <v>57079.02</v>
      </c>
      <c r="F102" s="7">
        <v>55784.219999999994</v>
      </c>
      <c r="G102" s="7">
        <v>54492.239999999991</v>
      </c>
      <c r="H102" s="7">
        <v>53184.509999999987</v>
      </c>
      <c r="I102" s="7">
        <v>51879.099999999984</v>
      </c>
      <c r="J102" s="7">
        <v>50567.379999999983</v>
      </c>
      <c r="K102" s="7">
        <v>49240.019999999982</v>
      </c>
      <c r="L102" s="7">
        <v>47914.229999999981</v>
      </c>
      <c r="M102" s="7">
        <v>46573.82999999998</v>
      </c>
    </row>
    <row r="103" spans="1:13" x14ac:dyDescent="0.25">
      <c r="A103" s="1" t="s">
        <v>208</v>
      </c>
      <c r="B103" s="7">
        <v>59395.719999999994</v>
      </c>
      <c r="C103" s="7">
        <v>57920.249999999993</v>
      </c>
      <c r="D103" s="7">
        <v>56417.109999999993</v>
      </c>
      <c r="E103" s="7">
        <v>54925.509999999995</v>
      </c>
      <c r="F103" s="7">
        <v>53417.549999999996</v>
      </c>
      <c r="G103" s="7">
        <v>51910.46</v>
      </c>
      <c r="H103" s="7">
        <v>50386.93</v>
      </c>
      <c r="I103" s="7">
        <v>48864.68</v>
      </c>
      <c r="J103" s="7">
        <v>47334.06</v>
      </c>
      <c r="K103" s="7">
        <v>45787.649999999994</v>
      </c>
      <c r="L103" s="7">
        <v>44241.639999999992</v>
      </c>
      <c r="M103" s="7">
        <v>42679.759999999995</v>
      </c>
    </row>
    <row r="104" spans="1:13" x14ac:dyDescent="0.25">
      <c r="A104" s="1" t="s">
        <v>209</v>
      </c>
      <c r="B104" s="7">
        <v>62990</v>
      </c>
      <c r="C104" s="7">
        <v>62764.09</v>
      </c>
      <c r="D104" s="7">
        <v>60447.46</v>
      </c>
      <c r="E104" s="7">
        <v>59593.71</v>
      </c>
      <c r="F104" s="7">
        <v>58747.78</v>
      </c>
      <c r="G104" s="7">
        <v>57853.84</v>
      </c>
      <c r="H104" s="7">
        <v>56967.439999999995</v>
      </c>
      <c r="I104" s="7">
        <v>56088.219999999994</v>
      </c>
      <c r="J104" s="7">
        <v>55202.55999999999</v>
      </c>
      <c r="K104" s="7">
        <v>54323.44999999999</v>
      </c>
      <c r="L104" s="7">
        <v>53399.219999999987</v>
      </c>
      <c r="M104" s="7">
        <v>52481.26999999999</v>
      </c>
    </row>
    <row r="105" spans="1:13" x14ac:dyDescent="0.25">
      <c r="A105" s="1" t="s">
        <v>210</v>
      </c>
      <c r="B105" s="7">
        <v>0</v>
      </c>
      <c r="C105" s="7">
        <v>0</v>
      </c>
      <c r="D105" s="7">
        <v>0</v>
      </c>
      <c r="E105" s="7">
        <v>0</v>
      </c>
      <c r="F105" s="7">
        <v>50385</v>
      </c>
      <c r="G105" s="7">
        <v>50385</v>
      </c>
      <c r="H105" s="7">
        <v>49036.29</v>
      </c>
      <c r="I105" s="7">
        <v>49036.29</v>
      </c>
      <c r="J105" s="7">
        <v>47557.48</v>
      </c>
      <c r="K105" s="7">
        <v>46836.11</v>
      </c>
      <c r="L105" s="7">
        <v>46315.25</v>
      </c>
      <c r="M105" s="7">
        <v>45593.88</v>
      </c>
    </row>
    <row r="106" spans="1:13" x14ac:dyDescent="0.25">
      <c r="A106" s="1" t="s">
        <v>211</v>
      </c>
      <c r="B106" s="7">
        <v>40359.18</v>
      </c>
      <c r="C106" s="7">
        <v>40359.18</v>
      </c>
      <c r="D106" s="7">
        <v>38962.120000000003</v>
      </c>
      <c r="E106" s="7">
        <v>38264.18</v>
      </c>
      <c r="F106" s="7">
        <v>37247.840000000004</v>
      </c>
      <c r="G106" s="7">
        <v>36534.100000000006</v>
      </c>
      <c r="H106" s="7">
        <v>36115.410000000003</v>
      </c>
      <c r="I106" s="7">
        <v>35099.070000000007</v>
      </c>
      <c r="J106" s="7">
        <v>34377.670000000006</v>
      </c>
      <c r="K106" s="7">
        <v>33650.570000000007</v>
      </c>
      <c r="L106" s="7">
        <v>33185.420000000006</v>
      </c>
      <c r="M106" s="7">
        <v>32431.520000000004</v>
      </c>
    </row>
    <row r="107" spans="1:13" x14ac:dyDescent="0.25">
      <c r="A107" s="1" t="s">
        <v>212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120890</v>
      </c>
      <c r="H107" s="7">
        <v>120890</v>
      </c>
      <c r="I107" s="7">
        <v>119972.84</v>
      </c>
      <c r="J107" s="7">
        <v>118668.73</v>
      </c>
      <c r="K107" s="7">
        <v>117328.83</v>
      </c>
      <c r="L107" s="7">
        <v>116006.28</v>
      </c>
      <c r="M107" s="7">
        <v>114648.43</v>
      </c>
    </row>
    <row r="108" spans="1:13" x14ac:dyDescent="0.25">
      <c r="A108" s="1" t="s">
        <v>213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82089.55</v>
      </c>
      <c r="K108" s="7">
        <v>80063.47</v>
      </c>
      <c r="L108" s="7">
        <v>78059.740000000005</v>
      </c>
      <c r="M108" s="7">
        <v>75988.89</v>
      </c>
    </row>
    <row r="109" spans="1:13" x14ac:dyDescent="0.25">
      <c r="A109" s="1" t="s">
        <v>214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106800.81</v>
      </c>
    </row>
    <row r="110" spans="1:13" x14ac:dyDescent="0.25">
      <c r="A110" s="1" t="s">
        <v>215</v>
      </c>
      <c r="B110" s="7">
        <v>500000</v>
      </c>
      <c r="C110" s="7">
        <v>500000</v>
      </c>
      <c r="D110" s="7">
        <v>500000</v>
      </c>
      <c r="E110" s="7">
        <v>500000</v>
      </c>
      <c r="F110" s="7">
        <v>500000</v>
      </c>
      <c r="G110" s="7">
        <v>500000</v>
      </c>
      <c r="H110" s="7">
        <v>500000</v>
      </c>
      <c r="I110" s="7">
        <v>500000</v>
      </c>
      <c r="J110" s="7">
        <v>500000</v>
      </c>
      <c r="K110" s="7">
        <v>500000</v>
      </c>
      <c r="L110" s="7">
        <v>500000</v>
      </c>
      <c r="M110" s="7">
        <v>500000</v>
      </c>
    </row>
    <row r="111" spans="1:13" x14ac:dyDescent="0.25">
      <c r="A111" s="1" t="s">
        <v>216</v>
      </c>
      <c r="B111" s="7">
        <v>960619.33000000007</v>
      </c>
      <c r="C111" s="7">
        <v>952774.28</v>
      </c>
      <c r="D111" s="7">
        <v>941351.08000000007</v>
      </c>
      <c r="E111" s="7">
        <v>932122.47000000009</v>
      </c>
      <c r="F111" s="7">
        <v>972903.95</v>
      </c>
      <c r="G111" s="7">
        <v>1085480.1000000001</v>
      </c>
      <c r="H111" s="7">
        <v>1073988.5</v>
      </c>
      <c r="I111" s="7">
        <v>1063372.0299999998</v>
      </c>
      <c r="J111" s="7">
        <v>1133235.3599999999</v>
      </c>
      <c r="K111" s="7">
        <v>1119645.1200000001</v>
      </c>
      <c r="L111" s="7">
        <v>1107561.3699999999</v>
      </c>
      <c r="M111" s="7">
        <v>1110027.3899999999</v>
      </c>
    </row>
    <row r="112" spans="1:13" x14ac:dyDescent="0.25">
      <c r="A112" s="1" t="s">
        <v>217</v>
      </c>
      <c r="B112" s="7">
        <v>1335336.9500000002</v>
      </c>
      <c r="C112" s="7">
        <v>1461031.53</v>
      </c>
      <c r="D112" s="7">
        <v>1435797.02</v>
      </c>
      <c r="E112" s="7">
        <v>1390645.62</v>
      </c>
      <c r="F112" s="7">
        <v>1405617.33</v>
      </c>
      <c r="G112" s="7">
        <v>1379789.2200000002</v>
      </c>
      <c r="H112" s="7">
        <v>1433581.76</v>
      </c>
      <c r="I112" s="7">
        <v>1482866.38</v>
      </c>
      <c r="J112" s="7">
        <v>1607070.3699999999</v>
      </c>
      <c r="K112" s="7">
        <v>1601709.82</v>
      </c>
      <c r="L112" s="7">
        <v>1597261.3199999998</v>
      </c>
      <c r="M112" s="7">
        <v>1638594.43</v>
      </c>
    </row>
    <row r="113" spans="1:13" x14ac:dyDescent="0.25">
      <c r="A113" s="1" t="s">
        <v>218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</row>
    <row r="114" spans="1:13" x14ac:dyDescent="0.25">
      <c r="A114" s="1" t="s">
        <v>219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5000</v>
      </c>
      <c r="H114" s="7">
        <v>5000</v>
      </c>
      <c r="I114" s="7">
        <v>5000</v>
      </c>
      <c r="J114" s="7">
        <v>5000</v>
      </c>
      <c r="K114" s="7">
        <v>5000</v>
      </c>
      <c r="L114" s="7">
        <v>5000</v>
      </c>
      <c r="M114" s="7">
        <v>5000</v>
      </c>
    </row>
    <row r="115" spans="1:13" x14ac:dyDescent="0.25">
      <c r="A115" s="1" t="s">
        <v>220</v>
      </c>
      <c r="B115" s="7">
        <v>-280814.03999999998</v>
      </c>
      <c r="C115" s="7">
        <v>-280814.03999999998</v>
      </c>
      <c r="D115" s="7">
        <v>-280770.12</v>
      </c>
      <c r="E115" s="7">
        <v>-280770.12</v>
      </c>
      <c r="F115" s="7">
        <v>-281770.12</v>
      </c>
      <c r="G115" s="7">
        <v>-273675.69</v>
      </c>
      <c r="H115" s="7">
        <v>-259675.69</v>
      </c>
      <c r="I115" s="7">
        <v>-259675.69</v>
      </c>
      <c r="J115" s="7">
        <v>-259675.69</v>
      </c>
      <c r="K115" s="7">
        <v>-259675.69</v>
      </c>
      <c r="L115" s="7">
        <v>-259675.69</v>
      </c>
      <c r="M115" s="7">
        <v>-228343.02000000002</v>
      </c>
    </row>
    <row r="116" spans="1:13" x14ac:dyDescent="0.25">
      <c r="A116" s="1" t="s">
        <v>221</v>
      </c>
      <c r="B116" s="7">
        <v>755350.49</v>
      </c>
      <c r="C116" s="7">
        <v>755350.49</v>
      </c>
      <c r="D116" s="7">
        <v>755350.49</v>
      </c>
      <c r="E116" s="7">
        <v>755350.49</v>
      </c>
      <c r="F116" s="7">
        <v>755350.49</v>
      </c>
      <c r="G116" s="7">
        <v>755350.49</v>
      </c>
      <c r="H116" s="7">
        <v>755350.49</v>
      </c>
      <c r="I116" s="7">
        <v>755350.49</v>
      </c>
      <c r="J116" s="7">
        <v>755350.49</v>
      </c>
      <c r="K116" s="7">
        <v>755350.49</v>
      </c>
      <c r="L116" s="7">
        <v>755350.49</v>
      </c>
      <c r="M116" s="7">
        <v>755350.49</v>
      </c>
    </row>
    <row r="117" spans="1:13" x14ac:dyDescent="0.25">
      <c r="A117" s="1" t="s">
        <v>106</v>
      </c>
      <c r="B117" s="7">
        <v>-540469.18000000005</v>
      </c>
      <c r="C117" s="7">
        <v>-714187.62000000011</v>
      </c>
      <c r="D117" s="7">
        <v>-474424.37</v>
      </c>
      <c r="E117" s="7">
        <v>-518185.62</v>
      </c>
      <c r="F117" s="7">
        <v>-443669.89</v>
      </c>
      <c r="G117" s="7">
        <v>-430183.30000000005</v>
      </c>
      <c r="H117" s="7">
        <v>-434905.19999999995</v>
      </c>
      <c r="I117" s="7">
        <v>-517527.4800000001</v>
      </c>
      <c r="J117" s="7">
        <v>-461917.6100000001</v>
      </c>
      <c r="K117" s="7">
        <v>-521313.14000000013</v>
      </c>
      <c r="L117" s="7">
        <v>-434447.85000000027</v>
      </c>
      <c r="M117" s="7">
        <v>-624629.74000000046</v>
      </c>
    </row>
    <row r="118" spans="1:13" x14ac:dyDescent="0.25">
      <c r="A118" s="1" t="s">
        <v>222</v>
      </c>
      <c r="B118" s="7">
        <v>-65932.73000000004</v>
      </c>
      <c r="C118" s="7">
        <v>-239651.1700000001</v>
      </c>
      <c r="D118" s="7">
        <v>156</v>
      </c>
      <c r="E118" s="7">
        <v>-43605.25</v>
      </c>
      <c r="F118" s="7">
        <v>29910.479999999981</v>
      </c>
      <c r="G118" s="7">
        <v>56491.499999999942</v>
      </c>
      <c r="H118" s="7">
        <v>65769.600000000035</v>
      </c>
      <c r="I118" s="7">
        <v>-16852.680000000109</v>
      </c>
      <c r="J118" s="7">
        <v>38757.189999999886</v>
      </c>
      <c r="K118" s="7">
        <v>-20638.340000000142</v>
      </c>
      <c r="L118" s="7">
        <v>66226.949999999721</v>
      </c>
      <c r="M118" s="7">
        <v>-92622.270000000484</v>
      </c>
    </row>
    <row r="119" spans="1:13" x14ac:dyDescent="0.25">
      <c r="A119" s="1" t="s">
        <v>223</v>
      </c>
      <c r="B119" s="7">
        <v>1269404.2200000002</v>
      </c>
      <c r="C119" s="7">
        <v>1221380.3599999999</v>
      </c>
      <c r="D119" s="7">
        <v>1435953.02</v>
      </c>
      <c r="E119" s="7">
        <v>1347040.37</v>
      </c>
      <c r="F119" s="7">
        <v>1435527.81</v>
      </c>
      <c r="G119" s="7">
        <v>1436280.7200000002</v>
      </c>
      <c r="H119" s="7">
        <v>1499351.36</v>
      </c>
      <c r="I119" s="7">
        <v>1466013.6999999997</v>
      </c>
      <c r="J119" s="7">
        <v>1645827.5599999998</v>
      </c>
      <c r="K119" s="7">
        <v>1581071.48</v>
      </c>
      <c r="L119" s="7">
        <v>1663488.2699999996</v>
      </c>
      <c r="M119" s="7">
        <v>1545972.1599999995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D8F23-2BB2-465E-8552-7BB6BC9A6447}">
  <sheetPr>
    <tabColor rgb="FF0074DB"/>
  </sheetPr>
  <dimension ref="B2:H34"/>
  <sheetViews>
    <sheetView workbookViewId="0"/>
  </sheetViews>
  <sheetFormatPr defaultRowHeight="15" x14ac:dyDescent="0.25"/>
  <cols>
    <col min="1" max="1" width="3.7109375" customWidth="1"/>
    <col min="2" max="2" width="14.7109375" customWidth="1"/>
    <col min="3" max="3" width="20.7109375" customWidth="1"/>
    <col min="4" max="4" width="30.7109375" customWidth="1"/>
    <col min="5" max="5" width="12.7109375" customWidth="1"/>
    <col min="6" max="8" width="10.7109375" customWidth="1"/>
  </cols>
  <sheetData>
    <row r="2" spans="2:8" ht="31.5" x14ac:dyDescent="0.5">
      <c r="B2" s="61" t="s">
        <v>368</v>
      </c>
      <c r="C2" s="61"/>
      <c r="D2" s="61"/>
      <c r="E2" s="61"/>
      <c r="F2" s="61"/>
    </row>
    <row r="3" spans="2:8" x14ac:dyDescent="0.25">
      <c r="B3" s="62" t="s">
        <v>369</v>
      </c>
      <c r="C3" s="62"/>
      <c r="D3" s="62"/>
      <c r="E3" s="62"/>
      <c r="F3" s="62"/>
    </row>
    <row r="5" spans="2:8" ht="18.75" x14ac:dyDescent="0.3">
      <c r="B5" s="63" t="s">
        <v>370</v>
      </c>
      <c r="C5" s="64"/>
      <c r="D5" s="64"/>
      <c r="E5" s="64"/>
      <c r="F5" s="64"/>
      <c r="G5" s="64"/>
      <c r="H5" s="64"/>
    </row>
    <row r="7" spans="2:8" x14ac:dyDescent="0.25">
      <c r="B7" s="65" t="s">
        <v>371</v>
      </c>
    </row>
    <row r="8" spans="2:8" x14ac:dyDescent="0.25">
      <c r="B8" s="65" t="s">
        <v>372</v>
      </c>
    </row>
    <row r="9" spans="2:8" x14ac:dyDescent="0.25">
      <c r="B9" s="65" t="s">
        <v>373</v>
      </c>
    </row>
    <row r="10" spans="2:8" x14ac:dyDescent="0.25">
      <c r="B10" s="65" t="s">
        <v>374</v>
      </c>
    </row>
    <row r="13" spans="2:8" x14ac:dyDescent="0.25">
      <c r="B13" s="66" t="s">
        <v>375</v>
      </c>
      <c r="C13" s="66" t="s">
        <v>376</v>
      </c>
      <c r="D13" s="66" t="s">
        <v>339</v>
      </c>
      <c r="E13" s="66" t="s">
        <v>377</v>
      </c>
      <c r="F13" s="66" t="s">
        <v>378</v>
      </c>
      <c r="G13" s="66" t="s">
        <v>379</v>
      </c>
      <c r="H13" s="66" t="s">
        <v>380</v>
      </c>
    </row>
    <row r="14" spans="2:8" x14ac:dyDescent="0.25">
      <c r="B14" s="70" t="s">
        <v>381</v>
      </c>
      <c r="C14" s="71" t="s">
        <v>382</v>
      </c>
      <c r="D14" s="72" t="s">
        <v>383</v>
      </c>
      <c r="E14" s="68">
        <v>0</v>
      </c>
      <c r="F14" s="69">
        <v>0.8</v>
      </c>
      <c r="G14" s="69">
        <v>0.6</v>
      </c>
      <c r="H14" s="70" t="s">
        <v>384</v>
      </c>
    </row>
    <row r="15" spans="2:8" x14ac:dyDescent="0.25">
      <c r="B15" t="s">
        <v>381</v>
      </c>
      <c r="C15" s="24" t="s">
        <v>33</v>
      </c>
      <c r="D15" s="67" t="s">
        <v>385</v>
      </c>
      <c r="E15" s="68">
        <v>0</v>
      </c>
      <c r="F15" s="69">
        <v>0.8</v>
      </c>
      <c r="G15" s="69">
        <v>0.6</v>
      </c>
      <c r="H15" t="s">
        <v>384</v>
      </c>
    </row>
    <row r="16" spans="2:8" x14ac:dyDescent="0.25">
      <c r="B16" s="70" t="s">
        <v>381</v>
      </c>
      <c r="C16" s="71" t="s">
        <v>386</v>
      </c>
      <c r="D16" s="72" t="s">
        <v>387</v>
      </c>
      <c r="E16" s="73">
        <v>0.4</v>
      </c>
      <c r="F16" s="69">
        <v>0.8</v>
      </c>
      <c r="G16" s="69">
        <v>0.6</v>
      </c>
      <c r="H16" s="70" t="s">
        <v>384</v>
      </c>
    </row>
    <row r="17" spans="2:8" x14ac:dyDescent="0.25">
      <c r="B17" t="s">
        <v>381</v>
      </c>
      <c r="C17" s="24" t="s">
        <v>106</v>
      </c>
      <c r="D17" s="67" t="s">
        <v>388</v>
      </c>
      <c r="E17" s="68">
        <v>0</v>
      </c>
      <c r="F17" s="69">
        <v>0.8</v>
      </c>
      <c r="G17" s="69">
        <v>0.6</v>
      </c>
      <c r="H17" t="s">
        <v>384</v>
      </c>
    </row>
    <row r="18" spans="2:8" x14ac:dyDescent="0.25">
      <c r="B18" s="70" t="s">
        <v>381</v>
      </c>
      <c r="C18" s="71" t="s">
        <v>389</v>
      </c>
      <c r="D18" s="72" t="s">
        <v>390</v>
      </c>
      <c r="E18" s="73">
        <v>0.1</v>
      </c>
      <c r="F18" s="69">
        <v>0.8</v>
      </c>
      <c r="G18" s="69">
        <v>0.6</v>
      </c>
      <c r="H18" s="70" t="s">
        <v>384</v>
      </c>
    </row>
    <row r="19" spans="2:8" x14ac:dyDescent="0.25">
      <c r="B19" t="s">
        <v>381</v>
      </c>
      <c r="C19" s="24" t="s">
        <v>391</v>
      </c>
      <c r="D19" s="67" t="s">
        <v>392</v>
      </c>
      <c r="E19" s="68">
        <v>0</v>
      </c>
      <c r="F19" s="69">
        <v>0.8</v>
      </c>
      <c r="G19" s="69">
        <v>0.6</v>
      </c>
      <c r="H19" t="s">
        <v>384</v>
      </c>
    </row>
    <row r="20" spans="2:8" x14ac:dyDescent="0.25">
      <c r="B20" s="70" t="s">
        <v>381</v>
      </c>
      <c r="C20" s="71" t="s">
        <v>393</v>
      </c>
      <c r="D20" s="72" t="s">
        <v>394</v>
      </c>
      <c r="E20" s="68">
        <v>0</v>
      </c>
      <c r="F20" s="69">
        <v>0.8</v>
      </c>
      <c r="G20" s="69">
        <v>0.6</v>
      </c>
      <c r="H20" s="70" t="s">
        <v>384</v>
      </c>
    </row>
    <row r="21" spans="2:8" x14ac:dyDescent="0.25">
      <c r="B21" t="s">
        <v>381</v>
      </c>
      <c r="C21" s="24" t="s">
        <v>395</v>
      </c>
      <c r="D21" s="67" t="s">
        <v>396</v>
      </c>
      <c r="E21" s="73">
        <v>0.12</v>
      </c>
      <c r="F21" s="69">
        <v>0.8</v>
      </c>
      <c r="G21" s="69">
        <v>0.6</v>
      </c>
      <c r="H21" t="s">
        <v>384</v>
      </c>
    </row>
    <row r="22" spans="2:8" x14ac:dyDescent="0.25">
      <c r="B22" s="70" t="s">
        <v>397</v>
      </c>
      <c r="C22" s="71" t="s">
        <v>398</v>
      </c>
      <c r="D22" s="72" t="s">
        <v>399</v>
      </c>
      <c r="E22" s="75">
        <v>1.5</v>
      </c>
      <c r="F22" s="69">
        <v>0.8</v>
      </c>
      <c r="G22" s="69">
        <v>0.6</v>
      </c>
      <c r="H22" s="70" t="s">
        <v>384</v>
      </c>
    </row>
    <row r="23" spans="2:8" x14ac:dyDescent="0.25">
      <c r="B23" t="s">
        <v>397</v>
      </c>
      <c r="C23" s="24" t="s">
        <v>400</v>
      </c>
      <c r="D23" s="67" t="s">
        <v>401</v>
      </c>
      <c r="E23" s="75">
        <v>1</v>
      </c>
      <c r="F23" s="69">
        <v>0.8</v>
      </c>
      <c r="G23" s="69">
        <v>0.6</v>
      </c>
      <c r="H23" t="s">
        <v>384</v>
      </c>
    </row>
    <row r="24" spans="2:8" x14ac:dyDescent="0.25">
      <c r="B24" s="70" t="s">
        <v>397</v>
      </c>
      <c r="C24" s="71" t="s">
        <v>402</v>
      </c>
      <c r="D24" s="72" t="s">
        <v>403</v>
      </c>
      <c r="E24" s="75">
        <v>0.2</v>
      </c>
      <c r="F24" s="69">
        <v>0.8</v>
      </c>
      <c r="G24" s="69">
        <v>0.6</v>
      </c>
      <c r="H24" s="70" t="s">
        <v>384</v>
      </c>
    </row>
    <row r="25" spans="2:8" x14ac:dyDescent="0.25">
      <c r="B25" t="s">
        <v>397</v>
      </c>
      <c r="C25" s="24" t="s">
        <v>404</v>
      </c>
      <c r="D25" s="67" t="s">
        <v>405</v>
      </c>
      <c r="E25" s="68">
        <v>0</v>
      </c>
      <c r="F25" s="69">
        <v>0.8</v>
      </c>
      <c r="G25" s="69">
        <v>0.6</v>
      </c>
      <c r="H25" t="s">
        <v>384</v>
      </c>
    </row>
    <row r="26" spans="2:8" x14ac:dyDescent="0.25">
      <c r="B26" s="70" t="s">
        <v>397</v>
      </c>
      <c r="C26" s="71" t="s">
        <v>406</v>
      </c>
      <c r="D26" s="72" t="s">
        <v>407</v>
      </c>
      <c r="E26" s="68">
        <v>0</v>
      </c>
      <c r="F26" s="69">
        <v>0.8</v>
      </c>
      <c r="G26" s="69">
        <v>0.6</v>
      </c>
      <c r="H26" s="70" t="s">
        <v>384</v>
      </c>
    </row>
    <row r="27" spans="2:8" x14ac:dyDescent="0.25">
      <c r="B27" t="s">
        <v>408</v>
      </c>
      <c r="C27" s="24" t="s">
        <v>409</v>
      </c>
      <c r="D27" s="67" t="s">
        <v>410</v>
      </c>
      <c r="E27" s="68">
        <v>45</v>
      </c>
      <c r="F27" s="69">
        <v>0.8</v>
      </c>
      <c r="G27" s="69">
        <v>0.6</v>
      </c>
      <c r="H27" t="s">
        <v>411</v>
      </c>
    </row>
    <row r="28" spans="2:8" x14ac:dyDescent="0.25">
      <c r="B28" s="70" t="s">
        <v>408</v>
      </c>
      <c r="C28" s="71" t="s">
        <v>412</v>
      </c>
      <c r="D28" s="72" t="s">
        <v>413</v>
      </c>
      <c r="E28" s="68">
        <v>30</v>
      </c>
      <c r="F28" s="69">
        <v>0.8</v>
      </c>
      <c r="G28" s="69">
        <v>0.6</v>
      </c>
      <c r="H28" s="70" t="s">
        <v>384</v>
      </c>
    </row>
    <row r="29" spans="2:8" x14ac:dyDescent="0.25">
      <c r="B29" t="s">
        <v>408</v>
      </c>
      <c r="C29" s="24" t="s">
        <v>414</v>
      </c>
      <c r="D29" s="67" t="s">
        <v>415</v>
      </c>
      <c r="E29" s="75">
        <v>1</v>
      </c>
      <c r="F29" s="69">
        <v>0.8</v>
      </c>
      <c r="G29" s="69">
        <v>0.6</v>
      </c>
      <c r="H29" t="s">
        <v>384</v>
      </c>
    </row>
    <row r="30" spans="2:8" x14ac:dyDescent="0.25">
      <c r="B30" s="70" t="s">
        <v>416</v>
      </c>
      <c r="C30" s="71" t="s">
        <v>417</v>
      </c>
      <c r="D30" s="72" t="s">
        <v>418</v>
      </c>
      <c r="E30" s="75">
        <v>1</v>
      </c>
      <c r="F30" s="69">
        <v>0.8</v>
      </c>
      <c r="G30" s="69">
        <v>0.6</v>
      </c>
      <c r="H30" s="70" t="s">
        <v>411</v>
      </c>
    </row>
    <row r="31" spans="2:8" x14ac:dyDescent="0.25">
      <c r="B31" t="s">
        <v>416</v>
      </c>
      <c r="C31" s="24" t="s">
        <v>419</v>
      </c>
      <c r="D31" s="67" t="s">
        <v>420</v>
      </c>
      <c r="E31" s="73">
        <v>0.5</v>
      </c>
      <c r="F31" s="69">
        <v>0.8</v>
      </c>
      <c r="G31" s="69">
        <v>0.6</v>
      </c>
      <c r="H31" t="s">
        <v>411</v>
      </c>
    </row>
    <row r="32" spans="2:8" x14ac:dyDescent="0.25">
      <c r="B32" s="70" t="s">
        <v>416</v>
      </c>
      <c r="C32" s="71" t="s">
        <v>421</v>
      </c>
      <c r="D32" s="72" t="s">
        <v>422</v>
      </c>
      <c r="E32" s="73">
        <v>0.5</v>
      </c>
      <c r="F32" s="69">
        <v>0.8</v>
      </c>
      <c r="G32" s="69">
        <v>0.6</v>
      </c>
      <c r="H32" s="70" t="s">
        <v>384</v>
      </c>
    </row>
    <row r="33" spans="2:8" x14ac:dyDescent="0.25">
      <c r="B33" t="s">
        <v>423</v>
      </c>
      <c r="C33" s="24" t="s">
        <v>424</v>
      </c>
      <c r="D33" s="67" t="s">
        <v>425</v>
      </c>
      <c r="E33" s="68">
        <v>0</v>
      </c>
      <c r="F33" s="69">
        <v>0.8</v>
      </c>
      <c r="G33" s="69">
        <v>0.6</v>
      </c>
      <c r="H33" t="s">
        <v>384</v>
      </c>
    </row>
    <row r="34" spans="2:8" x14ac:dyDescent="0.25">
      <c r="B34" s="70" t="s">
        <v>423</v>
      </c>
      <c r="C34" s="71" t="s">
        <v>426</v>
      </c>
      <c r="D34" s="72" t="s">
        <v>427</v>
      </c>
      <c r="E34" s="68">
        <v>0</v>
      </c>
      <c r="F34" s="69">
        <v>0.8</v>
      </c>
      <c r="G34" s="69">
        <v>0.6</v>
      </c>
      <c r="H34" s="70" t="s">
        <v>384</v>
      </c>
    </row>
  </sheetData>
  <mergeCells count="2">
    <mergeCell ref="B2:F2"/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Dashboard</vt:lpstr>
      <vt:lpstr>Menu</vt:lpstr>
      <vt:lpstr>PL</vt:lpstr>
      <vt:lpstr>Balance_Sheet</vt:lpstr>
      <vt:lpstr>Cash_Flow</vt:lpstr>
      <vt:lpstr>Notes</vt:lpstr>
      <vt:lpstr>Source_PL</vt:lpstr>
      <vt:lpstr>Source_BS</vt:lpstr>
      <vt:lpstr>Dashboard_Control</vt:lpstr>
      <vt:lpstr>SourceBS</vt:lpstr>
      <vt:lpstr>SourcePL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2025-12-04T18:57:47Z</dcterms:created>
  <dcterms:modified xsi:type="dcterms:W3CDTF">2025-12-05T21:08:39Z</dcterms:modified>
</cp:coreProperties>
</file>