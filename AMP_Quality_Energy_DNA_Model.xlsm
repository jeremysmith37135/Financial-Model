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481b3127ff98f7e/Focus CFO/AI/DNA Model/"/>
    </mc:Choice>
  </mc:AlternateContent>
  <xr:revisionPtr revIDLastSave="0" documentId="8_{E4BF57D4-EA24-4735-A7B4-CE51D912A0AF}" xr6:coauthVersionLast="47" xr6:coauthVersionMax="47" xr10:uidLastSave="{00000000-0000-0000-0000-000000000000}"/>
  <bookViews>
    <workbookView xWindow="-120" yWindow="-120" windowWidth="29040" windowHeight="15720" firstSheet="5" activeTab="5" xr2:uid="{7DE1E8A5-E879-471C-8244-DE9B83DF7460}"/>
  </bookViews>
  <sheets>
    <sheet name="Menu" sheetId="1" r:id="rId1"/>
    <sheet name="Source_PL" sheetId="2" r:id="rId2"/>
    <sheet name="Source_BS" sheetId="3" r:id="rId3"/>
    <sheet name="PL" sheetId="4" r:id="rId4"/>
    <sheet name="Balance_Sheet" sheetId="5" r:id="rId5"/>
    <sheet name="Cash_Flow" sheetId="6" r:id="rId6"/>
  </sheets>
  <definedNames>
    <definedName name="SourceBS">Source_BS!$A$1:$M$119</definedName>
    <definedName name="SourcePL">Source_PL!$A$1:$M$102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6" l="1"/>
  <c r="O23" i="6"/>
  <c r="O22" i="6"/>
  <c r="O20" i="6"/>
  <c r="O19" i="6"/>
  <c r="O18" i="6"/>
  <c r="O15" i="6"/>
  <c r="O14" i="6"/>
  <c r="O11" i="6"/>
  <c r="O10" i="6"/>
  <c r="O9" i="6"/>
  <c r="O7" i="6"/>
  <c r="O6" i="6"/>
  <c r="M6" i="6"/>
  <c r="L6" i="6"/>
  <c r="K6" i="6"/>
  <c r="J6" i="6"/>
  <c r="I6" i="6"/>
  <c r="H6" i="6"/>
  <c r="G6" i="6"/>
  <c r="F6" i="6"/>
  <c r="E6" i="6"/>
  <c r="D6" i="6"/>
  <c r="C6" i="6"/>
  <c r="B6" i="6"/>
  <c r="M122" i="5"/>
  <c r="L122" i="5"/>
  <c r="K122" i="5"/>
  <c r="J122" i="5"/>
  <c r="I122" i="5"/>
  <c r="H122" i="5"/>
  <c r="G122" i="5"/>
  <c r="F122" i="5"/>
  <c r="E122" i="5"/>
  <c r="D122" i="5"/>
  <c r="C122" i="5"/>
  <c r="B122" i="5"/>
  <c r="M121" i="5"/>
  <c r="L121" i="5"/>
  <c r="K121" i="5"/>
  <c r="J121" i="5"/>
  <c r="I121" i="5"/>
  <c r="H121" i="5"/>
  <c r="G121" i="5"/>
  <c r="F121" i="5"/>
  <c r="E121" i="5"/>
  <c r="D121" i="5"/>
  <c r="C121" i="5"/>
  <c r="B121" i="5"/>
  <c r="M120" i="5"/>
  <c r="L120" i="5"/>
  <c r="K120" i="5"/>
  <c r="J120" i="5"/>
  <c r="I120" i="5"/>
  <c r="H120" i="5"/>
  <c r="G120" i="5"/>
  <c r="F120" i="5"/>
  <c r="E120" i="5"/>
  <c r="D120" i="5"/>
  <c r="C120" i="5"/>
  <c r="B120" i="5"/>
  <c r="M119" i="5"/>
  <c r="L119" i="5"/>
  <c r="K119" i="5"/>
  <c r="J119" i="5"/>
  <c r="I119" i="5"/>
  <c r="H119" i="5"/>
  <c r="G119" i="5"/>
  <c r="F119" i="5"/>
  <c r="E119" i="5"/>
  <c r="D119" i="5"/>
  <c r="C119" i="5"/>
  <c r="B119" i="5"/>
  <c r="M118" i="5"/>
  <c r="L118" i="5"/>
  <c r="K118" i="5"/>
  <c r="J118" i="5"/>
  <c r="I118" i="5"/>
  <c r="H118" i="5"/>
  <c r="G118" i="5"/>
  <c r="F118" i="5"/>
  <c r="E118" i="5"/>
  <c r="D118" i="5"/>
  <c r="C118" i="5"/>
  <c r="B118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M116" i="5"/>
  <c r="L116" i="5"/>
  <c r="K116" i="5"/>
  <c r="J116" i="5"/>
  <c r="I116" i="5"/>
  <c r="H116" i="5"/>
  <c r="G116" i="5"/>
  <c r="F116" i="5"/>
  <c r="E116" i="5"/>
  <c r="D116" i="5"/>
  <c r="C116" i="5"/>
  <c r="B116" i="5"/>
  <c r="M115" i="5"/>
  <c r="L115" i="5"/>
  <c r="K115" i="5"/>
  <c r="J115" i="5"/>
  <c r="I115" i="5"/>
  <c r="H115" i="5"/>
  <c r="G115" i="5"/>
  <c r="F115" i="5"/>
  <c r="E115" i="5"/>
  <c r="D115" i="5"/>
  <c r="C115" i="5"/>
  <c r="B115" i="5"/>
  <c r="M114" i="5"/>
  <c r="L114" i="5"/>
  <c r="K114" i="5"/>
  <c r="J114" i="5"/>
  <c r="I114" i="5"/>
  <c r="H114" i="5"/>
  <c r="G114" i="5"/>
  <c r="F114" i="5"/>
  <c r="E114" i="5"/>
  <c r="D114" i="5"/>
  <c r="C114" i="5"/>
  <c r="B114" i="5"/>
  <c r="M113" i="5"/>
  <c r="L113" i="5"/>
  <c r="K113" i="5"/>
  <c r="J113" i="5"/>
  <c r="I113" i="5"/>
  <c r="H113" i="5"/>
  <c r="G113" i="5"/>
  <c r="F113" i="5"/>
  <c r="E113" i="5"/>
  <c r="D113" i="5"/>
  <c r="C113" i="5"/>
  <c r="B113" i="5"/>
  <c r="M112" i="5"/>
  <c r="L112" i="5"/>
  <c r="K112" i="5"/>
  <c r="J112" i="5"/>
  <c r="I112" i="5"/>
  <c r="H112" i="5"/>
  <c r="G112" i="5"/>
  <c r="F112" i="5"/>
  <c r="E112" i="5"/>
  <c r="D112" i="5"/>
  <c r="C112" i="5"/>
  <c r="B112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M110" i="5"/>
  <c r="L110" i="5"/>
  <c r="K110" i="5"/>
  <c r="J110" i="5"/>
  <c r="I110" i="5"/>
  <c r="H110" i="5"/>
  <c r="G110" i="5"/>
  <c r="F110" i="5"/>
  <c r="E110" i="5"/>
  <c r="D110" i="5"/>
  <c r="C110" i="5"/>
  <c r="B110" i="5"/>
  <c r="M109" i="5"/>
  <c r="L109" i="5"/>
  <c r="K109" i="5"/>
  <c r="J109" i="5"/>
  <c r="I109" i="5"/>
  <c r="H109" i="5"/>
  <c r="G109" i="5"/>
  <c r="F109" i="5"/>
  <c r="E109" i="5"/>
  <c r="D109" i="5"/>
  <c r="C109" i="5"/>
  <c r="B109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M106" i="5"/>
  <c r="L106" i="5"/>
  <c r="K106" i="5"/>
  <c r="J106" i="5"/>
  <c r="I106" i="5"/>
  <c r="H106" i="5"/>
  <c r="G106" i="5"/>
  <c r="F106" i="5"/>
  <c r="E106" i="5"/>
  <c r="D106" i="5"/>
  <c r="C106" i="5"/>
  <c r="B106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M99" i="5"/>
  <c r="L99" i="5"/>
  <c r="K99" i="5"/>
  <c r="J99" i="5"/>
  <c r="I99" i="5"/>
  <c r="H99" i="5"/>
  <c r="G99" i="5"/>
  <c r="F99" i="5"/>
  <c r="E99" i="5"/>
  <c r="D99" i="5"/>
  <c r="C99" i="5"/>
  <c r="B99" i="5"/>
  <c r="M98" i="5"/>
  <c r="L98" i="5"/>
  <c r="K98" i="5"/>
  <c r="J98" i="5"/>
  <c r="I98" i="5"/>
  <c r="H98" i="5"/>
  <c r="G98" i="5"/>
  <c r="F98" i="5"/>
  <c r="E98" i="5"/>
  <c r="D98" i="5"/>
  <c r="C98" i="5"/>
  <c r="B98" i="5"/>
  <c r="M97" i="5"/>
  <c r="L97" i="5"/>
  <c r="K97" i="5"/>
  <c r="J97" i="5"/>
  <c r="I97" i="5"/>
  <c r="H97" i="5"/>
  <c r="G97" i="5"/>
  <c r="F97" i="5"/>
  <c r="E97" i="5"/>
  <c r="D97" i="5"/>
  <c r="C97" i="5"/>
  <c r="B97" i="5"/>
  <c r="M96" i="5"/>
  <c r="L96" i="5"/>
  <c r="K96" i="5"/>
  <c r="J96" i="5"/>
  <c r="I96" i="5"/>
  <c r="H96" i="5"/>
  <c r="G96" i="5"/>
  <c r="F96" i="5"/>
  <c r="E96" i="5"/>
  <c r="D96" i="5"/>
  <c r="C96" i="5"/>
  <c r="B96" i="5"/>
  <c r="M95" i="5"/>
  <c r="L95" i="5"/>
  <c r="K95" i="5"/>
  <c r="J95" i="5"/>
  <c r="I95" i="5"/>
  <c r="H95" i="5"/>
  <c r="G95" i="5"/>
  <c r="F95" i="5"/>
  <c r="E95" i="5"/>
  <c r="D95" i="5"/>
  <c r="C95" i="5"/>
  <c r="B95" i="5"/>
  <c r="M94" i="5"/>
  <c r="L94" i="5"/>
  <c r="K94" i="5"/>
  <c r="J94" i="5"/>
  <c r="I94" i="5"/>
  <c r="H94" i="5"/>
  <c r="G94" i="5"/>
  <c r="F94" i="5"/>
  <c r="E94" i="5"/>
  <c r="D94" i="5"/>
  <c r="C94" i="5"/>
  <c r="B94" i="5"/>
  <c r="M93" i="5"/>
  <c r="L93" i="5"/>
  <c r="K93" i="5"/>
  <c r="J93" i="5"/>
  <c r="I93" i="5"/>
  <c r="H93" i="5"/>
  <c r="G93" i="5"/>
  <c r="F93" i="5"/>
  <c r="E93" i="5"/>
  <c r="D93" i="5"/>
  <c r="C93" i="5"/>
  <c r="B93" i="5"/>
  <c r="M92" i="5"/>
  <c r="L92" i="5"/>
  <c r="K92" i="5"/>
  <c r="J92" i="5"/>
  <c r="I92" i="5"/>
  <c r="H92" i="5"/>
  <c r="G92" i="5"/>
  <c r="F92" i="5"/>
  <c r="E92" i="5"/>
  <c r="D92" i="5"/>
  <c r="C92" i="5"/>
  <c r="B92" i="5"/>
  <c r="M91" i="5"/>
  <c r="L91" i="5"/>
  <c r="K91" i="5"/>
  <c r="J91" i="5"/>
  <c r="I91" i="5"/>
  <c r="H91" i="5"/>
  <c r="G91" i="5"/>
  <c r="F91" i="5"/>
  <c r="E91" i="5"/>
  <c r="D91" i="5"/>
  <c r="C91" i="5"/>
  <c r="B91" i="5"/>
  <c r="M90" i="5"/>
  <c r="L90" i="5"/>
  <c r="K90" i="5"/>
  <c r="J90" i="5"/>
  <c r="I90" i="5"/>
  <c r="H90" i="5"/>
  <c r="G90" i="5"/>
  <c r="F90" i="5"/>
  <c r="E90" i="5"/>
  <c r="D90" i="5"/>
  <c r="C90" i="5"/>
  <c r="B90" i="5"/>
  <c r="M89" i="5"/>
  <c r="L89" i="5"/>
  <c r="K89" i="5"/>
  <c r="J89" i="5"/>
  <c r="I89" i="5"/>
  <c r="H89" i="5"/>
  <c r="G89" i="5"/>
  <c r="F89" i="5"/>
  <c r="E89" i="5"/>
  <c r="D89" i="5"/>
  <c r="C89" i="5"/>
  <c r="B89" i="5"/>
  <c r="M88" i="5"/>
  <c r="L88" i="5"/>
  <c r="K88" i="5"/>
  <c r="J88" i="5"/>
  <c r="I88" i="5"/>
  <c r="H88" i="5"/>
  <c r="G88" i="5"/>
  <c r="F88" i="5"/>
  <c r="E88" i="5"/>
  <c r="D88" i="5"/>
  <c r="C88" i="5"/>
  <c r="B88" i="5"/>
  <c r="M87" i="5"/>
  <c r="L87" i="5"/>
  <c r="K87" i="5"/>
  <c r="J87" i="5"/>
  <c r="I87" i="5"/>
  <c r="H87" i="5"/>
  <c r="G87" i="5"/>
  <c r="F87" i="5"/>
  <c r="E87" i="5"/>
  <c r="D87" i="5"/>
  <c r="C87" i="5"/>
  <c r="B87" i="5"/>
  <c r="M86" i="5"/>
  <c r="L86" i="5"/>
  <c r="K86" i="5"/>
  <c r="J86" i="5"/>
  <c r="I86" i="5"/>
  <c r="H86" i="5"/>
  <c r="G86" i="5"/>
  <c r="F86" i="5"/>
  <c r="E86" i="5"/>
  <c r="D86" i="5"/>
  <c r="C86" i="5"/>
  <c r="B86" i="5"/>
  <c r="M85" i="5"/>
  <c r="L85" i="5"/>
  <c r="K85" i="5"/>
  <c r="J85" i="5"/>
  <c r="I85" i="5"/>
  <c r="H85" i="5"/>
  <c r="G85" i="5"/>
  <c r="F85" i="5"/>
  <c r="E85" i="5"/>
  <c r="D85" i="5"/>
  <c r="C85" i="5"/>
  <c r="B85" i="5"/>
  <c r="M84" i="5"/>
  <c r="L84" i="5"/>
  <c r="K84" i="5"/>
  <c r="J84" i="5"/>
  <c r="I84" i="5"/>
  <c r="H84" i="5"/>
  <c r="G84" i="5"/>
  <c r="F84" i="5"/>
  <c r="E84" i="5"/>
  <c r="D84" i="5"/>
  <c r="C84" i="5"/>
  <c r="B84" i="5"/>
  <c r="M83" i="5"/>
  <c r="L83" i="5"/>
  <c r="K83" i="5"/>
  <c r="J83" i="5"/>
  <c r="I83" i="5"/>
  <c r="H83" i="5"/>
  <c r="G83" i="5"/>
  <c r="F83" i="5"/>
  <c r="E83" i="5"/>
  <c r="D83" i="5"/>
  <c r="C83" i="5"/>
  <c r="B83" i="5"/>
  <c r="M82" i="5"/>
  <c r="L82" i="5"/>
  <c r="K82" i="5"/>
  <c r="J82" i="5"/>
  <c r="I82" i="5"/>
  <c r="H82" i="5"/>
  <c r="G82" i="5"/>
  <c r="F82" i="5"/>
  <c r="E82" i="5"/>
  <c r="D82" i="5"/>
  <c r="C82" i="5"/>
  <c r="B82" i="5"/>
  <c r="M81" i="5"/>
  <c r="L81" i="5"/>
  <c r="K81" i="5"/>
  <c r="J81" i="5"/>
  <c r="I81" i="5"/>
  <c r="H81" i="5"/>
  <c r="G81" i="5"/>
  <c r="F81" i="5"/>
  <c r="E81" i="5"/>
  <c r="D81" i="5"/>
  <c r="C81" i="5"/>
  <c r="B81" i="5"/>
  <c r="M80" i="5"/>
  <c r="L80" i="5"/>
  <c r="K80" i="5"/>
  <c r="J80" i="5"/>
  <c r="I80" i="5"/>
  <c r="H80" i="5"/>
  <c r="G80" i="5"/>
  <c r="F80" i="5"/>
  <c r="E80" i="5"/>
  <c r="D80" i="5"/>
  <c r="C80" i="5"/>
  <c r="B80" i="5"/>
  <c r="M79" i="5"/>
  <c r="L79" i="5"/>
  <c r="K79" i="5"/>
  <c r="J79" i="5"/>
  <c r="I79" i="5"/>
  <c r="H79" i="5"/>
  <c r="G79" i="5"/>
  <c r="F79" i="5"/>
  <c r="E79" i="5"/>
  <c r="D79" i="5"/>
  <c r="C79" i="5"/>
  <c r="B79" i="5"/>
  <c r="M78" i="5"/>
  <c r="L78" i="5"/>
  <c r="K78" i="5"/>
  <c r="J78" i="5"/>
  <c r="I78" i="5"/>
  <c r="H78" i="5"/>
  <c r="G78" i="5"/>
  <c r="F78" i="5"/>
  <c r="E78" i="5"/>
  <c r="D78" i="5"/>
  <c r="C78" i="5"/>
  <c r="B78" i="5"/>
  <c r="M77" i="5"/>
  <c r="L77" i="5"/>
  <c r="K77" i="5"/>
  <c r="J77" i="5"/>
  <c r="I77" i="5"/>
  <c r="H77" i="5"/>
  <c r="G77" i="5"/>
  <c r="F77" i="5"/>
  <c r="E77" i="5"/>
  <c r="D77" i="5"/>
  <c r="C77" i="5"/>
  <c r="B77" i="5"/>
  <c r="M76" i="5"/>
  <c r="L76" i="5"/>
  <c r="K76" i="5"/>
  <c r="J76" i="5"/>
  <c r="I76" i="5"/>
  <c r="H76" i="5"/>
  <c r="G76" i="5"/>
  <c r="F76" i="5"/>
  <c r="E76" i="5"/>
  <c r="D76" i="5"/>
  <c r="C76" i="5"/>
  <c r="B76" i="5"/>
  <c r="M75" i="5"/>
  <c r="L75" i="5"/>
  <c r="K75" i="5"/>
  <c r="J75" i="5"/>
  <c r="I75" i="5"/>
  <c r="H75" i="5"/>
  <c r="G75" i="5"/>
  <c r="F75" i="5"/>
  <c r="E75" i="5"/>
  <c r="D75" i="5"/>
  <c r="C75" i="5"/>
  <c r="B75" i="5"/>
  <c r="M74" i="5"/>
  <c r="L74" i="5"/>
  <c r="K74" i="5"/>
  <c r="J74" i="5"/>
  <c r="I74" i="5"/>
  <c r="H74" i="5"/>
  <c r="G74" i="5"/>
  <c r="F74" i="5"/>
  <c r="E74" i="5"/>
  <c r="D74" i="5"/>
  <c r="C74" i="5"/>
  <c r="B74" i="5"/>
  <c r="M73" i="5"/>
  <c r="L73" i="5"/>
  <c r="K73" i="5"/>
  <c r="J73" i="5"/>
  <c r="I73" i="5"/>
  <c r="H73" i="5"/>
  <c r="G73" i="5"/>
  <c r="F73" i="5"/>
  <c r="E73" i="5"/>
  <c r="D73" i="5"/>
  <c r="C73" i="5"/>
  <c r="B73" i="5"/>
  <c r="M72" i="5"/>
  <c r="L72" i="5"/>
  <c r="K72" i="5"/>
  <c r="J72" i="5"/>
  <c r="I72" i="5"/>
  <c r="H72" i="5"/>
  <c r="G72" i="5"/>
  <c r="F72" i="5"/>
  <c r="E72" i="5"/>
  <c r="D72" i="5"/>
  <c r="C72" i="5"/>
  <c r="B72" i="5"/>
  <c r="M71" i="5"/>
  <c r="L71" i="5"/>
  <c r="K71" i="5"/>
  <c r="J71" i="5"/>
  <c r="I71" i="5"/>
  <c r="H71" i="5"/>
  <c r="G71" i="5"/>
  <c r="F71" i="5"/>
  <c r="E71" i="5"/>
  <c r="D71" i="5"/>
  <c r="C71" i="5"/>
  <c r="B71" i="5"/>
  <c r="M70" i="5"/>
  <c r="L70" i="5"/>
  <c r="K70" i="5"/>
  <c r="J70" i="5"/>
  <c r="I70" i="5"/>
  <c r="H70" i="5"/>
  <c r="G70" i="5"/>
  <c r="F70" i="5"/>
  <c r="E70" i="5"/>
  <c r="D70" i="5"/>
  <c r="C70" i="5"/>
  <c r="B70" i="5"/>
  <c r="M69" i="5"/>
  <c r="L69" i="5"/>
  <c r="K69" i="5"/>
  <c r="J69" i="5"/>
  <c r="I69" i="5"/>
  <c r="H69" i="5"/>
  <c r="G69" i="5"/>
  <c r="F69" i="5"/>
  <c r="E69" i="5"/>
  <c r="D69" i="5"/>
  <c r="C69" i="5"/>
  <c r="B69" i="5"/>
  <c r="M68" i="5"/>
  <c r="L68" i="5"/>
  <c r="K68" i="5"/>
  <c r="J68" i="5"/>
  <c r="I68" i="5"/>
  <c r="H68" i="5"/>
  <c r="G68" i="5"/>
  <c r="F68" i="5"/>
  <c r="E68" i="5"/>
  <c r="D68" i="5"/>
  <c r="C68" i="5"/>
  <c r="B68" i="5"/>
  <c r="M67" i="5"/>
  <c r="L67" i="5"/>
  <c r="K67" i="5"/>
  <c r="J67" i="5"/>
  <c r="I67" i="5"/>
  <c r="H67" i="5"/>
  <c r="G67" i="5"/>
  <c r="F67" i="5"/>
  <c r="E67" i="5"/>
  <c r="D67" i="5"/>
  <c r="C67" i="5"/>
  <c r="B67" i="5"/>
  <c r="M66" i="5"/>
  <c r="L66" i="5"/>
  <c r="K66" i="5"/>
  <c r="J66" i="5"/>
  <c r="I66" i="5"/>
  <c r="H66" i="5"/>
  <c r="G66" i="5"/>
  <c r="F66" i="5"/>
  <c r="E66" i="5"/>
  <c r="D66" i="5"/>
  <c r="C66" i="5"/>
  <c r="B66" i="5"/>
  <c r="M65" i="5"/>
  <c r="L65" i="5"/>
  <c r="K65" i="5"/>
  <c r="J65" i="5"/>
  <c r="I65" i="5"/>
  <c r="H65" i="5"/>
  <c r="G65" i="5"/>
  <c r="F65" i="5"/>
  <c r="E65" i="5"/>
  <c r="D65" i="5"/>
  <c r="C65" i="5"/>
  <c r="B65" i="5"/>
  <c r="M64" i="5"/>
  <c r="L64" i="5"/>
  <c r="K64" i="5"/>
  <c r="J64" i="5"/>
  <c r="I64" i="5"/>
  <c r="H64" i="5"/>
  <c r="G64" i="5"/>
  <c r="F64" i="5"/>
  <c r="E64" i="5"/>
  <c r="D64" i="5"/>
  <c r="C64" i="5"/>
  <c r="B64" i="5"/>
  <c r="M63" i="5"/>
  <c r="L63" i="5"/>
  <c r="K63" i="5"/>
  <c r="J63" i="5"/>
  <c r="I63" i="5"/>
  <c r="H63" i="5"/>
  <c r="G63" i="5"/>
  <c r="F63" i="5"/>
  <c r="E63" i="5"/>
  <c r="D63" i="5"/>
  <c r="C63" i="5"/>
  <c r="B63" i="5"/>
  <c r="M62" i="5"/>
  <c r="L62" i="5"/>
  <c r="K62" i="5"/>
  <c r="J62" i="5"/>
  <c r="I62" i="5"/>
  <c r="H62" i="5"/>
  <c r="G62" i="5"/>
  <c r="F62" i="5"/>
  <c r="E62" i="5"/>
  <c r="D62" i="5"/>
  <c r="C62" i="5"/>
  <c r="B62" i="5"/>
  <c r="M61" i="5"/>
  <c r="L61" i="5"/>
  <c r="K61" i="5"/>
  <c r="J61" i="5"/>
  <c r="I61" i="5"/>
  <c r="H61" i="5"/>
  <c r="G61" i="5"/>
  <c r="F61" i="5"/>
  <c r="E61" i="5"/>
  <c r="D61" i="5"/>
  <c r="C61" i="5"/>
  <c r="B61" i="5"/>
  <c r="M60" i="5"/>
  <c r="L60" i="5"/>
  <c r="K60" i="5"/>
  <c r="J60" i="5"/>
  <c r="I60" i="5"/>
  <c r="H60" i="5"/>
  <c r="G60" i="5"/>
  <c r="F60" i="5"/>
  <c r="E60" i="5"/>
  <c r="D60" i="5"/>
  <c r="C60" i="5"/>
  <c r="B60" i="5"/>
  <c r="M59" i="5"/>
  <c r="L59" i="5"/>
  <c r="K59" i="5"/>
  <c r="J59" i="5"/>
  <c r="I59" i="5"/>
  <c r="H59" i="5"/>
  <c r="G59" i="5"/>
  <c r="F59" i="5"/>
  <c r="E59" i="5"/>
  <c r="D59" i="5"/>
  <c r="C59" i="5"/>
  <c r="B59" i="5"/>
  <c r="M58" i="5"/>
  <c r="L58" i="5"/>
  <c r="K58" i="5"/>
  <c r="J58" i="5"/>
  <c r="I58" i="5"/>
  <c r="H58" i="5"/>
  <c r="G58" i="5"/>
  <c r="F58" i="5"/>
  <c r="E58" i="5"/>
  <c r="D58" i="5"/>
  <c r="C58" i="5"/>
  <c r="B58" i="5"/>
  <c r="M57" i="5"/>
  <c r="L57" i="5"/>
  <c r="K57" i="5"/>
  <c r="J57" i="5"/>
  <c r="I57" i="5"/>
  <c r="H57" i="5"/>
  <c r="G57" i="5"/>
  <c r="F57" i="5"/>
  <c r="E57" i="5"/>
  <c r="D57" i="5"/>
  <c r="C57" i="5"/>
  <c r="B57" i="5"/>
  <c r="M56" i="5"/>
  <c r="L56" i="5"/>
  <c r="K56" i="5"/>
  <c r="J56" i="5"/>
  <c r="I56" i="5"/>
  <c r="H56" i="5"/>
  <c r="G56" i="5"/>
  <c r="F56" i="5"/>
  <c r="E56" i="5"/>
  <c r="D56" i="5"/>
  <c r="C56" i="5"/>
  <c r="B56" i="5"/>
  <c r="M55" i="5"/>
  <c r="L55" i="5"/>
  <c r="K55" i="5"/>
  <c r="J55" i="5"/>
  <c r="I55" i="5"/>
  <c r="H55" i="5"/>
  <c r="G55" i="5"/>
  <c r="F55" i="5"/>
  <c r="E55" i="5"/>
  <c r="D55" i="5"/>
  <c r="C55" i="5"/>
  <c r="B55" i="5"/>
  <c r="M54" i="5"/>
  <c r="L54" i="5"/>
  <c r="K54" i="5"/>
  <c r="J54" i="5"/>
  <c r="I54" i="5"/>
  <c r="H54" i="5"/>
  <c r="G54" i="5"/>
  <c r="F54" i="5"/>
  <c r="E54" i="5"/>
  <c r="D54" i="5"/>
  <c r="C54" i="5"/>
  <c r="B54" i="5"/>
  <c r="M53" i="5"/>
  <c r="L53" i="5"/>
  <c r="K53" i="5"/>
  <c r="J53" i="5"/>
  <c r="I53" i="5"/>
  <c r="H53" i="5"/>
  <c r="G53" i="5"/>
  <c r="F53" i="5"/>
  <c r="E53" i="5"/>
  <c r="D53" i="5"/>
  <c r="C53" i="5"/>
  <c r="B53" i="5"/>
  <c r="M52" i="5"/>
  <c r="L52" i="5"/>
  <c r="K52" i="5"/>
  <c r="J52" i="5"/>
  <c r="I52" i="5"/>
  <c r="H52" i="5"/>
  <c r="G52" i="5"/>
  <c r="F52" i="5"/>
  <c r="E52" i="5"/>
  <c r="D52" i="5"/>
  <c r="C52" i="5"/>
  <c r="B52" i="5"/>
  <c r="M51" i="5"/>
  <c r="L51" i="5"/>
  <c r="K51" i="5"/>
  <c r="J51" i="5"/>
  <c r="I51" i="5"/>
  <c r="H51" i="5"/>
  <c r="G51" i="5"/>
  <c r="F51" i="5"/>
  <c r="E51" i="5"/>
  <c r="D51" i="5"/>
  <c r="C51" i="5"/>
  <c r="B51" i="5"/>
  <c r="M50" i="5"/>
  <c r="L50" i="5"/>
  <c r="K50" i="5"/>
  <c r="J50" i="5"/>
  <c r="I50" i="5"/>
  <c r="H50" i="5"/>
  <c r="G50" i="5"/>
  <c r="F50" i="5"/>
  <c r="E50" i="5"/>
  <c r="D50" i="5"/>
  <c r="C50" i="5"/>
  <c r="B50" i="5"/>
  <c r="M49" i="5"/>
  <c r="L49" i="5"/>
  <c r="K49" i="5"/>
  <c r="J49" i="5"/>
  <c r="I49" i="5"/>
  <c r="H49" i="5"/>
  <c r="G49" i="5"/>
  <c r="F49" i="5"/>
  <c r="E49" i="5"/>
  <c r="D49" i="5"/>
  <c r="C49" i="5"/>
  <c r="B49" i="5"/>
  <c r="M48" i="5"/>
  <c r="L48" i="5"/>
  <c r="K48" i="5"/>
  <c r="J48" i="5"/>
  <c r="I48" i="5"/>
  <c r="H48" i="5"/>
  <c r="G48" i="5"/>
  <c r="F48" i="5"/>
  <c r="E48" i="5"/>
  <c r="D48" i="5"/>
  <c r="C48" i="5"/>
  <c r="B48" i="5"/>
  <c r="M47" i="5"/>
  <c r="L47" i="5"/>
  <c r="K47" i="5"/>
  <c r="J47" i="5"/>
  <c r="I47" i="5"/>
  <c r="H47" i="5"/>
  <c r="G47" i="5"/>
  <c r="F47" i="5"/>
  <c r="E47" i="5"/>
  <c r="D47" i="5"/>
  <c r="C47" i="5"/>
  <c r="B47" i="5"/>
  <c r="M46" i="5"/>
  <c r="L46" i="5"/>
  <c r="K46" i="5"/>
  <c r="J46" i="5"/>
  <c r="I46" i="5"/>
  <c r="H46" i="5"/>
  <c r="G46" i="5"/>
  <c r="F46" i="5"/>
  <c r="E46" i="5"/>
  <c r="D46" i="5"/>
  <c r="C46" i="5"/>
  <c r="B46" i="5"/>
  <c r="M45" i="5"/>
  <c r="L45" i="5"/>
  <c r="K45" i="5"/>
  <c r="J45" i="5"/>
  <c r="I45" i="5"/>
  <c r="H45" i="5"/>
  <c r="G45" i="5"/>
  <c r="F45" i="5"/>
  <c r="E45" i="5"/>
  <c r="D45" i="5"/>
  <c r="C45" i="5"/>
  <c r="B45" i="5"/>
  <c r="M44" i="5"/>
  <c r="L44" i="5"/>
  <c r="K44" i="5"/>
  <c r="J44" i="5"/>
  <c r="I44" i="5"/>
  <c r="H44" i="5"/>
  <c r="G44" i="5"/>
  <c r="F44" i="5"/>
  <c r="E44" i="5"/>
  <c r="D44" i="5"/>
  <c r="C44" i="5"/>
  <c r="B44" i="5"/>
  <c r="M43" i="5"/>
  <c r="L43" i="5"/>
  <c r="K43" i="5"/>
  <c r="J43" i="5"/>
  <c r="I43" i="5"/>
  <c r="H43" i="5"/>
  <c r="G43" i="5"/>
  <c r="F43" i="5"/>
  <c r="E43" i="5"/>
  <c r="D43" i="5"/>
  <c r="C43" i="5"/>
  <c r="B43" i="5"/>
  <c r="M42" i="5"/>
  <c r="L42" i="5"/>
  <c r="K42" i="5"/>
  <c r="J42" i="5"/>
  <c r="I42" i="5"/>
  <c r="H42" i="5"/>
  <c r="G42" i="5"/>
  <c r="F42" i="5"/>
  <c r="E42" i="5"/>
  <c r="D42" i="5"/>
  <c r="C42" i="5"/>
  <c r="B42" i="5"/>
  <c r="M41" i="5"/>
  <c r="L41" i="5"/>
  <c r="K41" i="5"/>
  <c r="J41" i="5"/>
  <c r="I41" i="5"/>
  <c r="H41" i="5"/>
  <c r="G41" i="5"/>
  <c r="F41" i="5"/>
  <c r="E41" i="5"/>
  <c r="D41" i="5"/>
  <c r="C41" i="5"/>
  <c r="B41" i="5"/>
  <c r="M40" i="5"/>
  <c r="L40" i="5"/>
  <c r="K40" i="5"/>
  <c r="J40" i="5"/>
  <c r="I40" i="5"/>
  <c r="H40" i="5"/>
  <c r="G40" i="5"/>
  <c r="F40" i="5"/>
  <c r="E40" i="5"/>
  <c r="D40" i="5"/>
  <c r="C40" i="5"/>
  <c r="B40" i="5"/>
  <c r="M39" i="5"/>
  <c r="L39" i="5"/>
  <c r="K39" i="5"/>
  <c r="J39" i="5"/>
  <c r="I39" i="5"/>
  <c r="H39" i="5"/>
  <c r="G39" i="5"/>
  <c r="F39" i="5"/>
  <c r="E39" i="5"/>
  <c r="D39" i="5"/>
  <c r="C39" i="5"/>
  <c r="B39" i="5"/>
  <c r="M38" i="5"/>
  <c r="L38" i="5"/>
  <c r="K38" i="5"/>
  <c r="J38" i="5"/>
  <c r="I38" i="5"/>
  <c r="H38" i="5"/>
  <c r="G38" i="5"/>
  <c r="F38" i="5"/>
  <c r="E38" i="5"/>
  <c r="D38" i="5"/>
  <c r="C38" i="5"/>
  <c r="B38" i="5"/>
  <c r="M37" i="5"/>
  <c r="L37" i="5"/>
  <c r="K37" i="5"/>
  <c r="J37" i="5"/>
  <c r="I37" i="5"/>
  <c r="H37" i="5"/>
  <c r="G37" i="5"/>
  <c r="F37" i="5"/>
  <c r="E37" i="5"/>
  <c r="D37" i="5"/>
  <c r="C37" i="5"/>
  <c r="B37" i="5"/>
  <c r="M36" i="5"/>
  <c r="L36" i="5"/>
  <c r="K36" i="5"/>
  <c r="J36" i="5"/>
  <c r="I36" i="5"/>
  <c r="H36" i="5"/>
  <c r="G36" i="5"/>
  <c r="F36" i="5"/>
  <c r="E36" i="5"/>
  <c r="D36" i="5"/>
  <c r="C36" i="5"/>
  <c r="B36" i="5"/>
  <c r="M35" i="5"/>
  <c r="L35" i="5"/>
  <c r="K35" i="5"/>
  <c r="J35" i="5"/>
  <c r="I35" i="5"/>
  <c r="H35" i="5"/>
  <c r="G35" i="5"/>
  <c r="F35" i="5"/>
  <c r="E35" i="5"/>
  <c r="D35" i="5"/>
  <c r="C35" i="5"/>
  <c r="B35" i="5"/>
  <c r="M34" i="5"/>
  <c r="L34" i="5"/>
  <c r="K34" i="5"/>
  <c r="J34" i="5"/>
  <c r="I34" i="5"/>
  <c r="H34" i="5"/>
  <c r="G34" i="5"/>
  <c r="F34" i="5"/>
  <c r="E34" i="5"/>
  <c r="D34" i="5"/>
  <c r="C34" i="5"/>
  <c r="B34" i="5"/>
  <c r="M33" i="5"/>
  <c r="L33" i="5"/>
  <c r="K33" i="5"/>
  <c r="J33" i="5"/>
  <c r="I33" i="5"/>
  <c r="H33" i="5"/>
  <c r="G33" i="5"/>
  <c r="F33" i="5"/>
  <c r="E33" i="5"/>
  <c r="D33" i="5"/>
  <c r="C33" i="5"/>
  <c r="B33" i="5"/>
  <c r="M32" i="5"/>
  <c r="L32" i="5"/>
  <c r="K32" i="5"/>
  <c r="J32" i="5"/>
  <c r="I32" i="5"/>
  <c r="H32" i="5"/>
  <c r="G32" i="5"/>
  <c r="F32" i="5"/>
  <c r="E32" i="5"/>
  <c r="D32" i="5"/>
  <c r="C32" i="5"/>
  <c r="B32" i="5"/>
  <c r="M31" i="5"/>
  <c r="L31" i="5"/>
  <c r="K31" i="5"/>
  <c r="J31" i="5"/>
  <c r="I31" i="5"/>
  <c r="H31" i="5"/>
  <c r="G31" i="5"/>
  <c r="F31" i="5"/>
  <c r="E31" i="5"/>
  <c r="D31" i="5"/>
  <c r="C31" i="5"/>
  <c r="B31" i="5"/>
  <c r="M30" i="5"/>
  <c r="L30" i="5"/>
  <c r="K30" i="5"/>
  <c r="J30" i="5"/>
  <c r="I30" i="5"/>
  <c r="H30" i="5"/>
  <c r="G30" i="5"/>
  <c r="F30" i="5"/>
  <c r="E30" i="5"/>
  <c r="D30" i="5"/>
  <c r="C30" i="5"/>
  <c r="B30" i="5"/>
  <c r="M29" i="5"/>
  <c r="L29" i="5"/>
  <c r="K29" i="5"/>
  <c r="J29" i="5"/>
  <c r="I29" i="5"/>
  <c r="H29" i="5"/>
  <c r="G29" i="5"/>
  <c r="F29" i="5"/>
  <c r="E29" i="5"/>
  <c r="D29" i="5"/>
  <c r="C29" i="5"/>
  <c r="B29" i="5"/>
  <c r="M28" i="5"/>
  <c r="L28" i="5"/>
  <c r="K28" i="5"/>
  <c r="J28" i="5"/>
  <c r="I28" i="5"/>
  <c r="H28" i="5"/>
  <c r="G28" i="5"/>
  <c r="F28" i="5"/>
  <c r="E28" i="5"/>
  <c r="D28" i="5"/>
  <c r="C28" i="5"/>
  <c r="B28" i="5"/>
  <c r="M27" i="5"/>
  <c r="L27" i="5"/>
  <c r="K27" i="5"/>
  <c r="J27" i="5"/>
  <c r="I27" i="5"/>
  <c r="H27" i="5"/>
  <c r="G27" i="5"/>
  <c r="F27" i="5"/>
  <c r="E27" i="5"/>
  <c r="D27" i="5"/>
  <c r="C27" i="5"/>
  <c r="B27" i="5"/>
  <c r="M26" i="5"/>
  <c r="L26" i="5"/>
  <c r="K26" i="5"/>
  <c r="J26" i="5"/>
  <c r="I26" i="5"/>
  <c r="H26" i="5"/>
  <c r="G26" i="5"/>
  <c r="F26" i="5"/>
  <c r="E26" i="5"/>
  <c r="D26" i="5"/>
  <c r="C26" i="5"/>
  <c r="B26" i="5"/>
  <c r="M25" i="5"/>
  <c r="L25" i="5"/>
  <c r="K25" i="5"/>
  <c r="J25" i="5"/>
  <c r="I25" i="5"/>
  <c r="H25" i="5"/>
  <c r="G25" i="5"/>
  <c r="F25" i="5"/>
  <c r="E25" i="5"/>
  <c r="D25" i="5"/>
  <c r="C25" i="5"/>
  <c r="B25" i="5"/>
  <c r="M24" i="5"/>
  <c r="L24" i="5"/>
  <c r="K24" i="5"/>
  <c r="J24" i="5"/>
  <c r="I24" i="5"/>
  <c r="H24" i="5"/>
  <c r="G24" i="5"/>
  <c r="F24" i="5"/>
  <c r="E24" i="5"/>
  <c r="D24" i="5"/>
  <c r="C24" i="5"/>
  <c r="B24" i="5"/>
  <c r="M23" i="5"/>
  <c r="L23" i="5"/>
  <c r="K23" i="5"/>
  <c r="J23" i="5"/>
  <c r="I23" i="5"/>
  <c r="H23" i="5"/>
  <c r="G23" i="5"/>
  <c r="F23" i="5"/>
  <c r="E23" i="5"/>
  <c r="D23" i="5"/>
  <c r="C23" i="5"/>
  <c r="B23" i="5"/>
  <c r="M22" i="5"/>
  <c r="L22" i="5"/>
  <c r="K22" i="5"/>
  <c r="J22" i="5"/>
  <c r="I22" i="5"/>
  <c r="H22" i="5"/>
  <c r="G22" i="5"/>
  <c r="F22" i="5"/>
  <c r="E22" i="5"/>
  <c r="D22" i="5"/>
  <c r="C22" i="5"/>
  <c r="B22" i="5"/>
  <c r="M21" i="5"/>
  <c r="L21" i="5"/>
  <c r="K21" i="5"/>
  <c r="J21" i="5"/>
  <c r="I21" i="5"/>
  <c r="H21" i="5"/>
  <c r="G21" i="5"/>
  <c r="F21" i="5"/>
  <c r="E21" i="5"/>
  <c r="D21" i="5"/>
  <c r="C21" i="5"/>
  <c r="B21" i="5"/>
  <c r="M20" i="5"/>
  <c r="L20" i="5"/>
  <c r="K20" i="5"/>
  <c r="J20" i="5"/>
  <c r="I20" i="5"/>
  <c r="H20" i="5"/>
  <c r="G20" i="5"/>
  <c r="F20" i="5"/>
  <c r="E20" i="5"/>
  <c r="D20" i="5"/>
  <c r="C20" i="5"/>
  <c r="B20" i="5"/>
  <c r="M19" i="5"/>
  <c r="L19" i="5"/>
  <c r="K19" i="5"/>
  <c r="J19" i="5"/>
  <c r="I19" i="5"/>
  <c r="H19" i="5"/>
  <c r="G19" i="5"/>
  <c r="F19" i="5"/>
  <c r="E19" i="5"/>
  <c r="D19" i="5"/>
  <c r="C19" i="5"/>
  <c r="B19" i="5"/>
  <c r="M18" i="5"/>
  <c r="L18" i="5"/>
  <c r="K18" i="5"/>
  <c r="J18" i="5"/>
  <c r="I18" i="5"/>
  <c r="H18" i="5"/>
  <c r="G18" i="5"/>
  <c r="F18" i="5"/>
  <c r="E18" i="5"/>
  <c r="D18" i="5"/>
  <c r="C18" i="5"/>
  <c r="B18" i="5"/>
  <c r="M17" i="5"/>
  <c r="L17" i="5"/>
  <c r="K17" i="5"/>
  <c r="J17" i="5"/>
  <c r="I17" i="5"/>
  <c r="H17" i="5"/>
  <c r="G17" i="5"/>
  <c r="F17" i="5"/>
  <c r="E17" i="5"/>
  <c r="D17" i="5"/>
  <c r="C17" i="5"/>
  <c r="B17" i="5"/>
  <c r="M16" i="5"/>
  <c r="L16" i="5"/>
  <c r="K16" i="5"/>
  <c r="J16" i="5"/>
  <c r="I16" i="5"/>
  <c r="H16" i="5"/>
  <c r="G16" i="5"/>
  <c r="F16" i="5"/>
  <c r="E16" i="5"/>
  <c r="D16" i="5"/>
  <c r="C16" i="5"/>
  <c r="B16" i="5"/>
  <c r="M15" i="5"/>
  <c r="L15" i="5"/>
  <c r="K15" i="5"/>
  <c r="J15" i="5"/>
  <c r="I15" i="5"/>
  <c r="H15" i="5"/>
  <c r="G15" i="5"/>
  <c r="F15" i="5"/>
  <c r="E15" i="5"/>
  <c r="D15" i="5"/>
  <c r="C15" i="5"/>
  <c r="B15" i="5"/>
  <c r="M14" i="5"/>
  <c r="L14" i="5"/>
  <c r="K14" i="5"/>
  <c r="J14" i="5"/>
  <c r="I14" i="5"/>
  <c r="H14" i="5"/>
  <c r="G14" i="5"/>
  <c r="F14" i="5"/>
  <c r="E14" i="5"/>
  <c r="D14" i="5"/>
  <c r="C14" i="5"/>
  <c r="B14" i="5"/>
  <c r="M13" i="5"/>
  <c r="L13" i="5"/>
  <c r="K13" i="5"/>
  <c r="J13" i="5"/>
  <c r="I13" i="5"/>
  <c r="H13" i="5"/>
  <c r="G13" i="5"/>
  <c r="F13" i="5"/>
  <c r="E13" i="5"/>
  <c r="D13" i="5"/>
  <c r="C13" i="5"/>
  <c r="B13" i="5"/>
  <c r="M12" i="5"/>
  <c r="L12" i="5"/>
  <c r="K12" i="5"/>
  <c r="J12" i="5"/>
  <c r="I12" i="5"/>
  <c r="H12" i="5"/>
  <c r="G12" i="5"/>
  <c r="F12" i="5"/>
  <c r="E12" i="5"/>
  <c r="D12" i="5"/>
  <c r="C12" i="5"/>
  <c r="B12" i="5"/>
  <c r="M11" i="5"/>
  <c r="L11" i="5"/>
  <c r="K11" i="5"/>
  <c r="J11" i="5"/>
  <c r="I11" i="5"/>
  <c r="H11" i="5"/>
  <c r="G11" i="5"/>
  <c r="F11" i="5"/>
  <c r="E11" i="5"/>
  <c r="D11" i="5"/>
  <c r="C11" i="5"/>
  <c r="B11" i="5"/>
  <c r="M10" i="5"/>
  <c r="L10" i="5"/>
  <c r="K10" i="5"/>
  <c r="J10" i="5"/>
  <c r="I10" i="5"/>
  <c r="H10" i="5"/>
  <c r="G10" i="5"/>
  <c r="F10" i="5"/>
  <c r="E10" i="5"/>
  <c r="D10" i="5"/>
  <c r="C10" i="5"/>
  <c r="B10" i="5"/>
  <c r="M9" i="5"/>
  <c r="L9" i="5"/>
  <c r="K9" i="5"/>
  <c r="J9" i="5"/>
  <c r="I9" i="5"/>
  <c r="H9" i="5"/>
  <c r="G9" i="5"/>
  <c r="F9" i="5"/>
  <c r="E9" i="5"/>
  <c r="D9" i="5"/>
  <c r="C9" i="5"/>
  <c r="B9" i="5"/>
  <c r="M8" i="5"/>
  <c r="L8" i="5"/>
  <c r="K8" i="5"/>
  <c r="J8" i="5"/>
  <c r="I8" i="5"/>
  <c r="H8" i="5"/>
  <c r="G8" i="5"/>
  <c r="F8" i="5"/>
  <c r="E8" i="5"/>
  <c r="D8" i="5"/>
  <c r="C8" i="5"/>
  <c r="B8" i="5"/>
  <c r="M7" i="5"/>
  <c r="L7" i="5"/>
  <c r="K7" i="5"/>
  <c r="J7" i="5"/>
  <c r="I7" i="5"/>
  <c r="H7" i="5"/>
  <c r="G7" i="5"/>
  <c r="F7" i="5"/>
  <c r="E7" i="5"/>
  <c r="D7" i="5"/>
  <c r="C7" i="5"/>
  <c r="B7" i="5"/>
  <c r="M6" i="5"/>
  <c r="L6" i="5"/>
  <c r="K6" i="5"/>
  <c r="J6" i="5"/>
  <c r="I6" i="5"/>
  <c r="H6" i="5"/>
  <c r="G6" i="5"/>
  <c r="F6" i="5"/>
  <c r="E6" i="5"/>
  <c r="D6" i="5"/>
  <c r="C6" i="5"/>
  <c r="B6" i="5"/>
  <c r="M5" i="5"/>
  <c r="L5" i="5"/>
  <c r="K5" i="5"/>
  <c r="J5" i="5"/>
  <c r="I5" i="5"/>
  <c r="H5" i="5"/>
  <c r="G5" i="5"/>
  <c r="F5" i="5"/>
  <c r="E5" i="5"/>
  <c r="D5" i="5"/>
  <c r="C5" i="5"/>
  <c r="B5" i="5"/>
  <c r="O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O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O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O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O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O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O99" i="4"/>
  <c r="M99" i="4"/>
  <c r="L99" i="4"/>
  <c r="K99" i="4"/>
  <c r="J99" i="4"/>
  <c r="I99" i="4"/>
  <c r="H99" i="4"/>
  <c r="G99" i="4"/>
  <c r="F99" i="4"/>
  <c r="E99" i="4"/>
  <c r="D99" i="4"/>
  <c r="C99" i="4"/>
  <c r="B99" i="4"/>
  <c r="O98" i="4"/>
  <c r="M98" i="4"/>
  <c r="L98" i="4"/>
  <c r="K98" i="4"/>
  <c r="J98" i="4"/>
  <c r="I98" i="4"/>
  <c r="H98" i="4"/>
  <c r="G98" i="4"/>
  <c r="F98" i="4"/>
  <c r="E98" i="4"/>
  <c r="D98" i="4"/>
  <c r="C98" i="4"/>
  <c r="B98" i="4"/>
  <c r="O97" i="4"/>
  <c r="M97" i="4"/>
  <c r="L97" i="4"/>
  <c r="K97" i="4"/>
  <c r="J97" i="4"/>
  <c r="I97" i="4"/>
  <c r="H97" i="4"/>
  <c r="G97" i="4"/>
  <c r="F97" i="4"/>
  <c r="E97" i="4"/>
  <c r="D97" i="4"/>
  <c r="C97" i="4"/>
  <c r="B97" i="4"/>
  <c r="O96" i="4"/>
  <c r="M96" i="4"/>
  <c r="L96" i="4"/>
  <c r="K96" i="4"/>
  <c r="J96" i="4"/>
  <c r="I96" i="4"/>
  <c r="H96" i="4"/>
  <c r="G96" i="4"/>
  <c r="F96" i="4"/>
  <c r="E96" i="4"/>
  <c r="D96" i="4"/>
  <c r="C96" i="4"/>
  <c r="B96" i="4"/>
  <c r="O95" i="4"/>
  <c r="M95" i="4"/>
  <c r="L95" i="4"/>
  <c r="K95" i="4"/>
  <c r="J95" i="4"/>
  <c r="I95" i="4"/>
  <c r="H95" i="4"/>
  <c r="G95" i="4"/>
  <c r="F95" i="4"/>
  <c r="E95" i="4"/>
  <c r="D95" i="4"/>
  <c r="C95" i="4"/>
  <c r="B95" i="4"/>
  <c r="O94" i="4"/>
  <c r="M94" i="4"/>
  <c r="L94" i="4"/>
  <c r="K94" i="4"/>
  <c r="J94" i="4"/>
  <c r="I94" i="4"/>
  <c r="H94" i="4"/>
  <c r="G94" i="4"/>
  <c r="F94" i="4"/>
  <c r="E94" i="4"/>
  <c r="D94" i="4"/>
  <c r="C94" i="4"/>
  <c r="B94" i="4"/>
  <c r="O93" i="4"/>
  <c r="M93" i="4"/>
  <c r="L93" i="4"/>
  <c r="K93" i="4"/>
  <c r="J93" i="4"/>
  <c r="I93" i="4"/>
  <c r="H93" i="4"/>
  <c r="G93" i="4"/>
  <c r="F93" i="4"/>
  <c r="E93" i="4"/>
  <c r="D93" i="4"/>
  <c r="C93" i="4"/>
  <c r="B93" i="4"/>
  <c r="O92" i="4"/>
  <c r="M92" i="4"/>
  <c r="L92" i="4"/>
  <c r="K92" i="4"/>
  <c r="J92" i="4"/>
  <c r="I92" i="4"/>
  <c r="H92" i="4"/>
  <c r="G92" i="4"/>
  <c r="F92" i="4"/>
  <c r="E92" i="4"/>
  <c r="D92" i="4"/>
  <c r="C92" i="4"/>
  <c r="B92" i="4"/>
  <c r="O91" i="4"/>
  <c r="M91" i="4"/>
  <c r="L91" i="4"/>
  <c r="K91" i="4"/>
  <c r="J91" i="4"/>
  <c r="I91" i="4"/>
  <c r="H91" i="4"/>
  <c r="G91" i="4"/>
  <c r="F91" i="4"/>
  <c r="E91" i="4"/>
  <c r="D91" i="4"/>
  <c r="C91" i="4"/>
  <c r="B91" i="4"/>
  <c r="O90" i="4"/>
  <c r="M90" i="4"/>
  <c r="L90" i="4"/>
  <c r="K90" i="4"/>
  <c r="J90" i="4"/>
  <c r="I90" i="4"/>
  <c r="H90" i="4"/>
  <c r="G90" i="4"/>
  <c r="F90" i="4"/>
  <c r="E90" i="4"/>
  <c r="D90" i="4"/>
  <c r="C90" i="4"/>
  <c r="B90" i="4"/>
  <c r="O89" i="4"/>
  <c r="M89" i="4"/>
  <c r="L89" i="4"/>
  <c r="K89" i="4"/>
  <c r="J89" i="4"/>
  <c r="I89" i="4"/>
  <c r="H89" i="4"/>
  <c r="G89" i="4"/>
  <c r="F89" i="4"/>
  <c r="E89" i="4"/>
  <c r="D89" i="4"/>
  <c r="C89" i="4"/>
  <c r="B89" i="4"/>
  <c r="O88" i="4"/>
  <c r="M88" i="4"/>
  <c r="L88" i="4"/>
  <c r="K88" i="4"/>
  <c r="J88" i="4"/>
  <c r="I88" i="4"/>
  <c r="H88" i="4"/>
  <c r="G88" i="4"/>
  <c r="F88" i="4"/>
  <c r="E88" i="4"/>
  <c r="D88" i="4"/>
  <c r="C88" i="4"/>
  <c r="B88" i="4"/>
  <c r="O87" i="4"/>
  <c r="M87" i="4"/>
  <c r="L87" i="4"/>
  <c r="K87" i="4"/>
  <c r="J87" i="4"/>
  <c r="I87" i="4"/>
  <c r="H87" i="4"/>
  <c r="G87" i="4"/>
  <c r="F87" i="4"/>
  <c r="E87" i="4"/>
  <c r="D87" i="4"/>
  <c r="C87" i="4"/>
  <c r="B87" i="4"/>
  <c r="O86" i="4"/>
  <c r="M86" i="4"/>
  <c r="L86" i="4"/>
  <c r="K86" i="4"/>
  <c r="J86" i="4"/>
  <c r="I86" i="4"/>
  <c r="H86" i="4"/>
  <c r="G86" i="4"/>
  <c r="F86" i="4"/>
  <c r="E86" i="4"/>
  <c r="D86" i="4"/>
  <c r="C86" i="4"/>
  <c r="B86" i="4"/>
  <c r="O85" i="4"/>
  <c r="M85" i="4"/>
  <c r="L85" i="4"/>
  <c r="K85" i="4"/>
  <c r="J85" i="4"/>
  <c r="I85" i="4"/>
  <c r="H85" i="4"/>
  <c r="G85" i="4"/>
  <c r="F85" i="4"/>
  <c r="E85" i="4"/>
  <c r="D85" i="4"/>
  <c r="C85" i="4"/>
  <c r="B85" i="4"/>
  <c r="O84" i="4"/>
  <c r="M84" i="4"/>
  <c r="L84" i="4"/>
  <c r="K84" i="4"/>
  <c r="J84" i="4"/>
  <c r="I84" i="4"/>
  <c r="H84" i="4"/>
  <c r="G84" i="4"/>
  <c r="F84" i="4"/>
  <c r="E84" i="4"/>
  <c r="D84" i="4"/>
  <c r="C84" i="4"/>
  <c r="B84" i="4"/>
  <c r="O83" i="4"/>
  <c r="M83" i="4"/>
  <c r="L83" i="4"/>
  <c r="K83" i="4"/>
  <c r="J83" i="4"/>
  <c r="I83" i="4"/>
  <c r="H83" i="4"/>
  <c r="G83" i="4"/>
  <c r="F83" i="4"/>
  <c r="E83" i="4"/>
  <c r="D83" i="4"/>
  <c r="C83" i="4"/>
  <c r="B83" i="4"/>
  <c r="O82" i="4"/>
  <c r="M82" i="4"/>
  <c r="L82" i="4"/>
  <c r="K82" i="4"/>
  <c r="J82" i="4"/>
  <c r="I82" i="4"/>
  <c r="H82" i="4"/>
  <c r="G82" i="4"/>
  <c r="F82" i="4"/>
  <c r="E82" i="4"/>
  <c r="D82" i="4"/>
  <c r="C82" i="4"/>
  <c r="B82" i="4"/>
  <c r="O81" i="4"/>
  <c r="M81" i="4"/>
  <c r="L81" i="4"/>
  <c r="K81" i="4"/>
  <c r="J81" i="4"/>
  <c r="I81" i="4"/>
  <c r="H81" i="4"/>
  <c r="G81" i="4"/>
  <c r="F81" i="4"/>
  <c r="E81" i="4"/>
  <c r="D81" i="4"/>
  <c r="C81" i="4"/>
  <c r="B81" i="4"/>
  <c r="O80" i="4"/>
  <c r="M80" i="4"/>
  <c r="L80" i="4"/>
  <c r="K80" i="4"/>
  <c r="J80" i="4"/>
  <c r="I80" i="4"/>
  <c r="H80" i="4"/>
  <c r="G80" i="4"/>
  <c r="F80" i="4"/>
  <c r="E80" i="4"/>
  <c r="D80" i="4"/>
  <c r="C80" i="4"/>
  <c r="B80" i="4"/>
  <c r="O79" i="4"/>
  <c r="M79" i="4"/>
  <c r="L79" i="4"/>
  <c r="K79" i="4"/>
  <c r="J79" i="4"/>
  <c r="I79" i="4"/>
  <c r="H79" i="4"/>
  <c r="G79" i="4"/>
  <c r="F79" i="4"/>
  <c r="E79" i="4"/>
  <c r="D79" i="4"/>
  <c r="C79" i="4"/>
  <c r="B79" i="4"/>
  <c r="O78" i="4"/>
  <c r="M78" i="4"/>
  <c r="L78" i="4"/>
  <c r="K78" i="4"/>
  <c r="J78" i="4"/>
  <c r="I78" i="4"/>
  <c r="H78" i="4"/>
  <c r="G78" i="4"/>
  <c r="F78" i="4"/>
  <c r="E78" i="4"/>
  <c r="D78" i="4"/>
  <c r="C78" i="4"/>
  <c r="B78" i="4"/>
  <c r="O77" i="4"/>
  <c r="M77" i="4"/>
  <c r="L77" i="4"/>
  <c r="K77" i="4"/>
  <c r="J77" i="4"/>
  <c r="I77" i="4"/>
  <c r="H77" i="4"/>
  <c r="G77" i="4"/>
  <c r="F77" i="4"/>
  <c r="E77" i="4"/>
  <c r="D77" i="4"/>
  <c r="C77" i="4"/>
  <c r="B77" i="4"/>
  <c r="O76" i="4"/>
  <c r="M76" i="4"/>
  <c r="L76" i="4"/>
  <c r="K76" i="4"/>
  <c r="J76" i="4"/>
  <c r="I76" i="4"/>
  <c r="H76" i="4"/>
  <c r="G76" i="4"/>
  <c r="F76" i="4"/>
  <c r="E76" i="4"/>
  <c r="D76" i="4"/>
  <c r="C76" i="4"/>
  <c r="B76" i="4"/>
  <c r="O75" i="4"/>
  <c r="M75" i="4"/>
  <c r="L75" i="4"/>
  <c r="K75" i="4"/>
  <c r="J75" i="4"/>
  <c r="I75" i="4"/>
  <c r="H75" i="4"/>
  <c r="G75" i="4"/>
  <c r="F75" i="4"/>
  <c r="E75" i="4"/>
  <c r="D75" i="4"/>
  <c r="C75" i="4"/>
  <c r="B75" i="4"/>
  <c r="O74" i="4"/>
  <c r="M74" i="4"/>
  <c r="L74" i="4"/>
  <c r="K74" i="4"/>
  <c r="J74" i="4"/>
  <c r="I74" i="4"/>
  <c r="H74" i="4"/>
  <c r="G74" i="4"/>
  <c r="F74" i="4"/>
  <c r="E74" i="4"/>
  <c r="D74" i="4"/>
  <c r="C74" i="4"/>
  <c r="B74" i="4"/>
  <c r="O73" i="4"/>
  <c r="M73" i="4"/>
  <c r="L73" i="4"/>
  <c r="K73" i="4"/>
  <c r="J73" i="4"/>
  <c r="I73" i="4"/>
  <c r="H73" i="4"/>
  <c r="G73" i="4"/>
  <c r="F73" i="4"/>
  <c r="E73" i="4"/>
  <c r="D73" i="4"/>
  <c r="C73" i="4"/>
  <c r="B73" i="4"/>
  <c r="O72" i="4"/>
  <c r="M72" i="4"/>
  <c r="L72" i="4"/>
  <c r="K72" i="4"/>
  <c r="J72" i="4"/>
  <c r="I72" i="4"/>
  <c r="H72" i="4"/>
  <c r="G72" i="4"/>
  <c r="F72" i="4"/>
  <c r="E72" i="4"/>
  <c r="D72" i="4"/>
  <c r="C72" i="4"/>
  <c r="B72" i="4"/>
  <c r="O71" i="4"/>
  <c r="M71" i="4"/>
  <c r="L71" i="4"/>
  <c r="K71" i="4"/>
  <c r="J71" i="4"/>
  <c r="I71" i="4"/>
  <c r="H71" i="4"/>
  <c r="G71" i="4"/>
  <c r="F71" i="4"/>
  <c r="E71" i="4"/>
  <c r="D71" i="4"/>
  <c r="C71" i="4"/>
  <c r="B71" i="4"/>
  <c r="O70" i="4"/>
  <c r="M70" i="4"/>
  <c r="L70" i="4"/>
  <c r="K70" i="4"/>
  <c r="J70" i="4"/>
  <c r="I70" i="4"/>
  <c r="H70" i="4"/>
  <c r="G70" i="4"/>
  <c r="F70" i="4"/>
  <c r="E70" i="4"/>
  <c r="D70" i="4"/>
  <c r="C70" i="4"/>
  <c r="B70" i="4"/>
  <c r="O69" i="4"/>
  <c r="M69" i="4"/>
  <c r="L69" i="4"/>
  <c r="K69" i="4"/>
  <c r="J69" i="4"/>
  <c r="I69" i="4"/>
  <c r="H69" i="4"/>
  <c r="G69" i="4"/>
  <c r="F69" i="4"/>
  <c r="E69" i="4"/>
  <c r="D69" i="4"/>
  <c r="C69" i="4"/>
  <c r="B69" i="4"/>
  <c r="O68" i="4"/>
  <c r="M68" i="4"/>
  <c r="L68" i="4"/>
  <c r="K68" i="4"/>
  <c r="J68" i="4"/>
  <c r="I68" i="4"/>
  <c r="H68" i="4"/>
  <c r="G68" i="4"/>
  <c r="F68" i="4"/>
  <c r="E68" i="4"/>
  <c r="D68" i="4"/>
  <c r="C68" i="4"/>
  <c r="B68" i="4"/>
  <c r="O67" i="4"/>
  <c r="M67" i="4"/>
  <c r="L67" i="4"/>
  <c r="K67" i="4"/>
  <c r="J67" i="4"/>
  <c r="I67" i="4"/>
  <c r="H67" i="4"/>
  <c r="G67" i="4"/>
  <c r="F67" i="4"/>
  <c r="E67" i="4"/>
  <c r="D67" i="4"/>
  <c r="C67" i="4"/>
  <c r="B67" i="4"/>
  <c r="O66" i="4"/>
  <c r="M66" i="4"/>
  <c r="L66" i="4"/>
  <c r="K66" i="4"/>
  <c r="J66" i="4"/>
  <c r="I66" i="4"/>
  <c r="H66" i="4"/>
  <c r="G66" i="4"/>
  <c r="F66" i="4"/>
  <c r="E66" i="4"/>
  <c r="D66" i="4"/>
  <c r="C66" i="4"/>
  <c r="B66" i="4"/>
  <c r="O65" i="4"/>
  <c r="M65" i="4"/>
  <c r="L65" i="4"/>
  <c r="K65" i="4"/>
  <c r="J65" i="4"/>
  <c r="I65" i="4"/>
  <c r="H65" i="4"/>
  <c r="G65" i="4"/>
  <c r="F65" i="4"/>
  <c r="E65" i="4"/>
  <c r="D65" i="4"/>
  <c r="C65" i="4"/>
  <c r="B65" i="4"/>
  <c r="O64" i="4"/>
  <c r="M64" i="4"/>
  <c r="L64" i="4"/>
  <c r="K64" i="4"/>
  <c r="J64" i="4"/>
  <c r="I64" i="4"/>
  <c r="H64" i="4"/>
  <c r="G64" i="4"/>
  <c r="F64" i="4"/>
  <c r="E64" i="4"/>
  <c r="D64" i="4"/>
  <c r="C64" i="4"/>
  <c r="B64" i="4"/>
  <c r="O63" i="4"/>
  <c r="M63" i="4"/>
  <c r="L63" i="4"/>
  <c r="K63" i="4"/>
  <c r="J63" i="4"/>
  <c r="I63" i="4"/>
  <c r="H63" i="4"/>
  <c r="G63" i="4"/>
  <c r="F63" i="4"/>
  <c r="E63" i="4"/>
  <c r="D63" i="4"/>
  <c r="C63" i="4"/>
  <c r="B63" i="4"/>
  <c r="O62" i="4"/>
  <c r="M62" i="4"/>
  <c r="L62" i="4"/>
  <c r="K62" i="4"/>
  <c r="J62" i="4"/>
  <c r="I62" i="4"/>
  <c r="H62" i="4"/>
  <c r="G62" i="4"/>
  <c r="F62" i="4"/>
  <c r="E62" i="4"/>
  <c r="D62" i="4"/>
  <c r="C62" i="4"/>
  <c r="B62" i="4"/>
  <c r="O61" i="4"/>
  <c r="M61" i="4"/>
  <c r="L61" i="4"/>
  <c r="K61" i="4"/>
  <c r="J61" i="4"/>
  <c r="I61" i="4"/>
  <c r="H61" i="4"/>
  <c r="G61" i="4"/>
  <c r="F61" i="4"/>
  <c r="E61" i="4"/>
  <c r="D61" i="4"/>
  <c r="C61" i="4"/>
  <c r="B61" i="4"/>
  <c r="O60" i="4"/>
  <c r="M60" i="4"/>
  <c r="L60" i="4"/>
  <c r="K60" i="4"/>
  <c r="J60" i="4"/>
  <c r="I60" i="4"/>
  <c r="H60" i="4"/>
  <c r="G60" i="4"/>
  <c r="F60" i="4"/>
  <c r="E60" i="4"/>
  <c r="D60" i="4"/>
  <c r="C60" i="4"/>
  <c r="B60" i="4"/>
  <c r="O59" i="4"/>
  <c r="M59" i="4"/>
  <c r="L59" i="4"/>
  <c r="K59" i="4"/>
  <c r="J59" i="4"/>
  <c r="I59" i="4"/>
  <c r="H59" i="4"/>
  <c r="G59" i="4"/>
  <c r="F59" i="4"/>
  <c r="E59" i="4"/>
  <c r="D59" i="4"/>
  <c r="C59" i="4"/>
  <c r="B59" i="4"/>
  <c r="O58" i="4"/>
  <c r="M58" i="4"/>
  <c r="L58" i="4"/>
  <c r="K58" i="4"/>
  <c r="J58" i="4"/>
  <c r="I58" i="4"/>
  <c r="H58" i="4"/>
  <c r="G58" i="4"/>
  <c r="F58" i="4"/>
  <c r="E58" i="4"/>
  <c r="D58" i="4"/>
  <c r="C58" i="4"/>
  <c r="B58" i="4"/>
  <c r="O57" i="4"/>
  <c r="M57" i="4"/>
  <c r="L57" i="4"/>
  <c r="K57" i="4"/>
  <c r="J57" i="4"/>
  <c r="I57" i="4"/>
  <c r="H57" i="4"/>
  <c r="G57" i="4"/>
  <c r="F57" i="4"/>
  <c r="E57" i="4"/>
  <c r="D57" i="4"/>
  <c r="C57" i="4"/>
  <c r="B57" i="4"/>
  <c r="O56" i="4"/>
  <c r="M56" i="4"/>
  <c r="L56" i="4"/>
  <c r="K56" i="4"/>
  <c r="J56" i="4"/>
  <c r="I56" i="4"/>
  <c r="H56" i="4"/>
  <c r="G56" i="4"/>
  <c r="F56" i="4"/>
  <c r="E56" i="4"/>
  <c r="D56" i="4"/>
  <c r="C56" i="4"/>
  <c r="B56" i="4"/>
  <c r="O55" i="4"/>
  <c r="M55" i="4"/>
  <c r="L55" i="4"/>
  <c r="K55" i="4"/>
  <c r="J55" i="4"/>
  <c r="I55" i="4"/>
  <c r="H55" i="4"/>
  <c r="G55" i="4"/>
  <c r="F55" i="4"/>
  <c r="E55" i="4"/>
  <c r="D55" i="4"/>
  <c r="C55" i="4"/>
  <c r="B55" i="4"/>
  <c r="O54" i="4"/>
  <c r="M54" i="4"/>
  <c r="L54" i="4"/>
  <c r="K54" i="4"/>
  <c r="J54" i="4"/>
  <c r="I54" i="4"/>
  <c r="H54" i="4"/>
  <c r="G54" i="4"/>
  <c r="F54" i="4"/>
  <c r="E54" i="4"/>
  <c r="D54" i="4"/>
  <c r="C54" i="4"/>
  <c r="B54" i="4"/>
  <c r="O53" i="4"/>
  <c r="M53" i="4"/>
  <c r="L53" i="4"/>
  <c r="K53" i="4"/>
  <c r="J53" i="4"/>
  <c r="I53" i="4"/>
  <c r="H53" i="4"/>
  <c r="G53" i="4"/>
  <c r="F53" i="4"/>
  <c r="E53" i="4"/>
  <c r="D53" i="4"/>
  <c r="C53" i="4"/>
  <c r="B53" i="4"/>
  <c r="O52" i="4"/>
  <c r="M52" i="4"/>
  <c r="L52" i="4"/>
  <c r="K52" i="4"/>
  <c r="J52" i="4"/>
  <c r="I52" i="4"/>
  <c r="H52" i="4"/>
  <c r="G52" i="4"/>
  <c r="F52" i="4"/>
  <c r="E52" i="4"/>
  <c r="D52" i="4"/>
  <c r="C52" i="4"/>
  <c r="B52" i="4"/>
  <c r="O51" i="4"/>
  <c r="M51" i="4"/>
  <c r="L51" i="4"/>
  <c r="K51" i="4"/>
  <c r="J51" i="4"/>
  <c r="I51" i="4"/>
  <c r="H51" i="4"/>
  <c r="G51" i="4"/>
  <c r="F51" i="4"/>
  <c r="E51" i="4"/>
  <c r="D51" i="4"/>
  <c r="C51" i="4"/>
  <c r="B51" i="4"/>
  <c r="O50" i="4"/>
  <c r="M50" i="4"/>
  <c r="L50" i="4"/>
  <c r="K50" i="4"/>
  <c r="J50" i="4"/>
  <c r="I50" i="4"/>
  <c r="H50" i="4"/>
  <c r="G50" i="4"/>
  <c r="F50" i="4"/>
  <c r="E50" i="4"/>
  <c r="D50" i="4"/>
  <c r="C50" i="4"/>
  <c r="B50" i="4"/>
  <c r="O49" i="4"/>
  <c r="M49" i="4"/>
  <c r="L49" i="4"/>
  <c r="K49" i="4"/>
  <c r="J49" i="4"/>
  <c r="I49" i="4"/>
  <c r="H49" i="4"/>
  <c r="G49" i="4"/>
  <c r="F49" i="4"/>
  <c r="E49" i="4"/>
  <c r="D49" i="4"/>
  <c r="C49" i="4"/>
  <c r="B49" i="4"/>
  <c r="O48" i="4"/>
  <c r="M48" i="4"/>
  <c r="L48" i="4"/>
  <c r="K48" i="4"/>
  <c r="J48" i="4"/>
  <c r="I48" i="4"/>
  <c r="H48" i="4"/>
  <c r="G48" i="4"/>
  <c r="F48" i="4"/>
  <c r="E48" i="4"/>
  <c r="D48" i="4"/>
  <c r="C48" i="4"/>
  <c r="B48" i="4"/>
  <c r="O47" i="4"/>
  <c r="M47" i="4"/>
  <c r="L47" i="4"/>
  <c r="K47" i="4"/>
  <c r="J47" i="4"/>
  <c r="I47" i="4"/>
  <c r="H47" i="4"/>
  <c r="G47" i="4"/>
  <c r="F47" i="4"/>
  <c r="E47" i="4"/>
  <c r="D47" i="4"/>
  <c r="C47" i="4"/>
  <c r="B47" i="4"/>
  <c r="O46" i="4"/>
  <c r="M46" i="4"/>
  <c r="L46" i="4"/>
  <c r="K46" i="4"/>
  <c r="J46" i="4"/>
  <c r="I46" i="4"/>
  <c r="H46" i="4"/>
  <c r="G46" i="4"/>
  <c r="F46" i="4"/>
  <c r="E46" i="4"/>
  <c r="D46" i="4"/>
  <c r="C46" i="4"/>
  <c r="B46" i="4"/>
  <c r="O45" i="4"/>
  <c r="M45" i="4"/>
  <c r="L45" i="4"/>
  <c r="K45" i="4"/>
  <c r="J45" i="4"/>
  <c r="I45" i="4"/>
  <c r="H45" i="4"/>
  <c r="G45" i="4"/>
  <c r="F45" i="4"/>
  <c r="E45" i="4"/>
  <c r="D45" i="4"/>
  <c r="C45" i="4"/>
  <c r="B45" i="4"/>
  <c r="O44" i="4"/>
  <c r="M44" i="4"/>
  <c r="L44" i="4"/>
  <c r="K44" i="4"/>
  <c r="J44" i="4"/>
  <c r="I44" i="4"/>
  <c r="H44" i="4"/>
  <c r="G44" i="4"/>
  <c r="F44" i="4"/>
  <c r="E44" i="4"/>
  <c r="D44" i="4"/>
  <c r="C44" i="4"/>
  <c r="B44" i="4"/>
  <c r="O43" i="4"/>
  <c r="M43" i="4"/>
  <c r="L43" i="4"/>
  <c r="K43" i="4"/>
  <c r="J43" i="4"/>
  <c r="I43" i="4"/>
  <c r="H43" i="4"/>
  <c r="G43" i="4"/>
  <c r="F43" i="4"/>
  <c r="E43" i="4"/>
  <c r="D43" i="4"/>
  <c r="C43" i="4"/>
  <c r="B43" i="4"/>
  <c r="O42" i="4"/>
  <c r="M42" i="4"/>
  <c r="L42" i="4"/>
  <c r="K42" i="4"/>
  <c r="J42" i="4"/>
  <c r="I42" i="4"/>
  <c r="H42" i="4"/>
  <c r="G42" i="4"/>
  <c r="F42" i="4"/>
  <c r="E42" i="4"/>
  <c r="D42" i="4"/>
  <c r="C42" i="4"/>
  <c r="B42" i="4"/>
  <c r="O41" i="4"/>
  <c r="M41" i="4"/>
  <c r="L41" i="4"/>
  <c r="K41" i="4"/>
  <c r="J41" i="4"/>
  <c r="I41" i="4"/>
  <c r="H41" i="4"/>
  <c r="G41" i="4"/>
  <c r="F41" i="4"/>
  <c r="E41" i="4"/>
  <c r="D41" i="4"/>
  <c r="C41" i="4"/>
  <c r="B41" i="4"/>
  <c r="O40" i="4"/>
  <c r="M40" i="4"/>
  <c r="L40" i="4"/>
  <c r="K40" i="4"/>
  <c r="J40" i="4"/>
  <c r="I40" i="4"/>
  <c r="H40" i="4"/>
  <c r="G40" i="4"/>
  <c r="F40" i="4"/>
  <c r="E40" i="4"/>
  <c r="D40" i="4"/>
  <c r="C40" i="4"/>
  <c r="B40" i="4"/>
  <c r="O39" i="4"/>
  <c r="M39" i="4"/>
  <c r="L39" i="4"/>
  <c r="K39" i="4"/>
  <c r="J39" i="4"/>
  <c r="I39" i="4"/>
  <c r="H39" i="4"/>
  <c r="G39" i="4"/>
  <c r="F39" i="4"/>
  <c r="E39" i="4"/>
  <c r="D39" i="4"/>
  <c r="C39" i="4"/>
  <c r="B39" i="4"/>
  <c r="O38" i="4"/>
  <c r="M38" i="4"/>
  <c r="L38" i="4"/>
  <c r="K38" i="4"/>
  <c r="J38" i="4"/>
  <c r="I38" i="4"/>
  <c r="H38" i="4"/>
  <c r="G38" i="4"/>
  <c r="F38" i="4"/>
  <c r="E38" i="4"/>
  <c r="D38" i="4"/>
  <c r="C38" i="4"/>
  <c r="B38" i="4"/>
  <c r="O37" i="4"/>
  <c r="M37" i="4"/>
  <c r="L37" i="4"/>
  <c r="K37" i="4"/>
  <c r="J37" i="4"/>
  <c r="I37" i="4"/>
  <c r="H37" i="4"/>
  <c r="G37" i="4"/>
  <c r="F37" i="4"/>
  <c r="E37" i="4"/>
  <c r="D37" i="4"/>
  <c r="C37" i="4"/>
  <c r="B37" i="4"/>
  <c r="O36" i="4"/>
  <c r="M36" i="4"/>
  <c r="L36" i="4"/>
  <c r="K36" i="4"/>
  <c r="J36" i="4"/>
  <c r="I36" i="4"/>
  <c r="H36" i="4"/>
  <c r="G36" i="4"/>
  <c r="F36" i="4"/>
  <c r="E36" i="4"/>
  <c r="D36" i="4"/>
  <c r="C36" i="4"/>
  <c r="B36" i="4"/>
  <c r="O35" i="4"/>
  <c r="M35" i="4"/>
  <c r="L35" i="4"/>
  <c r="K35" i="4"/>
  <c r="J35" i="4"/>
  <c r="I35" i="4"/>
  <c r="H35" i="4"/>
  <c r="G35" i="4"/>
  <c r="F35" i="4"/>
  <c r="E35" i="4"/>
  <c r="D35" i="4"/>
  <c r="C35" i="4"/>
  <c r="B35" i="4"/>
  <c r="O34" i="4"/>
  <c r="M34" i="4"/>
  <c r="L34" i="4"/>
  <c r="K34" i="4"/>
  <c r="J34" i="4"/>
  <c r="I34" i="4"/>
  <c r="H34" i="4"/>
  <c r="G34" i="4"/>
  <c r="F34" i="4"/>
  <c r="E34" i="4"/>
  <c r="D34" i="4"/>
  <c r="C34" i="4"/>
  <c r="B34" i="4"/>
  <c r="O33" i="4"/>
  <c r="M33" i="4"/>
  <c r="L33" i="4"/>
  <c r="K33" i="4"/>
  <c r="J33" i="4"/>
  <c r="I33" i="4"/>
  <c r="H33" i="4"/>
  <c r="G33" i="4"/>
  <c r="F33" i="4"/>
  <c r="E33" i="4"/>
  <c r="D33" i="4"/>
  <c r="C33" i="4"/>
  <c r="B33" i="4"/>
  <c r="O32" i="4"/>
  <c r="M32" i="4"/>
  <c r="L32" i="4"/>
  <c r="K32" i="4"/>
  <c r="J32" i="4"/>
  <c r="I32" i="4"/>
  <c r="H32" i="4"/>
  <c r="G32" i="4"/>
  <c r="F32" i="4"/>
  <c r="E32" i="4"/>
  <c r="D32" i="4"/>
  <c r="C32" i="4"/>
  <c r="B32" i="4"/>
  <c r="O31" i="4"/>
  <c r="M31" i="4"/>
  <c r="L31" i="4"/>
  <c r="K31" i="4"/>
  <c r="J31" i="4"/>
  <c r="I31" i="4"/>
  <c r="H31" i="4"/>
  <c r="G31" i="4"/>
  <c r="F31" i="4"/>
  <c r="E31" i="4"/>
  <c r="D31" i="4"/>
  <c r="C31" i="4"/>
  <c r="B31" i="4"/>
  <c r="O30" i="4"/>
  <c r="M30" i="4"/>
  <c r="L30" i="4"/>
  <c r="K30" i="4"/>
  <c r="J30" i="4"/>
  <c r="I30" i="4"/>
  <c r="H30" i="4"/>
  <c r="G30" i="4"/>
  <c r="F30" i="4"/>
  <c r="E30" i="4"/>
  <c r="D30" i="4"/>
  <c r="C30" i="4"/>
  <c r="B30" i="4"/>
  <c r="O29" i="4"/>
  <c r="M29" i="4"/>
  <c r="L29" i="4"/>
  <c r="K29" i="4"/>
  <c r="J29" i="4"/>
  <c r="I29" i="4"/>
  <c r="H29" i="4"/>
  <c r="G29" i="4"/>
  <c r="F29" i="4"/>
  <c r="E29" i="4"/>
  <c r="D29" i="4"/>
  <c r="C29" i="4"/>
  <c r="B29" i="4"/>
  <c r="O28" i="4"/>
  <c r="M28" i="4"/>
  <c r="L28" i="4"/>
  <c r="K28" i="4"/>
  <c r="J28" i="4"/>
  <c r="I28" i="4"/>
  <c r="H28" i="4"/>
  <c r="G28" i="4"/>
  <c r="F28" i="4"/>
  <c r="E28" i="4"/>
  <c r="D28" i="4"/>
  <c r="C28" i="4"/>
  <c r="B28" i="4"/>
  <c r="O27" i="4"/>
  <c r="M27" i="4"/>
  <c r="L27" i="4"/>
  <c r="K27" i="4"/>
  <c r="J27" i="4"/>
  <c r="I27" i="4"/>
  <c r="H27" i="4"/>
  <c r="G27" i="4"/>
  <c r="F27" i="4"/>
  <c r="E27" i="4"/>
  <c r="D27" i="4"/>
  <c r="C27" i="4"/>
  <c r="B27" i="4"/>
  <c r="O26" i="4"/>
  <c r="M26" i="4"/>
  <c r="L26" i="4"/>
  <c r="K26" i="4"/>
  <c r="J26" i="4"/>
  <c r="I26" i="4"/>
  <c r="H26" i="4"/>
  <c r="G26" i="4"/>
  <c r="F26" i="4"/>
  <c r="E26" i="4"/>
  <c r="D26" i="4"/>
  <c r="C26" i="4"/>
  <c r="B26" i="4"/>
  <c r="O25" i="4"/>
  <c r="M25" i="4"/>
  <c r="L25" i="4"/>
  <c r="K25" i="4"/>
  <c r="J25" i="4"/>
  <c r="I25" i="4"/>
  <c r="H25" i="4"/>
  <c r="G25" i="4"/>
  <c r="F25" i="4"/>
  <c r="E25" i="4"/>
  <c r="D25" i="4"/>
  <c r="C25" i="4"/>
  <c r="B25" i="4"/>
  <c r="O24" i="4"/>
  <c r="M24" i="4"/>
  <c r="L24" i="4"/>
  <c r="K24" i="4"/>
  <c r="J24" i="4"/>
  <c r="I24" i="4"/>
  <c r="H24" i="4"/>
  <c r="G24" i="4"/>
  <c r="F24" i="4"/>
  <c r="E24" i="4"/>
  <c r="D24" i="4"/>
  <c r="C24" i="4"/>
  <c r="B24" i="4"/>
  <c r="O23" i="4"/>
  <c r="M23" i="4"/>
  <c r="L23" i="4"/>
  <c r="K23" i="4"/>
  <c r="J23" i="4"/>
  <c r="I23" i="4"/>
  <c r="H23" i="4"/>
  <c r="G23" i="4"/>
  <c r="F23" i="4"/>
  <c r="E23" i="4"/>
  <c r="D23" i="4"/>
  <c r="C23" i="4"/>
  <c r="B23" i="4"/>
  <c r="O22" i="4"/>
  <c r="M22" i="4"/>
  <c r="L22" i="4"/>
  <c r="K22" i="4"/>
  <c r="J22" i="4"/>
  <c r="I22" i="4"/>
  <c r="H22" i="4"/>
  <c r="G22" i="4"/>
  <c r="F22" i="4"/>
  <c r="E22" i="4"/>
  <c r="D22" i="4"/>
  <c r="C22" i="4"/>
  <c r="B22" i="4"/>
  <c r="O21" i="4"/>
  <c r="M21" i="4"/>
  <c r="L21" i="4"/>
  <c r="K21" i="4"/>
  <c r="J21" i="4"/>
  <c r="I21" i="4"/>
  <c r="H21" i="4"/>
  <c r="G21" i="4"/>
  <c r="F21" i="4"/>
  <c r="E21" i="4"/>
  <c r="D21" i="4"/>
  <c r="C21" i="4"/>
  <c r="B21" i="4"/>
  <c r="O20" i="4"/>
  <c r="M20" i="4"/>
  <c r="L20" i="4"/>
  <c r="K20" i="4"/>
  <c r="J20" i="4"/>
  <c r="I20" i="4"/>
  <c r="H20" i="4"/>
  <c r="G20" i="4"/>
  <c r="F20" i="4"/>
  <c r="E20" i="4"/>
  <c r="D20" i="4"/>
  <c r="C20" i="4"/>
  <c r="B20" i="4"/>
  <c r="O19" i="4"/>
  <c r="M19" i="4"/>
  <c r="L19" i="4"/>
  <c r="K19" i="4"/>
  <c r="J19" i="4"/>
  <c r="I19" i="4"/>
  <c r="H19" i="4"/>
  <c r="G19" i="4"/>
  <c r="F19" i="4"/>
  <c r="E19" i="4"/>
  <c r="D19" i="4"/>
  <c r="C19" i="4"/>
  <c r="B19" i="4"/>
  <c r="O18" i="4"/>
  <c r="M18" i="4"/>
  <c r="L18" i="4"/>
  <c r="K18" i="4"/>
  <c r="J18" i="4"/>
  <c r="I18" i="4"/>
  <c r="H18" i="4"/>
  <c r="G18" i="4"/>
  <c r="F18" i="4"/>
  <c r="E18" i="4"/>
  <c r="D18" i="4"/>
  <c r="C18" i="4"/>
  <c r="B18" i="4"/>
  <c r="O17" i="4"/>
  <c r="M17" i="4"/>
  <c r="L17" i="4"/>
  <c r="K17" i="4"/>
  <c r="J17" i="4"/>
  <c r="I17" i="4"/>
  <c r="H17" i="4"/>
  <c r="G17" i="4"/>
  <c r="F17" i="4"/>
  <c r="E17" i="4"/>
  <c r="D17" i="4"/>
  <c r="C17" i="4"/>
  <c r="B17" i="4"/>
  <c r="O16" i="4"/>
  <c r="M16" i="4"/>
  <c r="L16" i="4"/>
  <c r="K16" i="4"/>
  <c r="J16" i="4"/>
  <c r="I16" i="4"/>
  <c r="H16" i="4"/>
  <c r="G16" i="4"/>
  <c r="F16" i="4"/>
  <c r="E16" i="4"/>
  <c r="D16" i="4"/>
  <c r="C16" i="4"/>
  <c r="B16" i="4"/>
  <c r="O15" i="4"/>
  <c r="M15" i="4"/>
  <c r="L15" i="4"/>
  <c r="K15" i="4"/>
  <c r="J15" i="4"/>
  <c r="I15" i="4"/>
  <c r="H15" i="4"/>
  <c r="G15" i="4"/>
  <c r="F15" i="4"/>
  <c r="E15" i="4"/>
  <c r="D15" i="4"/>
  <c r="C15" i="4"/>
  <c r="B15" i="4"/>
  <c r="O14" i="4"/>
  <c r="M14" i="4"/>
  <c r="L14" i="4"/>
  <c r="K14" i="4"/>
  <c r="J14" i="4"/>
  <c r="I14" i="4"/>
  <c r="H14" i="4"/>
  <c r="G14" i="4"/>
  <c r="F14" i="4"/>
  <c r="E14" i="4"/>
  <c r="D14" i="4"/>
  <c r="C14" i="4"/>
  <c r="B14" i="4"/>
  <c r="O13" i="4"/>
  <c r="M13" i="4"/>
  <c r="L13" i="4"/>
  <c r="K13" i="4"/>
  <c r="J13" i="4"/>
  <c r="I13" i="4"/>
  <c r="H13" i="4"/>
  <c r="G13" i="4"/>
  <c r="F13" i="4"/>
  <c r="E13" i="4"/>
  <c r="D13" i="4"/>
  <c r="C13" i="4"/>
  <c r="B13" i="4"/>
  <c r="O12" i="4"/>
  <c r="M12" i="4"/>
  <c r="L12" i="4"/>
  <c r="K12" i="4"/>
  <c r="J12" i="4"/>
  <c r="I12" i="4"/>
  <c r="H12" i="4"/>
  <c r="G12" i="4"/>
  <c r="F12" i="4"/>
  <c r="E12" i="4"/>
  <c r="D12" i="4"/>
  <c r="C12" i="4"/>
  <c r="B12" i="4"/>
  <c r="O11" i="4"/>
  <c r="M11" i="4"/>
  <c r="L11" i="4"/>
  <c r="K11" i="4"/>
  <c r="J11" i="4"/>
  <c r="I11" i="4"/>
  <c r="H11" i="4"/>
  <c r="G11" i="4"/>
  <c r="F11" i="4"/>
  <c r="E11" i="4"/>
  <c r="D11" i="4"/>
  <c r="C11" i="4"/>
  <c r="B11" i="4"/>
  <c r="O10" i="4"/>
  <c r="M10" i="4"/>
  <c r="L10" i="4"/>
  <c r="K10" i="4"/>
  <c r="J10" i="4"/>
  <c r="I10" i="4"/>
  <c r="H10" i="4"/>
  <c r="G10" i="4"/>
  <c r="F10" i="4"/>
  <c r="E10" i="4"/>
  <c r="D10" i="4"/>
  <c r="C10" i="4"/>
  <c r="B10" i="4"/>
  <c r="O9" i="4"/>
  <c r="M9" i="4"/>
  <c r="L9" i="4"/>
  <c r="K9" i="4"/>
  <c r="J9" i="4"/>
  <c r="I9" i="4"/>
  <c r="H9" i="4"/>
  <c r="G9" i="4"/>
  <c r="F9" i="4"/>
  <c r="E9" i="4"/>
  <c r="D9" i="4"/>
  <c r="C9" i="4"/>
  <c r="B9" i="4"/>
  <c r="O8" i="4"/>
  <c r="M8" i="4"/>
  <c r="L8" i="4"/>
  <c r="K8" i="4"/>
  <c r="J8" i="4"/>
  <c r="I8" i="4"/>
  <c r="H8" i="4"/>
  <c r="G8" i="4"/>
  <c r="F8" i="4"/>
  <c r="E8" i="4"/>
  <c r="D8" i="4"/>
  <c r="C8" i="4"/>
  <c r="B8" i="4"/>
  <c r="O7" i="4"/>
  <c r="M7" i="4"/>
  <c r="L7" i="4"/>
  <c r="K7" i="4"/>
  <c r="J7" i="4"/>
  <c r="I7" i="4"/>
  <c r="H7" i="4"/>
  <c r="G7" i="4"/>
  <c r="F7" i="4"/>
  <c r="E7" i="4"/>
  <c r="D7" i="4"/>
  <c r="C7" i="4"/>
  <c r="B7" i="4"/>
  <c r="O6" i="4"/>
  <c r="M6" i="4"/>
  <c r="L6" i="4"/>
  <c r="K6" i="4"/>
  <c r="J6" i="4"/>
  <c r="I6" i="4"/>
  <c r="H6" i="4"/>
  <c r="G6" i="4"/>
  <c r="F6" i="4"/>
  <c r="E6" i="4"/>
  <c r="D6" i="4"/>
  <c r="C6" i="4"/>
  <c r="B6" i="4"/>
  <c r="O5" i="4"/>
  <c r="M5" i="4"/>
  <c r="L5" i="4"/>
  <c r="K5" i="4"/>
  <c r="J5" i="4"/>
  <c r="I5" i="4"/>
  <c r="H5" i="4"/>
  <c r="G5" i="4"/>
  <c r="F5" i="4"/>
  <c r="E5" i="4"/>
  <c r="D5" i="4"/>
  <c r="C5" i="4"/>
  <c r="B5" i="4"/>
</calcChain>
</file>

<file path=xl/sharedStrings.xml><?xml version="1.0" encoding="utf-8"?>
<sst xmlns="http://schemas.openxmlformats.org/spreadsheetml/2006/main" count="475" uniqueCount="247">
  <si>
    <t>Account</t>
  </si>
  <si>
    <t>Income</t>
  </si>
  <si>
    <t>4000 Service Revenue</t>
  </si>
  <si>
    <t>4001 Quoted Revenue</t>
  </si>
  <si>
    <t>4002 T&amp;M Revenue</t>
  </si>
  <si>
    <t>4003 Rental Revenue</t>
  </si>
  <si>
    <t>4004 Late Fee Income</t>
  </si>
  <si>
    <t>4005 Discounts given</t>
  </si>
  <si>
    <t>4006 Sales Income</t>
  </si>
  <si>
    <t>4007 Training Classes Revenue</t>
  </si>
  <si>
    <t>Total for 4000 Service Revenue</t>
  </si>
  <si>
    <t>4050 Dividend Income</t>
  </si>
  <si>
    <t>4990 Unapplied Cash Payment Income</t>
  </si>
  <si>
    <t>Total for Income</t>
  </si>
  <si>
    <t>Cost of Sales</t>
  </si>
  <si>
    <t>5000 Cost of Goods Sold</t>
  </si>
  <si>
    <t>5001 Direct Costs - Job Materials</t>
  </si>
  <si>
    <t>5002 Direct Cost- Fuel</t>
  </si>
  <si>
    <t>5003 Direct Cost- Meals</t>
  </si>
  <si>
    <t>5004 Direct Cost- Travel &amp; Lodging</t>
  </si>
  <si>
    <t>5005 Direct Cost- Postage &amp; Delivery</t>
  </si>
  <si>
    <t>5006 Direct Cost- Wages</t>
  </si>
  <si>
    <t>5007 Direct Costs - Rental Equipment</t>
  </si>
  <si>
    <t>5008 Direct Costs - Contract Labor</t>
  </si>
  <si>
    <t>5009 Direct Cost - Third Party Testing</t>
  </si>
  <si>
    <t>5050 Direct Costs - Insurance</t>
  </si>
  <si>
    <t>Total for 5000 Cost of Goods Sold</t>
  </si>
  <si>
    <t>Total for Cost of Sales</t>
  </si>
  <si>
    <t>Gross Profit</t>
  </si>
  <si>
    <t>Expenses</t>
  </si>
  <si>
    <t>6000 Payroll Expenses</t>
  </si>
  <si>
    <t>6001 Wages</t>
  </si>
  <si>
    <t>6003 Taxes</t>
  </si>
  <si>
    <t>6005 Payroll Reimbursement from Calibration</t>
  </si>
  <si>
    <t>Total for 6000 Payroll Expenses</t>
  </si>
  <si>
    <t>6020 Automobile Expense</t>
  </si>
  <si>
    <t>6040 Bank Service Charges</t>
  </si>
  <si>
    <t>6041 Credit Card Processing Fees</t>
  </si>
  <si>
    <t>6050 Charitable Donations</t>
  </si>
  <si>
    <t>6051 Quarterly Charitable Giving</t>
  </si>
  <si>
    <t>6052 Quarterly Employee Giving</t>
  </si>
  <si>
    <t>6060 Advertising and Promotion</t>
  </si>
  <si>
    <t>6061 Gift Non-Employee</t>
  </si>
  <si>
    <t>6062 Gifts - Employee</t>
  </si>
  <si>
    <t>6065 Computer &amp; Internet Expense</t>
  </si>
  <si>
    <t>6090 Depreciation Expense</t>
  </si>
  <si>
    <t>6100 Dues &amp; Subscriptions</t>
  </si>
  <si>
    <t>6130 Fuel</t>
  </si>
  <si>
    <t>6140 Insurance - General Liability</t>
  </si>
  <si>
    <t>6155 Health and Wellness</t>
  </si>
  <si>
    <t>6160 Insurance - Auto</t>
  </si>
  <si>
    <t>6170 Benefit Expenses</t>
  </si>
  <si>
    <t>6171 Basic Life Insurance</t>
  </si>
  <si>
    <t>6172 Long-Term Disability</t>
  </si>
  <si>
    <t>6173 Health Insurance- EE Only</t>
  </si>
  <si>
    <t>6174 Health Insurance- EE+DEP (AMP Cost)</t>
  </si>
  <si>
    <t>6175 BCBS Adjustments</t>
  </si>
  <si>
    <t>6176 Principal Adjustments</t>
  </si>
  <si>
    <t>6177 GAP Insurance</t>
  </si>
  <si>
    <t>Total for 6170 Benefit Expenses</t>
  </si>
  <si>
    <t>6179 Insurance - Workers' Comp</t>
  </si>
  <si>
    <t>6180 Insurance - Officer's Life</t>
  </si>
  <si>
    <t>6190 Insurance - Umbrella</t>
  </si>
  <si>
    <t>6260 Licenses, Permits &amp; Taxes</t>
  </si>
  <si>
    <t>6270 Meals &amp; Entertainment 50%</t>
  </si>
  <si>
    <t>6275 Meals &amp; Entertainment 100%</t>
  </si>
  <si>
    <t>6280 Miscellaneous</t>
  </si>
  <si>
    <t>6300 Office Supplies</t>
  </si>
  <si>
    <t>6340 Postage &amp; Delivery</t>
  </si>
  <si>
    <t>6370 Professional Fees</t>
  </si>
  <si>
    <t>6380 Training and Education</t>
  </si>
  <si>
    <t>6385 Recruiting Expenses</t>
  </si>
  <si>
    <t>6390 Per Diem</t>
  </si>
  <si>
    <t>6400 Rent - Building</t>
  </si>
  <si>
    <t>6410 Rent - Equipment</t>
  </si>
  <si>
    <t>6420 Repairs &amp; Maint.- Equipment</t>
  </si>
  <si>
    <t>6423 Repairs &amp; Maint. - Office</t>
  </si>
  <si>
    <t>6460 Salaries &amp; Wages</t>
  </si>
  <si>
    <t>6475 Shop Supplies</t>
  </si>
  <si>
    <t>6490 Small Tools Expense</t>
  </si>
  <si>
    <t>6520 Safety Expense</t>
  </si>
  <si>
    <t>6550 Software Renewal</t>
  </si>
  <si>
    <t>6580 Taxes - Other</t>
  </si>
  <si>
    <t>6585 Penalties</t>
  </si>
  <si>
    <t>6660 Telephone Expense</t>
  </si>
  <si>
    <t>6665 Third-Party Testing</t>
  </si>
  <si>
    <t>6670 Travel &amp; Lodging</t>
  </si>
  <si>
    <t>6680 Uniforms Expense</t>
  </si>
  <si>
    <t>6690 Utilities</t>
  </si>
  <si>
    <t>7050 Bad Debt Expense</t>
  </si>
  <si>
    <t>7998 Unapplied Cash Bill Payment Expense</t>
  </si>
  <si>
    <t>8000 Interest Expense</t>
  </si>
  <si>
    <t>Total for Expenses</t>
  </si>
  <si>
    <t>Net Operating Income</t>
  </si>
  <si>
    <t>Other Income</t>
  </si>
  <si>
    <t>7000 Other Income</t>
  </si>
  <si>
    <t>Total for Other Income</t>
  </si>
  <si>
    <t>Other Expenses</t>
  </si>
  <si>
    <t>8500 Loss(Gain) on Asset Disposal</t>
  </si>
  <si>
    <t>Total for Other Expenses</t>
  </si>
  <si>
    <t>Net Other Income</t>
  </si>
  <si>
    <t>Net Income</t>
  </si>
  <si>
    <t>Assets</t>
  </si>
  <si>
    <t>Current Assets</t>
  </si>
  <si>
    <t>Bank Accounts</t>
  </si>
  <si>
    <t>1000 UCBI Operating (2844)</t>
  </si>
  <si>
    <t>1010 UCBI Payroll (2851)</t>
  </si>
  <si>
    <t>1014 UCBI Holding (1738)</t>
  </si>
  <si>
    <t>1019 UCBI Freedom (0011) (deleted)</t>
  </si>
  <si>
    <t>1030 UCBI Prombo (1746)</t>
  </si>
  <si>
    <t>1051 Investments</t>
  </si>
  <si>
    <t>1099 zClearing (should be $0)</t>
  </si>
  <si>
    <t>Total for Bank Accounts</t>
  </si>
  <si>
    <t>Accounts Receivable</t>
  </si>
  <si>
    <t>1100 Accounts Receivable</t>
  </si>
  <si>
    <t>Total for Accounts Receivable</t>
  </si>
  <si>
    <t>Other Current Assets</t>
  </si>
  <si>
    <t>1101 Undeposited Funds</t>
  </si>
  <si>
    <t>1150 Due From Calibration</t>
  </si>
  <si>
    <t>1155 Due from Armadillo</t>
  </si>
  <si>
    <t>1250 Employee Advances</t>
  </si>
  <si>
    <t>1255 Employee Repayment</t>
  </si>
  <si>
    <t>Total for Other Current Assets</t>
  </si>
  <si>
    <t>Total for Current Assets</t>
  </si>
  <si>
    <t>Fixed Assets</t>
  </si>
  <si>
    <t>1500 Company Assets</t>
  </si>
  <si>
    <t>1510 Machinery &amp; Equipment</t>
  </si>
  <si>
    <t>1530 Furniture and Small Equipment</t>
  </si>
  <si>
    <t>1600 Buildings</t>
  </si>
  <si>
    <t>1601 AMP New Building #1</t>
  </si>
  <si>
    <t>1602 AMP New Building #2</t>
  </si>
  <si>
    <t>1603 Building Renovations</t>
  </si>
  <si>
    <t>Total for 1600 Buildings</t>
  </si>
  <si>
    <t>1700 Computers &amp; Software</t>
  </si>
  <si>
    <t>1800 Automobiles &amp; Trucks</t>
  </si>
  <si>
    <t>1805 Truck 26 - 2018 Ford F150</t>
  </si>
  <si>
    <t>1801 Truck 22 - 2022 Ford Bronco</t>
  </si>
  <si>
    <t>Total for 1800 Automobiles &amp; Trucks</t>
  </si>
  <si>
    <t>1899 Accumulated Depreciation</t>
  </si>
  <si>
    <t>Total for 1500 Company Assets</t>
  </si>
  <si>
    <t>Total for Fixed Assets</t>
  </si>
  <si>
    <t>Other Assets</t>
  </si>
  <si>
    <t>1925 Atlis Motors Inc</t>
  </si>
  <si>
    <t>1950 Trademarks</t>
  </si>
  <si>
    <t>Total for Other Assets</t>
  </si>
  <si>
    <t>Total for Assets</t>
  </si>
  <si>
    <t>Liabilities and Equity</t>
  </si>
  <si>
    <t>Liabilities</t>
  </si>
  <si>
    <t>Current Liabilities</t>
  </si>
  <si>
    <t>Accounts Payable</t>
  </si>
  <si>
    <t>Credit Cards</t>
  </si>
  <si>
    <t>2100 Pcard Billing (1784)</t>
  </si>
  <si>
    <t>2105 CC Billing (1707)</t>
  </si>
  <si>
    <t>2110 Brian Rodgers AMEX Bonvoy</t>
  </si>
  <si>
    <t>2111 Brian Rodgers AMEX Green</t>
  </si>
  <si>
    <t>2112 Brian Rodgers Amex (1000) Delta</t>
  </si>
  <si>
    <t>2130 B.Rodgers (7408) Chase Ink Intl Group</t>
  </si>
  <si>
    <t>2131 M.Prombo (7416) Chase Ink Intl</t>
  </si>
  <si>
    <t>2132 L.Wright (2564) Chase</t>
  </si>
  <si>
    <t>2133 R.Bennett (4397) Chase</t>
  </si>
  <si>
    <t>2134 B Rodgers (8621) Chase</t>
  </si>
  <si>
    <t>2140 Brian (7718) Citi Diamond Preferred</t>
  </si>
  <si>
    <t>2150 Brian Discover IT Card</t>
  </si>
  <si>
    <t>Total for Credit Cards</t>
  </si>
  <si>
    <t>Other Current Liabilities</t>
  </si>
  <si>
    <t>2250 LOC - United Community Bank (4344)</t>
  </si>
  <si>
    <t>2300A Payroll Tax Liabilities OLD (deleted)</t>
  </si>
  <si>
    <t>2300 Payroll Tax Liabilities</t>
  </si>
  <si>
    <t>2301 941</t>
  </si>
  <si>
    <t>2302 940</t>
  </si>
  <si>
    <t>2303 AL Withholding</t>
  </si>
  <si>
    <t>2304 AL Unemployment Tax</t>
  </si>
  <si>
    <t>2310 GA Income Tax</t>
  </si>
  <si>
    <t>2311 GA Unemployment Tax</t>
  </si>
  <si>
    <t>2312 MD Income Tax</t>
  </si>
  <si>
    <t>2313 MD Unemployment Tax</t>
  </si>
  <si>
    <t>2314 TN Unemployment Taxes</t>
  </si>
  <si>
    <t>Total for 2300 Payroll Tax Liabilities</t>
  </si>
  <si>
    <t>2350 Benefits Payable</t>
  </si>
  <si>
    <t>2351 Dental Insurance</t>
  </si>
  <si>
    <t>2352 Vision Insurance</t>
  </si>
  <si>
    <t>2353 Short-Term Disability</t>
  </si>
  <si>
    <t>2354 Voluntary Life Insurance</t>
  </si>
  <si>
    <t>2355 Critical Illness/Accident/Hospital Indemnity</t>
  </si>
  <si>
    <t>2356 Health Insurance- EE+DEP</t>
  </si>
  <si>
    <t>2360 Simple IRA (B Rodgers)</t>
  </si>
  <si>
    <t>Total for 2350 Benefits Payable</t>
  </si>
  <si>
    <t>2530 City of Decatur Payable</t>
  </si>
  <si>
    <t>2536 Sales Tax Agency Payable</t>
  </si>
  <si>
    <t>2560 Tennessee Department of Revenue Payable</t>
  </si>
  <si>
    <t>2570 Note-Byline Financial Group (201036) $2,203.24 120 Generator (deleted)</t>
  </si>
  <si>
    <t>Direct Deposit Payable</t>
  </si>
  <si>
    <t>Total for Other Current Liabilities</t>
  </si>
  <si>
    <t>Total for Current Liabilities</t>
  </si>
  <si>
    <t>Long-term Liabilities</t>
  </si>
  <si>
    <t>2600 Loans from Shareholders</t>
  </si>
  <si>
    <t>2910 Note - Kubota Tractor $388.44</t>
  </si>
  <si>
    <t>2921 Note - UCB (0000) $673.75 Truck 13 (deleted)</t>
  </si>
  <si>
    <t>2922 Note - UCB (0200) $939.25 Truck 14 (deleted)</t>
  </si>
  <si>
    <t>2923 Note - UCB (1700) $795.19 Truck 15 (deleted)</t>
  </si>
  <si>
    <t>2924 Note - UCB (1900) $1373.19 Truck 17</t>
  </si>
  <si>
    <t>2925 Note - UCB (2100) $1206.15 Truck 19</t>
  </si>
  <si>
    <t>2926 Note - UCB (6800) $1580.19 Truck 20</t>
  </si>
  <si>
    <t>2927 Note - UCB (1000) $1783.08 Truck 21</t>
  </si>
  <si>
    <t>2928 Note - UCB (1772) $1296.19 Truck 22</t>
  </si>
  <si>
    <t>2929 Note - Chase (5918) $721.37 Truck 23</t>
  </si>
  <si>
    <t>2931 Note - Bank Ind 1016.34 TRUCK 26</t>
  </si>
  <si>
    <t>2932 Note - Santander (4970) $2140.42 Truck 27</t>
  </si>
  <si>
    <t>2942 Note - UCB (4343) SPI-4000</t>
  </si>
  <si>
    <t>2943 Note - Kubota Credit (4957) $2225.02 Skid Loader</t>
  </si>
  <si>
    <t>2900 EIDL SBA Loan (8201)</t>
  </si>
  <si>
    <t>Total for Long-term Liabilities</t>
  </si>
  <si>
    <t>Total for Liabilities</t>
  </si>
  <si>
    <t>Equity</t>
  </si>
  <si>
    <t>3200 Shareholder Calibration</t>
  </si>
  <si>
    <t>3300 Shareholder Distributions</t>
  </si>
  <si>
    <t>3900 Retained Earnings</t>
  </si>
  <si>
    <t>Total for Equity</t>
  </si>
  <si>
    <t>Total for Liabilities and Equity</t>
  </si>
  <si>
    <t>AMP Quality Energy Services</t>
  </si>
  <si>
    <t>Profit &amp; Loss Statement</t>
  </si>
  <si>
    <t>YTD</t>
  </si>
  <si>
    <t>Balance Sheet</t>
  </si>
  <si>
    <t>Cash Flow Statement</t>
  </si>
  <si>
    <t>Description</t>
  </si>
  <si>
    <t>OPERATING ACTIVITIES</t>
  </si>
  <si>
    <t>Depreciation</t>
  </si>
  <si>
    <t>Change in Working Capital</t>
  </si>
  <si>
    <t xml:space="preserve">  (Inc)/Dec in Accounts Receivable</t>
  </si>
  <si>
    <t xml:space="preserve">  Inc/(Dec) in Accounts Payable</t>
  </si>
  <si>
    <t>Net Cash from Operations</t>
  </si>
  <si>
    <t>INVESTING ACTIVITIES</t>
  </si>
  <si>
    <t>Capital Expenditures</t>
  </si>
  <si>
    <t>Net Cash from Investing</t>
  </si>
  <si>
    <t>FINANCING ACTIVITIES</t>
  </si>
  <si>
    <t>Debt Changes</t>
  </si>
  <si>
    <t>Distributions</t>
  </si>
  <si>
    <t>Net Cash from Financing</t>
  </si>
  <si>
    <t>NET CHANGE IN CASH</t>
  </si>
  <si>
    <t>Beginning Cash</t>
  </si>
  <si>
    <t>Ending Cash</t>
  </si>
  <si>
    <t>DNA Financial Model</t>
  </si>
  <si>
    <t>Current Month:</t>
  </si>
  <si>
    <t>MACROS (Press Alt+F8)</t>
  </si>
  <si>
    <t>UploadPLFile - Import new P&amp;L</t>
  </si>
  <si>
    <t>UploadBSFile - Import new Balance Sheet</t>
  </si>
  <si>
    <t>RefreshAll - Recalculate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</si>
</sst>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7" fontId="0" fillId="0" borderId="0" xfId="0" applyNumberFormat="1"/>
    <xf numFmtId="0" fontId="2" fillId="0" borderId="0" xfId="0" applyFont="1"/>
    <xf numFmtId="0" fontId="3" fillId="0" borderId="0" xfId="0" applyFont="1"/>
    <xf numFmtId="0" fontId="1" fillId="0" borderId="0" xfId="0" applyFont="1"/>
    <xf numFmtId="17" fontId="1" fillId="0" borderId="0" xfId="0" applyNumberFormat="1" applyFont="1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3" fontId="0" fillId="2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A97D8-62C4-4B28-AE49-BE4C1971BEF5}">
  <sheetPr codeName="Sheet1"/>
  <dimension ref="B2:C10"/>
  <sheetViews>
    <sheetView workbookViewId="0"/>
  </sheetViews>
  <sheetFormatPr defaultRowHeight="15" x14ac:dyDescent="0.25"/>
  <cols>
    <col min="2" max="2" width="56.5703125" bestFit="1" customWidth="1"/>
    <col min="3" max="3" width="7" bestFit="1" customWidth="1"/>
  </cols>
  <sheetData>
    <row r="2" spans="2:3" ht="31.5" x14ac:dyDescent="0.5">
      <c r="B2" s="10" t="s">
        <v>219</v>
      </c>
    </row>
    <row r="3" spans="2:3" ht="18.75" x14ac:dyDescent="0.3">
      <c r="B3" s="2" t="s">
        <v>241</v>
      </c>
    </row>
    <row r="5" spans="2:3" x14ac:dyDescent="0.25">
      <c r="B5" t="s">
        <v>242</v>
      </c>
      <c r="C5" s="1">
        <v>45627</v>
      </c>
    </row>
    <row r="7" spans="2:3" x14ac:dyDescent="0.25">
      <c r="B7" s="4" t="s">
        <v>243</v>
      </c>
    </row>
    <row r="8" spans="2:3" x14ac:dyDescent="0.25">
      <c r="B8" t="s">
        <v>244</v>
      </c>
    </row>
    <row r="9" spans="2:3" x14ac:dyDescent="0.25">
      <c r="B9" t="s">
        <v>245</v>
      </c>
    </row>
    <row r="10" spans="2:3" x14ac:dyDescent="0.25">
      <c r="B10" t="s">
        <v>246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57FCF-C753-4E12-AE7C-79C6D62B1301}">
  <sheetPr codeName="Sheet2"/>
  <dimension ref="A1:M102"/>
  <sheetViews>
    <sheetView workbookViewId="0"/>
  </sheetViews>
  <sheetFormatPr defaultRowHeight="15" x14ac:dyDescent="0.25"/>
  <cols>
    <col min="1" max="1" width="41.7109375" bestFit="1" customWidth="1"/>
    <col min="2" max="3" width="10.7109375" bestFit="1" customWidth="1"/>
    <col min="4" max="10" width="10" bestFit="1" customWidth="1"/>
    <col min="11" max="11" width="10.7109375" bestFit="1" customWidth="1"/>
    <col min="12" max="12" width="10" bestFit="1" customWidth="1"/>
    <col min="13" max="13" width="10.7109375" bestFit="1" customWidth="1"/>
  </cols>
  <sheetData>
    <row r="1" spans="1:13" x14ac:dyDescent="0.25">
      <c r="A1" t="s">
        <v>0</v>
      </c>
      <c r="B1" s="1">
        <v>45292</v>
      </c>
      <c r="C1" s="1">
        <v>45323</v>
      </c>
      <c r="D1" s="1">
        <v>45352</v>
      </c>
      <c r="E1" s="1">
        <v>45383</v>
      </c>
      <c r="F1" s="1">
        <v>45413</v>
      </c>
      <c r="G1" s="1">
        <v>45444</v>
      </c>
      <c r="H1" s="1">
        <v>45474</v>
      </c>
      <c r="I1" s="1">
        <v>45505</v>
      </c>
      <c r="J1" s="1">
        <v>45536</v>
      </c>
      <c r="K1" s="1">
        <v>45566</v>
      </c>
      <c r="L1" s="1">
        <v>45597</v>
      </c>
      <c r="M1" s="1">
        <v>45627</v>
      </c>
    </row>
    <row r="2" spans="1:13" x14ac:dyDescent="0.25">
      <c r="A2" t="s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25">
      <c r="A3" t="s">
        <v>2</v>
      </c>
      <c r="B3">
        <v>161373.18</v>
      </c>
      <c r="C3">
        <v>121704</v>
      </c>
      <c r="D3">
        <v>711615.3</v>
      </c>
      <c r="E3">
        <v>184733.67</v>
      </c>
      <c r="F3">
        <v>64915.92</v>
      </c>
      <c r="G3">
        <v>26798</v>
      </c>
      <c r="H3">
        <v>0</v>
      </c>
      <c r="I3">
        <v>0</v>
      </c>
      <c r="J3">
        <v>0</v>
      </c>
      <c r="K3">
        <v>22701.33</v>
      </c>
      <c r="L3">
        <v>0</v>
      </c>
      <c r="M3">
        <v>0</v>
      </c>
    </row>
    <row r="4" spans="1:13" x14ac:dyDescent="0.25">
      <c r="A4" t="s">
        <v>3</v>
      </c>
      <c r="B4">
        <v>0</v>
      </c>
      <c r="C4">
        <v>0</v>
      </c>
      <c r="D4">
        <v>0</v>
      </c>
      <c r="E4">
        <v>31071</v>
      </c>
      <c r="F4">
        <v>325952.78000000003</v>
      </c>
      <c r="G4">
        <v>112476.44</v>
      </c>
      <c r="H4">
        <v>319502.03000000003</v>
      </c>
      <c r="I4">
        <v>520745.67</v>
      </c>
      <c r="J4">
        <v>191940.76</v>
      </c>
      <c r="K4">
        <v>151783.79999999999</v>
      </c>
      <c r="L4">
        <v>445540.71</v>
      </c>
      <c r="M4">
        <v>536248.32999999996</v>
      </c>
    </row>
    <row r="5" spans="1:13" x14ac:dyDescent="0.25">
      <c r="A5" t="s">
        <v>4</v>
      </c>
      <c r="B5">
        <v>0</v>
      </c>
      <c r="C5">
        <v>0</v>
      </c>
      <c r="D5">
        <v>0</v>
      </c>
      <c r="E5">
        <v>0</v>
      </c>
      <c r="F5">
        <v>1660</v>
      </c>
      <c r="G5">
        <v>116167.77</v>
      </c>
      <c r="H5">
        <v>115009.68</v>
      </c>
      <c r="I5">
        <v>48829.04</v>
      </c>
      <c r="J5">
        <v>246378.58</v>
      </c>
      <c r="K5">
        <v>147682.63</v>
      </c>
      <c r="L5">
        <v>147019.51999999999</v>
      </c>
      <c r="M5">
        <v>179550</v>
      </c>
    </row>
    <row r="6" spans="1:13" x14ac:dyDescent="0.25">
      <c r="A6" t="s">
        <v>5</v>
      </c>
      <c r="B6">
        <v>4575</v>
      </c>
      <c r="C6">
        <v>0</v>
      </c>
      <c r="D6">
        <v>0</v>
      </c>
      <c r="E6">
        <v>0</v>
      </c>
      <c r="F6">
        <v>0</v>
      </c>
      <c r="G6">
        <v>9000</v>
      </c>
      <c r="H6">
        <v>0</v>
      </c>
      <c r="I6">
        <v>1607.77</v>
      </c>
      <c r="J6">
        <v>0</v>
      </c>
      <c r="K6">
        <v>0</v>
      </c>
      <c r="L6">
        <v>0</v>
      </c>
      <c r="M6">
        <v>0</v>
      </c>
    </row>
    <row r="7" spans="1:13" x14ac:dyDescent="0.25">
      <c r="A7" t="s">
        <v>6</v>
      </c>
      <c r="B7">
        <v>2.2200000000000002</v>
      </c>
      <c r="C7">
        <v>156.22</v>
      </c>
      <c r="D7">
        <v>214.52</v>
      </c>
      <c r="E7">
        <v>97.66</v>
      </c>
      <c r="F7">
        <v>111.99</v>
      </c>
      <c r="G7">
        <v>401.97</v>
      </c>
      <c r="H7">
        <v>40.5</v>
      </c>
      <c r="I7">
        <v>241.12</v>
      </c>
      <c r="J7">
        <v>0</v>
      </c>
      <c r="K7">
        <v>0</v>
      </c>
      <c r="L7">
        <v>485.92</v>
      </c>
      <c r="M7">
        <v>0</v>
      </c>
    </row>
    <row r="8" spans="1:13" x14ac:dyDescent="0.25">
      <c r="A8" t="s">
        <v>7</v>
      </c>
      <c r="B8">
        <v>-826.65</v>
      </c>
      <c r="C8">
        <v>-101.12</v>
      </c>
      <c r="D8">
        <v>-438.4</v>
      </c>
      <c r="E8">
        <v>-623.87</v>
      </c>
      <c r="F8">
        <v>-1056.2</v>
      </c>
      <c r="G8">
        <v>-22.2</v>
      </c>
      <c r="H8">
        <v>-846.7</v>
      </c>
      <c r="I8">
        <v>-419.42</v>
      </c>
      <c r="J8">
        <v>-392.82</v>
      </c>
      <c r="K8">
        <v>0</v>
      </c>
      <c r="L8">
        <v>-1824.96</v>
      </c>
      <c r="M8">
        <v>0</v>
      </c>
    </row>
    <row r="9" spans="1:13" x14ac:dyDescent="0.25">
      <c r="A9" t="s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7000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25">
      <c r="A10" t="s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5600</v>
      </c>
      <c r="I10">
        <v>5500</v>
      </c>
      <c r="J10">
        <v>0</v>
      </c>
      <c r="K10">
        <v>0</v>
      </c>
      <c r="L10">
        <v>4500</v>
      </c>
      <c r="M10">
        <v>0</v>
      </c>
    </row>
    <row r="11" spans="1:13" x14ac:dyDescent="0.25">
      <c r="A11" t="s">
        <v>10</v>
      </c>
      <c r="B11">
        <v>165123.75</v>
      </c>
      <c r="C11">
        <v>121759.1</v>
      </c>
      <c r="D11">
        <v>711391.42</v>
      </c>
      <c r="E11">
        <v>215278.46000000002</v>
      </c>
      <c r="F11">
        <v>391584.49</v>
      </c>
      <c r="G11">
        <v>271821.98</v>
      </c>
      <c r="H11">
        <v>439305.51</v>
      </c>
      <c r="I11">
        <v>576504.17999999993</v>
      </c>
      <c r="J11">
        <v>437926.51999999996</v>
      </c>
      <c r="K11">
        <v>322167.76</v>
      </c>
      <c r="L11">
        <v>595721.19000000006</v>
      </c>
      <c r="M11">
        <v>715798.33</v>
      </c>
    </row>
    <row r="12" spans="1:13" x14ac:dyDescent="0.25">
      <c r="A12" t="s">
        <v>11</v>
      </c>
      <c r="B12">
        <v>0</v>
      </c>
      <c r="C12">
        <v>0</v>
      </c>
      <c r="D12">
        <v>0</v>
      </c>
      <c r="E12">
        <v>1755.1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25">
      <c r="A13" t="s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1607.77</v>
      </c>
      <c r="I13">
        <v>-1607.77</v>
      </c>
      <c r="J13">
        <v>18338.400000000001</v>
      </c>
      <c r="K13">
        <v>0</v>
      </c>
      <c r="L13">
        <v>0</v>
      </c>
      <c r="M13">
        <v>0</v>
      </c>
    </row>
    <row r="14" spans="1:13" x14ac:dyDescent="0.25">
      <c r="A14" t="s">
        <v>13</v>
      </c>
      <c r="B14">
        <v>165123.75</v>
      </c>
      <c r="C14">
        <v>121759.1</v>
      </c>
      <c r="D14">
        <v>711391.42</v>
      </c>
      <c r="E14">
        <v>217033.56000000003</v>
      </c>
      <c r="F14">
        <v>391584.49</v>
      </c>
      <c r="G14">
        <v>271821.98</v>
      </c>
      <c r="H14">
        <v>440913.28</v>
      </c>
      <c r="I14">
        <v>574896.40999999992</v>
      </c>
      <c r="J14">
        <v>456264.92</v>
      </c>
      <c r="K14">
        <v>322167.76</v>
      </c>
      <c r="L14">
        <v>595721.19000000006</v>
      </c>
      <c r="M14">
        <v>715798.33</v>
      </c>
    </row>
    <row r="15" spans="1:13" x14ac:dyDescent="0.25">
      <c r="A15" t="s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25">
      <c r="A16" t="s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 t="s">
        <v>16</v>
      </c>
      <c r="B17">
        <v>401918.85</v>
      </c>
      <c r="C17">
        <v>31195.59</v>
      </c>
      <c r="D17">
        <v>3264.86</v>
      </c>
      <c r="E17">
        <v>1202.5899999999999</v>
      </c>
      <c r="F17">
        <v>26179.84</v>
      </c>
      <c r="G17">
        <v>2183.17</v>
      </c>
      <c r="H17">
        <v>86573.09</v>
      </c>
      <c r="I17">
        <v>181803.62</v>
      </c>
      <c r="J17">
        <v>31916.93</v>
      </c>
      <c r="K17">
        <v>55094.11</v>
      </c>
      <c r="L17">
        <v>8163.62</v>
      </c>
      <c r="M17">
        <v>9893.92</v>
      </c>
    </row>
    <row r="18" spans="1:13" x14ac:dyDescent="0.25">
      <c r="A18" t="s">
        <v>17</v>
      </c>
      <c r="B18">
        <v>0</v>
      </c>
      <c r="C18">
        <v>0</v>
      </c>
      <c r="D18">
        <v>0</v>
      </c>
      <c r="E18">
        <v>0</v>
      </c>
      <c r="F18">
        <v>302.47000000000003</v>
      </c>
      <c r="G18">
        <v>241.17</v>
      </c>
      <c r="H18">
        <v>30.68</v>
      </c>
      <c r="I18">
        <v>3923.93</v>
      </c>
      <c r="J18">
        <v>2356.0300000000002</v>
      </c>
      <c r="K18">
        <v>4023.39</v>
      </c>
      <c r="L18">
        <v>4053.9</v>
      </c>
      <c r="M18">
        <v>4508.6400000000003</v>
      </c>
    </row>
    <row r="19" spans="1:13" x14ac:dyDescent="0.25">
      <c r="A19" t="s">
        <v>18</v>
      </c>
      <c r="B19">
        <v>0</v>
      </c>
      <c r="C19">
        <v>0</v>
      </c>
      <c r="D19">
        <v>0</v>
      </c>
      <c r="E19">
        <v>0</v>
      </c>
      <c r="F19">
        <v>185.84</v>
      </c>
      <c r="G19">
        <v>324.89</v>
      </c>
      <c r="H19">
        <v>0</v>
      </c>
      <c r="I19">
        <v>494.4</v>
      </c>
      <c r="J19">
        <v>468.35</v>
      </c>
      <c r="K19">
        <v>1434.67</v>
      </c>
      <c r="L19">
        <v>542.66999999999996</v>
      </c>
      <c r="M19">
        <v>283.56</v>
      </c>
    </row>
    <row r="20" spans="1:13" x14ac:dyDescent="0.25">
      <c r="A20" t="s">
        <v>19</v>
      </c>
      <c r="B20">
        <v>5182.87</v>
      </c>
      <c r="C20">
        <v>0</v>
      </c>
      <c r="D20">
        <v>0</v>
      </c>
      <c r="E20">
        <v>0</v>
      </c>
      <c r="F20">
        <v>2767.82</v>
      </c>
      <c r="G20">
        <v>3881.24</v>
      </c>
      <c r="H20">
        <v>-36.33</v>
      </c>
      <c r="I20">
        <v>37151.33</v>
      </c>
      <c r="J20">
        <v>17953.62</v>
      </c>
      <c r="K20">
        <v>11235.63</v>
      </c>
      <c r="L20">
        <v>9555.0300000000007</v>
      </c>
      <c r="M20">
        <v>7321.74</v>
      </c>
    </row>
    <row r="21" spans="1:13" x14ac:dyDescent="0.25">
      <c r="A21" t="s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229.83</v>
      </c>
      <c r="J21">
        <v>0</v>
      </c>
      <c r="K21">
        <v>0</v>
      </c>
      <c r="L21">
        <v>187</v>
      </c>
      <c r="M21">
        <v>518.41</v>
      </c>
    </row>
    <row r="22" spans="1:13" x14ac:dyDescent="0.25">
      <c r="A22" t="s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36895.97</v>
      </c>
      <c r="J22">
        <v>82264.639999999999</v>
      </c>
      <c r="K22">
        <v>91277.73</v>
      </c>
      <c r="L22">
        <v>107220.78</v>
      </c>
      <c r="M22">
        <v>92045.01</v>
      </c>
    </row>
    <row r="23" spans="1:13" x14ac:dyDescent="0.25">
      <c r="A23" t="s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1624.16</v>
      </c>
      <c r="J23">
        <v>0</v>
      </c>
      <c r="K23">
        <v>0</v>
      </c>
      <c r="L23">
        <v>3860.32</v>
      </c>
      <c r="M23">
        <v>14913.4</v>
      </c>
    </row>
    <row r="24" spans="1:13" x14ac:dyDescent="0.25">
      <c r="A24" t="s">
        <v>23</v>
      </c>
      <c r="B24">
        <v>25016.17</v>
      </c>
      <c r="C24">
        <v>10828.69</v>
      </c>
      <c r="D24">
        <v>46382.95</v>
      </c>
      <c r="E24">
        <v>2355.8200000000002</v>
      </c>
      <c r="F24">
        <v>3706</v>
      </c>
      <c r="G24">
        <v>0</v>
      </c>
      <c r="H24">
        <v>37406.730000000003</v>
      </c>
      <c r="I24">
        <v>46830.06</v>
      </c>
      <c r="J24">
        <v>16346.46</v>
      </c>
      <c r="K24">
        <v>26496.23</v>
      </c>
      <c r="L24">
        <v>71496.83</v>
      </c>
      <c r="M24">
        <v>95055.43</v>
      </c>
    </row>
    <row r="25" spans="1:13" x14ac:dyDescent="0.25">
      <c r="A25" t="s">
        <v>24</v>
      </c>
      <c r="B25">
        <v>0</v>
      </c>
      <c r="C25">
        <v>0</v>
      </c>
      <c r="D25">
        <v>0</v>
      </c>
      <c r="E25">
        <v>0</v>
      </c>
      <c r="F25">
        <v>300</v>
      </c>
      <c r="G25">
        <v>300</v>
      </c>
      <c r="H25">
        <v>0</v>
      </c>
      <c r="I25">
        <v>0</v>
      </c>
      <c r="J25">
        <v>0</v>
      </c>
      <c r="K25">
        <v>0</v>
      </c>
      <c r="L25">
        <v>5700</v>
      </c>
      <c r="M25">
        <v>0</v>
      </c>
    </row>
    <row r="26" spans="1:13" x14ac:dyDescent="0.25">
      <c r="A26" t="s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5167.5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25">
      <c r="A27" t="s">
        <v>26</v>
      </c>
      <c r="B27">
        <v>432117.88999999996</v>
      </c>
      <c r="C27">
        <v>42024.28</v>
      </c>
      <c r="D27">
        <v>49647.81</v>
      </c>
      <c r="E27">
        <v>3558.41</v>
      </c>
      <c r="F27">
        <v>33441.97</v>
      </c>
      <c r="G27">
        <v>6930.4699999999993</v>
      </c>
      <c r="H27">
        <v>129141.66999999998</v>
      </c>
      <c r="I27">
        <v>308953.29999999993</v>
      </c>
      <c r="J27">
        <v>151306.03</v>
      </c>
      <c r="K27">
        <v>189561.76</v>
      </c>
      <c r="L27">
        <v>210780.15000000002</v>
      </c>
      <c r="M27">
        <v>224540.11</v>
      </c>
    </row>
    <row r="28" spans="1:13" x14ac:dyDescent="0.25">
      <c r="A28" t="s">
        <v>27</v>
      </c>
      <c r="B28">
        <v>432117.88999999996</v>
      </c>
      <c r="C28">
        <v>42024.28</v>
      </c>
      <c r="D28">
        <v>49647.81</v>
      </c>
      <c r="E28">
        <v>3558.41</v>
      </c>
      <c r="F28">
        <v>33441.97</v>
      </c>
      <c r="G28">
        <v>6930.4699999999993</v>
      </c>
      <c r="H28">
        <v>129141.66999999998</v>
      </c>
      <c r="I28">
        <v>308953.29999999993</v>
      </c>
      <c r="J28">
        <v>151306.03</v>
      </c>
      <c r="K28">
        <v>189561.76</v>
      </c>
      <c r="L28">
        <v>210780.15000000002</v>
      </c>
      <c r="M28">
        <v>224540.11</v>
      </c>
    </row>
    <row r="29" spans="1:13" x14ac:dyDescent="0.25">
      <c r="A29" t="s">
        <v>28</v>
      </c>
      <c r="B29">
        <v>-266994.13999999996</v>
      </c>
      <c r="C29">
        <v>79734.820000000007</v>
      </c>
      <c r="D29">
        <v>661743.6100000001</v>
      </c>
      <c r="E29">
        <v>213475.15000000002</v>
      </c>
      <c r="F29">
        <v>358142.52</v>
      </c>
      <c r="G29">
        <v>264891.51</v>
      </c>
      <c r="H29">
        <v>311771.61000000004</v>
      </c>
      <c r="I29">
        <v>265943.11</v>
      </c>
      <c r="J29">
        <v>304958.89</v>
      </c>
      <c r="K29">
        <v>132606</v>
      </c>
      <c r="L29">
        <v>384941.04000000004</v>
      </c>
      <c r="M29">
        <v>491258.22</v>
      </c>
    </row>
    <row r="30" spans="1:13" x14ac:dyDescent="0.25">
      <c r="A30" t="s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25">
      <c r="A31" t="s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25">
      <c r="A32" t="s">
        <v>31</v>
      </c>
      <c r="B32">
        <v>146082.88</v>
      </c>
      <c r="C32">
        <v>149263.07</v>
      </c>
      <c r="D32">
        <v>213768.73</v>
      </c>
      <c r="E32">
        <v>145277.29</v>
      </c>
      <c r="F32">
        <v>150187.51</v>
      </c>
      <c r="G32">
        <v>157126.6</v>
      </c>
      <c r="H32">
        <v>155057.94</v>
      </c>
      <c r="I32">
        <v>223896.87</v>
      </c>
      <c r="J32">
        <v>92240.98</v>
      </c>
      <c r="K32">
        <v>112836.98</v>
      </c>
      <c r="L32">
        <v>137107.73000000001</v>
      </c>
      <c r="M32">
        <v>149071.01999999999</v>
      </c>
    </row>
    <row r="33" spans="1:13" x14ac:dyDescent="0.25">
      <c r="A33" t="s">
        <v>32</v>
      </c>
      <c r="B33">
        <v>12735.11</v>
      </c>
      <c r="C33">
        <v>12183.34</v>
      </c>
      <c r="D33">
        <v>16909.5</v>
      </c>
      <c r="E33">
        <v>10988.34</v>
      </c>
      <c r="F33">
        <v>11314.49</v>
      </c>
      <c r="G33">
        <v>10040.07</v>
      </c>
      <c r="H33">
        <v>11910</v>
      </c>
      <c r="I33">
        <v>19724.400000000001</v>
      </c>
      <c r="J33">
        <v>13216.04</v>
      </c>
      <c r="K33">
        <v>15698.18</v>
      </c>
      <c r="L33">
        <v>19095.63</v>
      </c>
      <c r="M33">
        <v>9683.64</v>
      </c>
    </row>
    <row r="34" spans="1:13" x14ac:dyDescent="0.25">
      <c r="A34" t="s">
        <v>33</v>
      </c>
      <c r="B34">
        <v>-15782.81</v>
      </c>
      <c r="C34">
        <v>-38525.99</v>
      </c>
      <c r="D34">
        <v>-17689.62</v>
      </c>
      <c r="E34">
        <v>-8311.52</v>
      </c>
      <c r="F34">
        <v>-22842.75</v>
      </c>
      <c r="G34">
        <v>-16798.86</v>
      </c>
      <c r="H34">
        <v>-18488.16</v>
      </c>
      <c r="I34">
        <v>-27246</v>
      </c>
      <c r="J34">
        <v>-20338.669999999998</v>
      </c>
      <c r="K34">
        <v>-39237.9</v>
      </c>
      <c r="L34">
        <v>-25510.25</v>
      </c>
      <c r="M34">
        <v>-33244.04</v>
      </c>
    </row>
    <row r="35" spans="1:13" x14ac:dyDescent="0.25">
      <c r="A35" t="s">
        <v>34</v>
      </c>
      <c r="B35">
        <v>143035.18</v>
      </c>
      <c r="C35">
        <v>122920.42000000001</v>
      </c>
      <c r="D35">
        <v>212988.61000000002</v>
      </c>
      <c r="E35">
        <v>147954.11000000002</v>
      </c>
      <c r="F35">
        <v>138659.25</v>
      </c>
      <c r="G35">
        <v>150367.81</v>
      </c>
      <c r="H35">
        <v>148479.78</v>
      </c>
      <c r="I35">
        <v>216375.27</v>
      </c>
      <c r="J35">
        <v>85118.349999999991</v>
      </c>
      <c r="K35">
        <v>89297.260000000009</v>
      </c>
      <c r="L35">
        <v>130693.11000000002</v>
      </c>
      <c r="M35">
        <v>125510.61999999997</v>
      </c>
    </row>
    <row r="36" spans="1:13" x14ac:dyDescent="0.25">
      <c r="A36" t="s">
        <v>35</v>
      </c>
      <c r="B36">
        <v>-6700.45</v>
      </c>
      <c r="C36">
        <v>2037.86</v>
      </c>
      <c r="D36">
        <v>7569.33</v>
      </c>
      <c r="E36">
        <v>7198.68</v>
      </c>
      <c r="F36">
        <v>8348.51</v>
      </c>
      <c r="G36">
        <v>6059.83</v>
      </c>
      <c r="H36">
        <v>5952.81</v>
      </c>
      <c r="I36">
        <v>2034.48</v>
      </c>
      <c r="J36">
        <v>1012.02</v>
      </c>
      <c r="K36">
        <v>3656.46</v>
      </c>
      <c r="L36">
        <v>10555.38</v>
      </c>
      <c r="M36">
        <v>6934.66</v>
      </c>
    </row>
    <row r="37" spans="1:13" x14ac:dyDescent="0.25">
      <c r="A37" t="s">
        <v>36</v>
      </c>
      <c r="B37">
        <v>-1.05</v>
      </c>
      <c r="C37">
        <v>-1.05</v>
      </c>
      <c r="D37">
        <v>0</v>
      </c>
      <c r="E37">
        <v>30</v>
      </c>
      <c r="F37">
        <v>0</v>
      </c>
      <c r="G37">
        <v>0</v>
      </c>
      <c r="H37">
        <v>45.95</v>
      </c>
      <c r="I37">
        <v>118.01</v>
      </c>
      <c r="J37">
        <v>363.25</v>
      </c>
      <c r="K37">
        <v>0</v>
      </c>
      <c r="L37">
        <v>446.5</v>
      </c>
      <c r="M37">
        <v>50</v>
      </c>
    </row>
    <row r="38" spans="1:13" x14ac:dyDescent="0.25">
      <c r="A38" t="s">
        <v>37</v>
      </c>
      <c r="B38">
        <v>17.09</v>
      </c>
      <c r="C38">
        <v>452.9</v>
      </c>
      <c r="D38">
        <v>445.76</v>
      </c>
      <c r="E38">
        <v>362.2</v>
      </c>
      <c r="F38">
        <v>62.14</v>
      </c>
      <c r="G38">
        <v>157.86000000000001</v>
      </c>
      <c r="H38">
        <v>208.53</v>
      </c>
      <c r="I38">
        <v>354.96</v>
      </c>
      <c r="J38">
        <v>2789.9</v>
      </c>
      <c r="K38">
        <v>456.74</v>
      </c>
      <c r="L38">
        <v>2481.6999999999998</v>
      </c>
      <c r="M38">
        <v>68.17</v>
      </c>
    </row>
    <row r="39" spans="1:13" x14ac:dyDescent="0.25">
      <c r="A39" t="s">
        <v>38</v>
      </c>
      <c r="B39">
        <v>0</v>
      </c>
      <c r="C39">
        <v>0</v>
      </c>
      <c r="D39">
        <v>0</v>
      </c>
      <c r="E39">
        <v>5000</v>
      </c>
      <c r="F39">
        <v>0</v>
      </c>
      <c r="G39">
        <v>0</v>
      </c>
      <c r="H39">
        <v>0</v>
      </c>
      <c r="I39">
        <v>105</v>
      </c>
      <c r="J39">
        <v>0</v>
      </c>
      <c r="K39">
        <v>232.92</v>
      </c>
      <c r="L39">
        <v>250</v>
      </c>
      <c r="M39">
        <v>450</v>
      </c>
    </row>
    <row r="40" spans="1:13" x14ac:dyDescent="0.25">
      <c r="A40" t="s">
        <v>39</v>
      </c>
      <c r="B40">
        <v>4000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25">
      <c r="A41" t="s">
        <v>40</v>
      </c>
      <c r="B41">
        <v>4500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25">
      <c r="A42" t="s">
        <v>41</v>
      </c>
      <c r="B42">
        <v>1063.5</v>
      </c>
      <c r="C42">
        <v>663.32</v>
      </c>
      <c r="D42">
        <v>975</v>
      </c>
      <c r="E42">
        <v>389.32</v>
      </c>
      <c r="F42">
        <v>1266.47</v>
      </c>
      <c r="G42">
        <v>2844.46</v>
      </c>
      <c r="H42">
        <v>0</v>
      </c>
      <c r="I42">
        <v>315.39999999999998</v>
      </c>
      <c r="J42">
        <v>1185.8599999999999</v>
      </c>
      <c r="K42">
        <v>305.33999999999997</v>
      </c>
      <c r="L42">
        <v>1525.53</v>
      </c>
      <c r="M42">
        <v>3476.38</v>
      </c>
    </row>
    <row r="43" spans="1:13" x14ac:dyDescent="0.25">
      <c r="A43" t="s">
        <v>42</v>
      </c>
      <c r="B43">
        <v>45.12</v>
      </c>
      <c r="C43">
        <v>0</v>
      </c>
      <c r="D43">
        <v>0</v>
      </c>
      <c r="E43">
        <v>386.36</v>
      </c>
      <c r="F43">
        <v>135.54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355.89</v>
      </c>
    </row>
    <row r="44" spans="1:13" x14ac:dyDescent="0.25">
      <c r="A44" t="s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85</v>
      </c>
    </row>
    <row r="45" spans="1:13" x14ac:dyDescent="0.25">
      <c r="A45" t="s">
        <v>44</v>
      </c>
      <c r="B45">
        <v>3692.81</v>
      </c>
      <c r="C45">
        <v>633.78</v>
      </c>
      <c r="D45">
        <v>2744.23</v>
      </c>
      <c r="E45">
        <v>439.98</v>
      </c>
      <c r="F45">
        <v>558.77</v>
      </c>
      <c r="G45">
        <v>567.16999999999996</v>
      </c>
      <c r="H45">
        <v>439.98</v>
      </c>
      <c r="I45">
        <v>809.98</v>
      </c>
      <c r="J45">
        <v>4383.79</v>
      </c>
      <c r="K45">
        <v>1548.12</v>
      </c>
      <c r="L45">
        <v>6735.99</v>
      </c>
      <c r="M45">
        <v>3412.4</v>
      </c>
    </row>
    <row r="46" spans="1:13" x14ac:dyDescent="0.25">
      <c r="A46" t="s">
        <v>45</v>
      </c>
      <c r="B46">
        <v>154.80000000000001</v>
      </c>
      <c r="C46">
        <v>19.5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244502.89</v>
      </c>
    </row>
    <row r="47" spans="1:13" x14ac:dyDescent="0.25">
      <c r="A47" t="s">
        <v>46</v>
      </c>
      <c r="B47">
        <v>5016.1499999999996</v>
      </c>
      <c r="C47">
        <v>6656.08</v>
      </c>
      <c r="D47">
        <v>9443.77</v>
      </c>
      <c r="E47">
        <v>1628.67</v>
      </c>
      <c r="F47">
        <v>2955.66</v>
      </c>
      <c r="G47">
        <v>2198.3000000000002</v>
      </c>
      <c r="H47">
        <v>8192.34</v>
      </c>
      <c r="I47">
        <v>4969.2299999999996</v>
      </c>
      <c r="J47">
        <v>6184.91</v>
      </c>
      <c r="K47">
        <v>4036.66</v>
      </c>
      <c r="L47">
        <v>4371.2299999999996</v>
      </c>
      <c r="M47">
        <v>3523.19</v>
      </c>
    </row>
    <row r="48" spans="1:13" x14ac:dyDescent="0.25">
      <c r="A48" t="s">
        <v>47</v>
      </c>
      <c r="B48">
        <v>5327.62</v>
      </c>
      <c r="C48">
        <v>5287.54</v>
      </c>
      <c r="D48">
        <v>5067.1099999999997</v>
      </c>
      <c r="E48">
        <v>5495.05</v>
      </c>
      <c r="F48">
        <v>6161.37</v>
      </c>
      <c r="G48">
        <v>5454.97</v>
      </c>
      <c r="H48">
        <v>5589.07</v>
      </c>
      <c r="I48">
        <v>1926.19</v>
      </c>
      <c r="J48">
        <v>2866.18</v>
      </c>
      <c r="K48">
        <v>2095.19</v>
      </c>
      <c r="L48">
        <v>2437.12</v>
      </c>
      <c r="M48">
        <v>3871.62</v>
      </c>
    </row>
    <row r="49" spans="1:13" x14ac:dyDescent="0.25">
      <c r="A49" t="s">
        <v>48</v>
      </c>
      <c r="B49">
        <v>0</v>
      </c>
      <c r="C49">
        <v>30543.58</v>
      </c>
      <c r="D49">
        <v>0</v>
      </c>
      <c r="E49">
        <v>0</v>
      </c>
      <c r="F49">
        <v>0</v>
      </c>
      <c r="G49">
        <v>2804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49</v>
      </c>
      <c r="B50">
        <v>334</v>
      </c>
      <c r="C50">
        <v>349.81</v>
      </c>
      <c r="D50">
        <v>278.35000000000002</v>
      </c>
      <c r="E50">
        <v>249</v>
      </c>
      <c r="F50">
        <v>249</v>
      </c>
      <c r="G50">
        <v>249</v>
      </c>
      <c r="H50">
        <v>293.95</v>
      </c>
      <c r="I50">
        <v>293.95</v>
      </c>
      <c r="J50">
        <v>692.9</v>
      </c>
      <c r="K50">
        <v>303.95</v>
      </c>
      <c r="L50">
        <v>293.95</v>
      </c>
      <c r="M50">
        <v>543.95000000000005</v>
      </c>
    </row>
    <row r="51" spans="1:13" x14ac:dyDescent="0.25">
      <c r="A51" t="s">
        <v>50</v>
      </c>
      <c r="B51">
        <v>0</v>
      </c>
      <c r="C51">
        <v>0</v>
      </c>
      <c r="D51">
        <v>0</v>
      </c>
      <c r="E51">
        <v>0</v>
      </c>
      <c r="F51">
        <v>7749</v>
      </c>
      <c r="G51">
        <v>-224</v>
      </c>
      <c r="H51">
        <v>625</v>
      </c>
      <c r="I51">
        <v>42374.61</v>
      </c>
      <c r="J51">
        <v>0</v>
      </c>
      <c r="K51">
        <v>0</v>
      </c>
      <c r="L51">
        <v>31948.82</v>
      </c>
      <c r="M51">
        <v>11781</v>
      </c>
    </row>
    <row r="52" spans="1:13" x14ac:dyDescent="0.25">
      <c r="A52" t="s">
        <v>51</v>
      </c>
      <c r="B52">
        <v>192.96</v>
      </c>
      <c r="C52">
        <v>1903.36</v>
      </c>
      <c r="D52">
        <v>1364.57</v>
      </c>
      <c r="E52">
        <v>192.96</v>
      </c>
      <c r="F52">
        <v>192.96</v>
      </c>
      <c r="G52">
        <v>136.18</v>
      </c>
      <c r="H52">
        <v>192.96</v>
      </c>
      <c r="I52">
        <v>192.96</v>
      </c>
      <c r="J52">
        <v>192.96</v>
      </c>
      <c r="K52">
        <v>192.96</v>
      </c>
      <c r="L52">
        <v>192.96</v>
      </c>
      <c r="M52">
        <v>192.96</v>
      </c>
    </row>
    <row r="53" spans="1:13" x14ac:dyDescent="0.25">
      <c r="A53" t="s">
        <v>52</v>
      </c>
      <c r="B53">
        <v>0</v>
      </c>
      <c r="C53">
        <v>0</v>
      </c>
      <c r="D53">
        <v>0</v>
      </c>
      <c r="E53">
        <v>579.42999999999995</v>
      </c>
      <c r="F53">
        <v>579.42999999999995</v>
      </c>
      <c r="G53">
        <v>554.92999999999995</v>
      </c>
      <c r="H53">
        <v>603.92999999999995</v>
      </c>
      <c r="I53">
        <v>579.42999999999995</v>
      </c>
      <c r="J53">
        <v>579.42999999999995</v>
      </c>
      <c r="K53">
        <v>579.42999999999995</v>
      </c>
      <c r="L53">
        <v>579.42999999999995</v>
      </c>
      <c r="M53">
        <v>603.92999999999995</v>
      </c>
    </row>
    <row r="54" spans="1:13" x14ac:dyDescent="0.25">
      <c r="A54" t="s">
        <v>53</v>
      </c>
      <c r="B54">
        <v>0</v>
      </c>
      <c r="C54">
        <v>0</v>
      </c>
      <c r="D54">
        <v>0</v>
      </c>
      <c r="E54">
        <v>493.25</v>
      </c>
      <c r="F54">
        <v>519.72</v>
      </c>
      <c r="G54">
        <v>493.25</v>
      </c>
      <c r="H54">
        <v>539.22</v>
      </c>
      <c r="I54">
        <v>519.17999999999995</v>
      </c>
      <c r="J54">
        <v>520.95000000000005</v>
      </c>
      <c r="K54">
        <v>510.34</v>
      </c>
      <c r="L54">
        <v>495.9</v>
      </c>
      <c r="M54">
        <v>525.25</v>
      </c>
    </row>
    <row r="55" spans="1:13" x14ac:dyDescent="0.25">
      <c r="A55" t="s">
        <v>54</v>
      </c>
      <c r="B55">
        <v>14320.23</v>
      </c>
      <c r="C55">
        <v>12716.16</v>
      </c>
      <c r="D55">
        <v>16943.939999999999</v>
      </c>
      <c r="E55">
        <v>24151.86</v>
      </c>
      <c r="F55">
        <v>4191.66</v>
      </c>
      <c r="G55">
        <v>4191.66</v>
      </c>
      <c r="H55">
        <v>4657.3999999999996</v>
      </c>
      <c r="I55">
        <v>4657.3999999999996</v>
      </c>
      <c r="J55">
        <v>4657.3999999999996</v>
      </c>
      <c r="K55">
        <v>4036.41</v>
      </c>
      <c r="L55">
        <v>4657.3999999999996</v>
      </c>
      <c r="M55">
        <v>6327.58</v>
      </c>
    </row>
    <row r="56" spans="1:13" x14ac:dyDescent="0.25">
      <c r="A56" t="s">
        <v>55</v>
      </c>
      <c r="B56">
        <v>0</v>
      </c>
      <c r="C56">
        <v>0</v>
      </c>
      <c r="D56">
        <v>0</v>
      </c>
      <c r="E56">
        <v>0</v>
      </c>
      <c r="F56">
        <v>10506.12</v>
      </c>
      <c r="G56">
        <v>8262.08</v>
      </c>
      <c r="H56">
        <v>11239.18</v>
      </c>
      <c r="I56">
        <v>7376.23</v>
      </c>
      <c r="J56">
        <v>11239.18</v>
      </c>
      <c r="K56">
        <v>11326.71</v>
      </c>
      <c r="L56">
        <v>10705.72</v>
      </c>
      <c r="M56">
        <v>28786.59</v>
      </c>
    </row>
    <row r="57" spans="1:13" x14ac:dyDescent="0.25">
      <c r="A57" t="s">
        <v>56</v>
      </c>
      <c r="B57">
        <v>0</v>
      </c>
      <c r="C57">
        <v>0</v>
      </c>
      <c r="D57">
        <v>0</v>
      </c>
      <c r="E57">
        <v>0</v>
      </c>
      <c r="F57">
        <v>-2379.7800000000002</v>
      </c>
      <c r="G57">
        <v>0</v>
      </c>
      <c r="H57">
        <v>2140.11</v>
      </c>
      <c r="I57">
        <v>0</v>
      </c>
      <c r="J57">
        <v>0</v>
      </c>
      <c r="K57">
        <v>-2492.5500000000002</v>
      </c>
      <c r="L57">
        <v>985.82</v>
      </c>
      <c r="M57">
        <v>3874.12</v>
      </c>
    </row>
    <row r="58" spans="1:13" x14ac:dyDescent="0.25">
      <c r="A58" t="s">
        <v>57</v>
      </c>
      <c r="B58">
        <v>0</v>
      </c>
      <c r="C58">
        <v>0</v>
      </c>
      <c r="D58">
        <v>0</v>
      </c>
      <c r="E58">
        <v>0</v>
      </c>
      <c r="F58">
        <v>76.44</v>
      </c>
      <c r="G58">
        <v>-160.91</v>
      </c>
      <c r="H58">
        <v>437.31</v>
      </c>
      <c r="I58">
        <v>-252.28</v>
      </c>
      <c r="J58">
        <v>15.45</v>
      </c>
      <c r="K58">
        <v>-90.25</v>
      </c>
      <c r="L58">
        <v>-86.75</v>
      </c>
      <c r="M58">
        <v>155.01</v>
      </c>
    </row>
    <row r="59" spans="1:13" x14ac:dyDescent="0.25">
      <c r="A59" t="s"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3985.8</v>
      </c>
      <c r="H59">
        <v>4131.75</v>
      </c>
      <c r="I59">
        <v>4101.75</v>
      </c>
      <c r="J59">
        <v>4101.75</v>
      </c>
      <c r="K59">
        <v>4353.8100000000004</v>
      </c>
      <c r="L59">
        <v>4402.0200000000004</v>
      </c>
      <c r="M59">
        <v>4064.17</v>
      </c>
    </row>
    <row r="60" spans="1:13" x14ac:dyDescent="0.25">
      <c r="A60" t="s">
        <v>59</v>
      </c>
      <c r="B60">
        <v>14513.189999999999</v>
      </c>
      <c r="C60">
        <v>14619.52</v>
      </c>
      <c r="D60">
        <v>18308.509999999998</v>
      </c>
      <c r="E60">
        <v>25417.5</v>
      </c>
      <c r="F60">
        <v>13686.550000000001</v>
      </c>
      <c r="G60">
        <v>17462.989999999998</v>
      </c>
      <c r="H60">
        <v>23941.860000000004</v>
      </c>
      <c r="I60">
        <v>17174.669999999998</v>
      </c>
      <c r="J60">
        <v>21307.119999999999</v>
      </c>
      <c r="K60">
        <v>18416.86</v>
      </c>
      <c r="L60">
        <v>21932.5</v>
      </c>
      <c r="M60">
        <v>44529.61</v>
      </c>
    </row>
    <row r="61" spans="1:13" x14ac:dyDescent="0.25">
      <c r="A61" t="s">
        <v>60</v>
      </c>
      <c r="B61">
        <v>5506</v>
      </c>
      <c r="C61">
        <v>644</v>
      </c>
      <c r="D61">
        <v>834</v>
      </c>
      <c r="E61">
        <v>6175</v>
      </c>
      <c r="F61">
        <v>2853</v>
      </c>
      <c r="G61">
        <v>834</v>
      </c>
      <c r="H61">
        <v>13141</v>
      </c>
      <c r="I61">
        <v>0</v>
      </c>
      <c r="J61">
        <v>2504</v>
      </c>
      <c r="K61">
        <v>4398</v>
      </c>
      <c r="L61">
        <v>3347</v>
      </c>
      <c r="M61">
        <v>834</v>
      </c>
    </row>
    <row r="62" spans="1:13" x14ac:dyDescent="0.25">
      <c r="A62" t="s">
        <v>61</v>
      </c>
      <c r="B62">
        <v>288.41000000000003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1:13" x14ac:dyDescent="0.25">
      <c r="A63" t="s">
        <v>62</v>
      </c>
      <c r="B63">
        <v>0</v>
      </c>
      <c r="C63">
        <v>0</v>
      </c>
      <c r="D63">
        <v>0</v>
      </c>
      <c r="E63">
        <v>0</v>
      </c>
      <c r="F63">
        <v>38584.589999999997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 x14ac:dyDescent="0.25">
      <c r="A64" t="s">
        <v>63</v>
      </c>
      <c r="B64">
        <v>0</v>
      </c>
      <c r="C64">
        <v>0</v>
      </c>
      <c r="D64">
        <v>1656.25</v>
      </c>
      <c r="E64">
        <v>236</v>
      </c>
      <c r="F64">
        <v>0</v>
      </c>
      <c r="G64">
        <v>392.5</v>
      </c>
      <c r="H64">
        <v>1679.97</v>
      </c>
      <c r="I64">
        <v>405</v>
      </c>
      <c r="J64">
        <v>824.35</v>
      </c>
      <c r="K64">
        <v>33</v>
      </c>
      <c r="L64">
        <v>0</v>
      </c>
      <c r="M64">
        <v>1850.2</v>
      </c>
    </row>
    <row r="65" spans="1:13" x14ac:dyDescent="0.25">
      <c r="A65" t="s">
        <v>64</v>
      </c>
      <c r="B65">
        <v>1641.67</v>
      </c>
      <c r="C65">
        <v>865.77</v>
      </c>
      <c r="D65">
        <v>710.86</v>
      </c>
      <c r="E65">
        <v>1780.1</v>
      </c>
      <c r="F65">
        <v>2928.11</v>
      </c>
      <c r="G65">
        <v>2405.9899999999998</v>
      </c>
      <c r="H65">
        <v>3624.82</v>
      </c>
      <c r="I65">
        <v>1408.13</v>
      </c>
      <c r="J65">
        <v>3065.94</v>
      </c>
      <c r="K65">
        <v>2255.7800000000002</v>
      </c>
      <c r="L65">
        <v>2172.0100000000002</v>
      </c>
      <c r="M65">
        <v>9523.42</v>
      </c>
    </row>
    <row r="66" spans="1:13" x14ac:dyDescent="0.25">
      <c r="A66" t="s">
        <v>65</v>
      </c>
      <c r="B66">
        <v>656.08</v>
      </c>
      <c r="C66">
        <v>964.54</v>
      </c>
      <c r="D66">
        <v>678.12</v>
      </c>
      <c r="E66">
        <v>306.83999999999997</v>
      </c>
      <c r="F66">
        <v>227.98</v>
      </c>
      <c r="G66">
        <v>286.56</v>
      </c>
      <c r="H66">
        <v>88.21</v>
      </c>
      <c r="I66">
        <v>270</v>
      </c>
      <c r="J66">
        <v>271.77999999999997</v>
      </c>
      <c r="K66">
        <v>2091.89</v>
      </c>
      <c r="L66">
        <v>5220.9799999999996</v>
      </c>
      <c r="M66">
        <v>2102.0700000000002</v>
      </c>
    </row>
    <row r="67" spans="1:13" x14ac:dyDescent="0.25">
      <c r="A67" t="s">
        <v>66</v>
      </c>
      <c r="B67">
        <v>641.1</v>
      </c>
      <c r="C67">
        <v>0</v>
      </c>
      <c r="D67">
        <v>843.21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20</v>
      </c>
    </row>
    <row r="68" spans="1:13" x14ac:dyDescent="0.25">
      <c r="A68" t="s">
        <v>67</v>
      </c>
      <c r="B68">
        <v>15725.77</v>
      </c>
      <c r="C68">
        <v>937.61</v>
      </c>
      <c r="D68">
        <v>1097.31</v>
      </c>
      <c r="E68">
        <v>654.39</v>
      </c>
      <c r="F68">
        <v>3017.94</v>
      </c>
      <c r="G68">
        <v>213.97</v>
      </c>
      <c r="H68">
        <v>261.49</v>
      </c>
      <c r="I68">
        <v>1207.03</v>
      </c>
      <c r="J68">
        <v>2240.5300000000002</v>
      </c>
      <c r="K68">
        <v>1102.08</v>
      </c>
      <c r="L68">
        <v>5414.91</v>
      </c>
      <c r="M68">
        <v>2612.04</v>
      </c>
    </row>
    <row r="69" spans="1:13" x14ac:dyDescent="0.25">
      <c r="A69" t="s">
        <v>68</v>
      </c>
      <c r="B69">
        <v>267.45</v>
      </c>
      <c r="C69">
        <v>1.1000000000000001</v>
      </c>
      <c r="D69">
        <v>0</v>
      </c>
      <c r="E69">
        <v>425.87</v>
      </c>
      <c r="F69">
        <v>592.45000000000005</v>
      </c>
      <c r="G69">
        <v>4093.02</v>
      </c>
      <c r="H69">
        <v>637.09</v>
      </c>
      <c r="I69">
        <v>549.01</v>
      </c>
      <c r="J69">
        <v>55.12</v>
      </c>
      <c r="K69">
        <v>0</v>
      </c>
      <c r="L69">
        <v>103.98</v>
      </c>
      <c r="M69">
        <v>163.53</v>
      </c>
    </row>
    <row r="70" spans="1:13" x14ac:dyDescent="0.25">
      <c r="A70" t="s">
        <v>69</v>
      </c>
      <c r="B70">
        <v>9225</v>
      </c>
      <c r="C70">
        <v>5919.2</v>
      </c>
      <c r="D70">
        <v>81635.59</v>
      </c>
      <c r="E70">
        <v>2620</v>
      </c>
      <c r="F70">
        <v>4525.5</v>
      </c>
      <c r="G70">
        <v>1650</v>
      </c>
      <c r="H70">
        <v>28985.58</v>
      </c>
      <c r="I70">
        <v>10843.57</v>
      </c>
      <c r="J70">
        <v>40625.730000000003</v>
      </c>
      <c r="K70">
        <v>17033.64</v>
      </c>
      <c r="L70">
        <v>4711</v>
      </c>
      <c r="M70">
        <v>14327.89</v>
      </c>
    </row>
    <row r="71" spans="1:13" x14ac:dyDescent="0.25">
      <c r="A71" t="s">
        <v>70</v>
      </c>
      <c r="B71">
        <v>121.27</v>
      </c>
      <c r="C71">
        <v>36.46</v>
      </c>
      <c r="D71">
        <v>0</v>
      </c>
      <c r="E71">
        <v>365.89</v>
      </c>
      <c r="F71">
        <v>71.430000000000007</v>
      </c>
      <c r="G71">
        <v>1087.76</v>
      </c>
      <c r="H71">
        <v>1754.05</v>
      </c>
      <c r="I71">
        <v>1835.96</v>
      </c>
      <c r="J71">
        <v>367.76</v>
      </c>
      <c r="K71">
        <v>855</v>
      </c>
      <c r="L71">
        <v>806.41</v>
      </c>
      <c r="M71">
        <v>15655.65</v>
      </c>
    </row>
    <row r="72" spans="1:13" x14ac:dyDescent="0.25">
      <c r="A72" t="s">
        <v>71</v>
      </c>
      <c r="B72">
        <v>603.44000000000005</v>
      </c>
      <c r="C72">
        <v>676.27</v>
      </c>
      <c r="D72">
        <v>3504.52</v>
      </c>
      <c r="E72">
        <v>169.99</v>
      </c>
      <c r="F72">
        <v>169.99</v>
      </c>
      <c r="G72">
        <v>0</v>
      </c>
      <c r="H72">
        <v>0</v>
      </c>
      <c r="I72">
        <v>0</v>
      </c>
      <c r="J72">
        <v>579.77</v>
      </c>
      <c r="K72">
        <v>7769.56</v>
      </c>
      <c r="L72">
        <v>169.99</v>
      </c>
      <c r="M72">
        <v>7969.99</v>
      </c>
    </row>
    <row r="73" spans="1:13" x14ac:dyDescent="0.25">
      <c r="A73" t="s">
        <v>72</v>
      </c>
      <c r="B73">
        <v>2919.53</v>
      </c>
      <c r="C73">
        <v>937.08</v>
      </c>
      <c r="D73">
        <v>2723</v>
      </c>
      <c r="E73">
        <v>2302</v>
      </c>
      <c r="F73">
        <v>6235.06</v>
      </c>
      <c r="G73">
        <v>3539.83</v>
      </c>
      <c r="H73">
        <v>3677.49</v>
      </c>
      <c r="I73">
        <v>3825.56</v>
      </c>
      <c r="J73">
        <v>11797.06</v>
      </c>
      <c r="K73">
        <v>8848.34</v>
      </c>
      <c r="L73">
        <v>11552.67</v>
      </c>
      <c r="M73">
        <v>13883.8</v>
      </c>
    </row>
    <row r="74" spans="1:13" x14ac:dyDescent="0.25">
      <c r="A74" t="s">
        <v>73</v>
      </c>
      <c r="B74">
        <v>2572.37</v>
      </c>
      <c r="C74">
        <v>2622.37</v>
      </c>
      <c r="D74">
        <v>4031.22</v>
      </c>
      <c r="E74">
        <v>4031.22</v>
      </c>
      <c r="F74">
        <v>3931.22</v>
      </c>
      <c r="G74">
        <v>3931.22</v>
      </c>
      <c r="H74">
        <v>18030.22</v>
      </c>
      <c r="I74">
        <v>19458.22</v>
      </c>
      <c r="J74">
        <v>23804.240000000002</v>
      </c>
      <c r="K74">
        <v>21990.86</v>
      </c>
      <c r="L74">
        <v>11160.21</v>
      </c>
      <c r="M74">
        <v>39496.93</v>
      </c>
    </row>
    <row r="75" spans="1:13" x14ac:dyDescent="0.25">
      <c r="A75" t="s">
        <v>74</v>
      </c>
      <c r="B75">
        <v>8577.7800000000007</v>
      </c>
      <c r="C75">
        <v>0</v>
      </c>
      <c r="D75">
        <v>6341.99</v>
      </c>
      <c r="E75">
        <v>4288.8900000000003</v>
      </c>
      <c r="F75">
        <v>614.70000000000005</v>
      </c>
      <c r="G75">
        <v>587.96</v>
      </c>
      <c r="H75">
        <v>7394.12</v>
      </c>
      <c r="I75">
        <v>1491.37</v>
      </c>
      <c r="J75">
        <v>5864.13</v>
      </c>
      <c r="K75">
        <v>6263.89</v>
      </c>
      <c r="L75">
        <v>3515.61</v>
      </c>
      <c r="M75">
        <v>0</v>
      </c>
    </row>
    <row r="76" spans="1:13" x14ac:dyDescent="0.25">
      <c r="A76" t="s">
        <v>75</v>
      </c>
      <c r="B76">
        <v>51.65</v>
      </c>
      <c r="C76">
        <v>0</v>
      </c>
      <c r="D76">
        <v>3916</v>
      </c>
      <c r="E76">
        <v>272.7</v>
      </c>
      <c r="F76">
        <v>0</v>
      </c>
      <c r="G76">
        <v>34.71</v>
      </c>
      <c r="H76">
        <v>8019.35</v>
      </c>
      <c r="I76">
        <v>122.23</v>
      </c>
      <c r="J76">
        <v>128.65</v>
      </c>
      <c r="K76">
        <v>3428.27</v>
      </c>
      <c r="L76">
        <v>220.32</v>
      </c>
      <c r="M76">
        <v>5308.3</v>
      </c>
    </row>
    <row r="77" spans="1:13" x14ac:dyDescent="0.25">
      <c r="A77" t="s">
        <v>76</v>
      </c>
      <c r="B77">
        <v>17172.59</v>
      </c>
      <c r="C77">
        <v>13553.58</v>
      </c>
      <c r="D77">
        <v>7027.69</v>
      </c>
      <c r="E77">
        <v>4717.04</v>
      </c>
      <c r="F77">
        <v>4026.53</v>
      </c>
      <c r="G77">
        <v>3899.13</v>
      </c>
      <c r="H77">
        <v>2580.23</v>
      </c>
      <c r="I77">
        <v>2853.15</v>
      </c>
      <c r="J77">
        <v>1293.57</v>
      </c>
      <c r="K77">
        <v>5009.01</v>
      </c>
      <c r="L77">
        <v>6501.94</v>
      </c>
      <c r="M77">
        <v>3451.57</v>
      </c>
    </row>
    <row r="78" spans="1:13" x14ac:dyDescent="0.25">
      <c r="A78" t="s">
        <v>77</v>
      </c>
      <c r="B78">
        <v>0</v>
      </c>
      <c r="C78">
        <v>0</v>
      </c>
      <c r="D78">
        <v>3978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 x14ac:dyDescent="0.25">
      <c r="A79" t="s">
        <v>78</v>
      </c>
      <c r="B79">
        <v>6171.78</v>
      </c>
      <c r="C79">
        <v>2039.27</v>
      </c>
      <c r="D79">
        <v>638.14</v>
      </c>
      <c r="E79">
        <v>319.69</v>
      </c>
      <c r="F79">
        <v>1799.42</v>
      </c>
      <c r="G79">
        <v>1278.69</v>
      </c>
      <c r="H79">
        <v>858.36</v>
      </c>
      <c r="I79">
        <v>8088.07</v>
      </c>
      <c r="J79">
        <v>6961.07</v>
      </c>
      <c r="K79">
        <v>3503.73</v>
      </c>
      <c r="L79">
        <v>761.91</v>
      </c>
      <c r="M79">
        <v>2783.25</v>
      </c>
    </row>
    <row r="80" spans="1:13" x14ac:dyDescent="0.25">
      <c r="A80" t="s">
        <v>79</v>
      </c>
      <c r="B80">
        <v>61.01</v>
      </c>
      <c r="C80">
        <v>0</v>
      </c>
      <c r="D80">
        <v>180.69</v>
      </c>
      <c r="E80">
        <v>231.1</v>
      </c>
      <c r="F80">
        <v>2875.33</v>
      </c>
      <c r="G80">
        <v>550.38</v>
      </c>
      <c r="H80">
        <v>667.41</v>
      </c>
      <c r="I80">
        <v>1931.76</v>
      </c>
      <c r="J80">
        <v>111.24</v>
      </c>
      <c r="K80">
        <v>17.91</v>
      </c>
      <c r="L80">
        <v>99.12</v>
      </c>
      <c r="M80">
        <v>0</v>
      </c>
    </row>
    <row r="81" spans="1:13" x14ac:dyDescent="0.25">
      <c r="A81" t="s">
        <v>80</v>
      </c>
      <c r="B81">
        <v>5432.6</v>
      </c>
      <c r="C81">
        <v>0</v>
      </c>
      <c r="D81">
        <v>382</v>
      </c>
      <c r="E81">
        <v>0</v>
      </c>
      <c r="F81">
        <v>1998.27</v>
      </c>
      <c r="G81">
        <v>273.70999999999998</v>
      </c>
      <c r="H81">
        <v>1175.6300000000001</v>
      </c>
      <c r="I81">
        <v>2544.7800000000002</v>
      </c>
      <c r="J81">
        <v>1466.76</v>
      </c>
      <c r="K81">
        <v>2958.28</v>
      </c>
      <c r="L81">
        <v>589.1</v>
      </c>
      <c r="M81">
        <v>1640.31</v>
      </c>
    </row>
    <row r="82" spans="1:13" x14ac:dyDescent="0.25">
      <c r="A82" t="s">
        <v>81</v>
      </c>
      <c r="B82">
        <v>1983.35</v>
      </c>
      <c r="C82">
        <v>1058.83</v>
      </c>
      <c r="D82">
        <v>2413.37</v>
      </c>
      <c r="E82">
        <v>1130.7</v>
      </c>
      <c r="F82">
        <v>3254.01</v>
      </c>
      <c r="G82">
        <v>3291.29</v>
      </c>
      <c r="H82">
        <v>1676.3</v>
      </c>
      <c r="I82">
        <v>1348.33</v>
      </c>
      <c r="J82">
        <v>1493.69</v>
      </c>
      <c r="K82">
        <v>3763.83</v>
      </c>
      <c r="L82">
        <v>1592.58</v>
      </c>
      <c r="M82">
        <v>4231.29</v>
      </c>
    </row>
    <row r="83" spans="1:13" x14ac:dyDescent="0.25">
      <c r="A83" t="s">
        <v>82</v>
      </c>
      <c r="B83">
        <v>0</v>
      </c>
      <c r="C83">
        <v>6226.19</v>
      </c>
      <c r="D83">
        <v>3727.77</v>
      </c>
      <c r="E83">
        <v>2123.2399999999998</v>
      </c>
      <c r="F83">
        <v>0</v>
      </c>
      <c r="G83">
        <v>0</v>
      </c>
      <c r="H83">
        <v>0</v>
      </c>
      <c r="I83">
        <v>1.53</v>
      </c>
      <c r="J83">
        <v>0</v>
      </c>
      <c r="K83">
        <v>8.5</v>
      </c>
      <c r="L83">
        <v>7265.59</v>
      </c>
      <c r="M83">
        <v>14653.54</v>
      </c>
    </row>
    <row r="84" spans="1:13" x14ac:dyDescent="0.25">
      <c r="A84" t="s">
        <v>83</v>
      </c>
      <c r="B84">
        <v>0</v>
      </c>
      <c r="C84">
        <v>0</v>
      </c>
      <c r="D84">
        <v>0</v>
      </c>
      <c r="E84">
        <v>1014.34</v>
      </c>
      <c r="F84">
        <v>36.85</v>
      </c>
      <c r="G84">
        <v>29</v>
      </c>
      <c r="H84">
        <v>759.61</v>
      </c>
      <c r="I84">
        <v>350</v>
      </c>
      <c r="J84">
        <v>0</v>
      </c>
      <c r="K84">
        <v>54.5</v>
      </c>
      <c r="L84">
        <v>50</v>
      </c>
      <c r="M84">
        <v>0</v>
      </c>
    </row>
    <row r="85" spans="1:13" x14ac:dyDescent="0.25">
      <c r="A85" t="s">
        <v>84</v>
      </c>
      <c r="B85">
        <v>1750.74</v>
      </c>
      <c r="C85">
        <v>1971.33</v>
      </c>
      <c r="D85">
        <v>1806.76</v>
      </c>
      <c r="E85">
        <v>1460.92</v>
      </c>
      <c r="F85">
        <v>1748.18</v>
      </c>
      <c r="G85">
        <v>1751.14</v>
      </c>
      <c r="H85">
        <v>1904.22</v>
      </c>
      <c r="I85">
        <v>2075.38</v>
      </c>
      <c r="J85">
        <v>2107.65</v>
      </c>
      <c r="K85">
        <v>2302</v>
      </c>
      <c r="L85">
        <v>3599.22</v>
      </c>
      <c r="M85">
        <v>2695.54</v>
      </c>
    </row>
    <row r="86" spans="1:13" x14ac:dyDescent="0.25">
      <c r="A86" t="s">
        <v>85</v>
      </c>
      <c r="B86">
        <v>0</v>
      </c>
      <c r="C86">
        <v>0</v>
      </c>
      <c r="D86">
        <v>0</v>
      </c>
      <c r="E86">
        <v>0</v>
      </c>
      <c r="F86">
        <v>309</v>
      </c>
      <c r="G86">
        <v>0</v>
      </c>
      <c r="H86">
        <v>103</v>
      </c>
      <c r="I86">
        <v>0</v>
      </c>
      <c r="J86">
        <v>0</v>
      </c>
      <c r="K86">
        <v>103</v>
      </c>
      <c r="L86">
        <v>0</v>
      </c>
      <c r="M86">
        <v>0</v>
      </c>
    </row>
    <row r="87" spans="1:13" x14ac:dyDescent="0.25">
      <c r="A87" t="s">
        <v>86</v>
      </c>
      <c r="B87">
        <v>9139.86</v>
      </c>
      <c r="C87">
        <v>13831.07</v>
      </c>
      <c r="D87">
        <v>13806.61</v>
      </c>
      <c r="E87">
        <v>12560.45</v>
      </c>
      <c r="F87">
        <v>10992.02</v>
      </c>
      <c r="G87">
        <v>19017.05</v>
      </c>
      <c r="H87">
        <v>11238.54</v>
      </c>
      <c r="I87">
        <v>562.54</v>
      </c>
      <c r="J87">
        <v>4549.8100000000004</v>
      </c>
      <c r="K87">
        <v>4819.1899999999996</v>
      </c>
      <c r="L87">
        <v>3239.11</v>
      </c>
      <c r="M87">
        <v>3280.01</v>
      </c>
    </row>
    <row r="88" spans="1:13" x14ac:dyDescent="0.25">
      <c r="A88" t="s">
        <v>87</v>
      </c>
      <c r="B88">
        <v>1999.17</v>
      </c>
      <c r="C88">
        <v>3380.41</v>
      </c>
      <c r="D88">
        <v>2303.19</v>
      </c>
      <c r="E88">
        <v>3164.59</v>
      </c>
      <c r="F88">
        <v>2140.9499999999998</v>
      </c>
      <c r="G88">
        <v>2754.84</v>
      </c>
      <c r="H88">
        <v>2030.08</v>
      </c>
      <c r="I88">
        <v>2229.48</v>
      </c>
      <c r="J88">
        <v>2702.57</v>
      </c>
      <c r="K88">
        <v>2930.86</v>
      </c>
      <c r="L88">
        <v>3582.9</v>
      </c>
      <c r="M88">
        <v>6447.98</v>
      </c>
    </row>
    <row r="89" spans="1:13" x14ac:dyDescent="0.25">
      <c r="A89" t="s">
        <v>88</v>
      </c>
      <c r="B89">
        <v>2349.3200000000002</v>
      </c>
      <c r="C89">
        <v>2183.19</v>
      </c>
      <c r="D89">
        <v>1091.4000000000001</v>
      </c>
      <c r="E89">
        <v>1944.54</v>
      </c>
      <c r="F89">
        <v>1331.97</v>
      </c>
      <c r="G89">
        <v>4771.1099999999997</v>
      </c>
      <c r="H89">
        <v>2246.25</v>
      </c>
      <c r="I89">
        <v>2854.09</v>
      </c>
      <c r="J89">
        <v>2860.83</v>
      </c>
      <c r="K89">
        <v>2941.16</v>
      </c>
      <c r="L89">
        <v>2038.49</v>
      </c>
      <c r="M89">
        <v>1828.98</v>
      </c>
    </row>
    <row r="90" spans="1:13" x14ac:dyDescent="0.25">
      <c r="A90" t="s">
        <v>89</v>
      </c>
      <c r="B90">
        <v>0</v>
      </c>
      <c r="C90">
        <v>0</v>
      </c>
      <c r="D90">
        <v>7735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1515.22</v>
      </c>
    </row>
    <row r="91" spans="1:13" x14ac:dyDescent="0.25">
      <c r="A91" t="s">
        <v>90</v>
      </c>
      <c r="B91">
        <v>0</v>
      </c>
      <c r="C91">
        <v>0</v>
      </c>
      <c r="D91">
        <v>0</v>
      </c>
      <c r="E91">
        <v>0</v>
      </c>
      <c r="F91">
        <v>-94.83</v>
      </c>
      <c r="G91">
        <v>-1337</v>
      </c>
      <c r="H91">
        <v>1431.83</v>
      </c>
      <c r="I91">
        <v>1515.22</v>
      </c>
      <c r="J91">
        <v>0</v>
      </c>
      <c r="K91">
        <v>0</v>
      </c>
      <c r="L91">
        <v>0</v>
      </c>
      <c r="M91">
        <v>-1465.22</v>
      </c>
    </row>
    <row r="92" spans="1:13" x14ac:dyDescent="0.25">
      <c r="A92" t="s">
        <v>91</v>
      </c>
      <c r="B92">
        <v>5088.1400000000003</v>
      </c>
      <c r="C92">
        <v>11421.73</v>
      </c>
      <c r="D92">
        <v>11097</v>
      </c>
      <c r="E92">
        <v>10390.030000000001</v>
      </c>
      <c r="F92">
        <v>9624.86</v>
      </c>
      <c r="G92">
        <v>8125.67</v>
      </c>
      <c r="H92">
        <v>8759.39</v>
      </c>
      <c r="I92">
        <v>-6056.77</v>
      </c>
      <c r="J92">
        <v>7768.49</v>
      </c>
      <c r="K92">
        <v>8443.31</v>
      </c>
      <c r="L92">
        <v>6688.87</v>
      </c>
      <c r="M92">
        <v>5698.23</v>
      </c>
    </row>
    <row r="93" spans="1:13" x14ac:dyDescent="0.25">
      <c r="A93" t="s">
        <v>92</v>
      </c>
      <c r="B93">
        <v>274944.03999999998</v>
      </c>
      <c r="C93">
        <v>253453.25999999992</v>
      </c>
      <c r="D93">
        <v>421980.36000000004</v>
      </c>
      <c r="E93">
        <v>257236.40000000011</v>
      </c>
      <c r="F93">
        <v>283626.78999999998</v>
      </c>
      <c r="G93">
        <v>251404.91999999993</v>
      </c>
      <c r="H93">
        <v>316493.50999999995</v>
      </c>
      <c r="I93">
        <v>348565.39000000013</v>
      </c>
      <c r="J93">
        <v>249349.01999999996</v>
      </c>
      <c r="K93">
        <v>233275.09000000003</v>
      </c>
      <c r="L93">
        <v>298075.75</v>
      </c>
      <c r="M93">
        <v>609603.90000000014</v>
      </c>
    </row>
    <row r="94" spans="1:13" x14ac:dyDescent="0.25">
      <c r="A94" t="s">
        <v>93</v>
      </c>
      <c r="B94">
        <v>-541938.17999999993</v>
      </c>
      <c r="C94">
        <v>-173718.43999999992</v>
      </c>
      <c r="D94">
        <v>239763.25000000006</v>
      </c>
      <c r="E94">
        <v>-43761.250000000087</v>
      </c>
      <c r="F94">
        <v>74515.73000000004</v>
      </c>
      <c r="G94">
        <v>13486.590000000084</v>
      </c>
      <c r="H94">
        <v>-4721.8999999999069</v>
      </c>
      <c r="I94">
        <v>-82622.280000000144</v>
      </c>
      <c r="J94">
        <v>55609.870000000054</v>
      </c>
      <c r="K94">
        <v>-100669.09000000003</v>
      </c>
      <c r="L94">
        <v>86865.290000000037</v>
      </c>
      <c r="M94">
        <v>-118345.68000000017</v>
      </c>
    </row>
    <row r="95" spans="1:13" x14ac:dyDescent="0.25">
      <c r="A95" t="s"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 x14ac:dyDescent="0.25">
      <c r="A96" t="s">
        <v>95</v>
      </c>
      <c r="B96">
        <v>1469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41273.56</v>
      </c>
      <c r="L96">
        <v>0</v>
      </c>
      <c r="M96">
        <v>0</v>
      </c>
    </row>
    <row r="97" spans="1:13" x14ac:dyDescent="0.25">
      <c r="A97" t="s">
        <v>96</v>
      </c>
      <c r="B97">
        <v>1469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41273.56</v>
      </c>
      <c r="L97">
        <v>0</v>
      </c>
      <c r="M97">
        <v>0</v>
      </c>
    </row>
    <row r="98" spans="1:13" x14ac:dyDescent="0.25">
      <c r="A98" t="s">
        <v>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 x14ac:dyDescent="0.25">
      <c r="A99" t="s"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71836.210000000006</v>
      </c>
    </row>
    <row r="100" spans="1:13" x14ac:dyDescent="0.25">
      <c r="A100" t="s">
        <v>99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71836.210000000006</v>
      </c>
    </row>
    <row r="101" spans="1:13" x14ac:dyDescent="0.25">
      <c r="A101" t="s">
        <v>100</v>
      </c>
      <c r="B101">
        <v>1469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41273.56</v>
      </c>
      <c r="L101">
        <v>0</v>
      </c>
      <c r="M101">
        <v>-71836.210000000006</v>
      </c>
    </row>
    <row r="102" spans="1:13" x14ac:dyDescent="0.25">
      <c r="A102" t="s">
        <v>101</v>
      </c>
      <c r="B102">
        <v>-540469.17999999993</v>
      </c>
      <c r="C102">
        <v>-173718.43999999992</v>
      </c>
      <c r="D102">
        <v>239763.25000000006</v>
      </c>
      <c r="E102">
        <v>-43761.250000000087</v>
      </c>
      <c r="F102">
        <v>74515.73000000004</v>
      </c>
      <c r="G102">
        <v>13486.590000000084</v>
      </c>
      <c r="H102">
        <v>-4721.8999999999069</v>
      </c>
      <c r="I102">
        <v>-82622.280000000144</v>
      </c>
      <c r="J102">
        <v>55609.870000000054</v>
      </c>
      <c r="K102">
        <v>-59395.530000000028</v>
      </c>
      <c r="L102">
        <v>86865.290000000037</v>
      </c>
      <c r="M102">
        <v>-190181.89000000019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3FA44-6279-4D13-BAD1-B43C7E87F6E7}">
  <sheetPr codeName="Sheet3"/>
  <dimension ref="A1:M119"/>
  <sheetViews>
    <sheetView workbookViewId="0"/>
  </sheetViews>
  <sheetFormatPr defaultRowHeight="15" x14ac:dyDescent="0.25"/>
  <cols>
    <col min="1" max="1" width="69.42578125" bestFit="1" customWidth="1"/>
    <col min="2" max="2" width="11.7109375" bestFit="1" customWidth="1"/>
    <col min="3" max="13" width="12.7109375" bestFit="1" customWidth="1"/>
  </cols>
  <sheetData>
    <row r="1" spans="1:13" x14ac:dyDescent="0.25">
      <c r="A1" t="s">
        <v>0</v>
      </c>
      <c r="B1" s="1">
        <v>45292</v>
      </c>
      <c r="C1" s="1">
        <v>45323</v>
      </c>
      <c r="D1" s="1">
        <v>45352</v>
      </c>
      <c r="E1" s="1">
        <v>45383</v>
      </c>
      <c r="F1" s="1">
        <v>45413</v>
      </c>
      <c r="G1" s="1">
        <v>45444</v>
      </c>
      <c r="H1" s="1">
        <v>45474</v>
      </c>
      <c r="I1" s="1">
        <v>45505</v>
      </c>
      <c r="J1" s="1">
        <v>45536</v>
      </c>
      <c r="K1" s="1">
        <v>45566</v>
      </c>
      <c r="L1" s="1">
        <v>45597</v>
      </c>
      <c r="M1" s="1">
        <v>45627</v>
      </c>
    </row>
    <row r="2" spans="1:13" x14ac:dyDescent="0.25">
      <c r="A2" t="s">
        <v>102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25">
      <c r="A3" t="s">
        <v>103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25">
      <c r="A4" t="s">
        <v>104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25">
      <c r="A5" t="s">
        <v>105</v>
      </c>
      <c r="B5">
        <v>170906.45</v>
      </c>
      <c r="C5">
        <v>38882.110000000015</v>
      </c>
      <c r="D5">
        <v>266297.2</v>
      </c>
      <c r="E5">
        <v>199553.96000000002</v>
      </c>
      <c r="F5">
        <v>85836.180000000022</v>
      </c>
      <c r="G5">
        <v>95201.500000000029</v>
      </c>
      <c r="H5">
        <v>130676.08000000003</v>
      </c>
      <c r="I5">
        <v>119943.55000000003</v>
      </c>
      <c r="J5">
        <v>46425.340000000026</v>
      </c>
      <c r="K5">
        <v>-8497.9399999999732</v>
      </c>
      <c r="L5">
        <v>81723.61000000003</v>
      </c>
      <c r="M5">
        <v>88856.630000000034</v>
      </c>
    </row>
    <row r="6" spans="1:13" x14ac:dyDescent="0.25">
      <c r="A6" t="s">
        <v>106</v>
      </c>
      <c r="B6">
        <v>67327.539999999994</v>
      </c>
      <c r="C6">
        <v>111570.9</v>
      </c>
      <c r="D6">
        <v>44014.39</v>
      </c>
      <c r="E6">
        <v>27414.66</v>
      </c>
      <c r="F6">
        <v>19608.72</v>
      </c>
      <c r="G6">
        <v>30857.88</v>
      </c>
      <c r="H6">
        <v>40649.64</v>
      </c>
      <c r="I6">
        <v>74883.38</v>
      </c>
      <c r="J6">
        <v>85720.77</v>
      </c>
      <c r="K6">
        <v>71650.02</v>
      </c>
      <c r="L6">
        <v>84307.650000000009</v>
      </c>
      <c r="M6">
        <v>220900.89</v>
      </c>
    </row>
    <row r="7" spans="1:13" x14ac:dyDescent="0.25">
      <c r="A7" t="s">
        <v>107</v>
      </c>
      <c r="B7">
        <v>576.74000000001979</v>
      </c>
      <c r="C7">
        <v>576.74000000001979</v>
      </c>
      <c r="D7">
        <v>576.74000000001979</v>
      </c>
      <c r="E7">
        <v>576.74000000001979</v>
      </c>
      <c r="F7">
        <v>152576.74000000002</v>
      </c>
      <c r="G7">
        <v>576.74000000001979</v>
      </c>
      <c r="H7">
        <v>576.74000000001979</v>
      </c>
      <c r="I7">
        <v>576.74000000001979</v>
      </c>
      <c r="J7">
        <v>576.74000000001979</v>
      </c>
      <c r="K7">
        <v>576.74000000001979</v>
      </c>
      <c r="L7">
        <v>576.74000000001979</v>
      </c>
      <c r="M7">
        <v>576.74000000001979</v>
      </c>
    </row>
    <row r="8" spans="1:13" x14ac:dyDescent="0.25">
      <c r="A8" t="s">
        <v>108</v>
      </c>
      <c r="B8">
        <v>184.52</v>
      </c>
      <c r="C8">
        <v>184.52</v>
      </c>
      <c r="D8">
        <v>184.52</v>
      </c>
      <c r="E8">
        <v>184.52</v>
      </c>
      <c r="F8">
        <v>184.52</v>
      </c>
      <c r="G8">
        <v>8278.9500000000007</v>
      </c>
      <c r="H8">
        <v>8278.9500000000007</v>
      </c>
      <c r="I8">
        <v>184.52000000000044</v>
      </c>
      <c r="J8">
        <v>184.52000000000044</v>
      </c>
      <c r="K8">
        <v>184.52000000000044</v>
      </c>
      <c r="L8">
        <v>184.52000000000044</v>
      </c>
      <c r="M8">
        <v>4.2632564145606011E-13</v>
      </c>
    </row>
    <row r="9" spans="1:13" x14ac:dyDescent="0.25">
      <c r="A9" t="s">
        <v>109</v>
      </c>
      <c r="B9">
        <v>74408.73</v>
      </c>
      <c r="C9">
        <v>44635.659999999996</v>
      </c>
      <c r="D9">
        <v>80738.679999999993</v>
      </c>
      <c r="E9">
        <v>66160.7</v>
      </c>
      <c r="F9">
        <v>61137.03</v>
      </c>
      <c r="G9">
        <v>61137.03</v>
      </c>
      <c r="H9">
        <v>74852.399999999994</v>
      </c>
      <c r="I9">
        <v>33815.409999999996</v>
      </c>
      <c r="J9">
        <v>185099.48</v>
      </c>
      <c r="K9">
        <v>134696.97</v>
      </c>
      <c r="L9">
        <v>105320.82</v>
      </c>
      <c r="M9">
        <v>111902.34000000001</v>
      </c>
    </row>
    <row r="10" spans="1:13" x14ac:dyDescent="0.25">
      <c r="A10" t="s">
        <v>110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111</v>
      </c>
      <c r="B11">
        <v>0</v>
      </c>
      <c r="C11">
        <v>0</v>
      </c>
      <c r="D11">
        <v>0</v>
      </c>
      <c r="E11">
        <v>-555</v>
      </c>
      <c r="F11">
        <v>1431.83</v>
      </c>
      <c r="G11">
        <v>1431.83</v>
      </c>
      <c r="H11">
        <v>5520.76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25">
      <c r="A12" t="s">
        <v>112</v>
      </c>
      <c r="B12">
        <v>313403.98</v>
      </c>
      <c r="C12">
        <v>195849.93000000002</v>
      </c>
      <c r="D12">
        <v>391811.53000000009</v>
      </c>
      <c r="E12">
        <v>293335.58</v>
      </c>
      <c r="F12">
        <v>320775.02000000008</v>
      </c>
      <c r="G12">
        <v>197483.93000000005</v>
      </c>
      <c r="H12">
        <v>260554.57000000007</v>
      </c>
      <c r="I12">
        <v>229403.60000000006</v>
      </c>
      <c r="J12">
        <v>318006.85000000009</v>
      </c>
      <c r="K12">
        <v>198610.31000000006</v>
      </c>
      <c r="L12">
        <v>272113.34000000008</v>
      </c>
      <c r="M12">
        <v>422236.60000000003</v>
      </c>
    </row>
    <row r="13" spans="1:13" x14ac:dyDescent="0.25">
      <c r="A13" t="s">
        <v>113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25">
      <c r="A14" t="s">
        <v>114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25">
      <c r="A15" t="s">
        <v>115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25">
      <c r="A16" t="s">
        <v>116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 t="s">
        <v>117</v>
      </c>
      <c r="B17">
        <v>0</v>
      </c>
      <c r="C17">
        <v>0</v>
      </c>
      <c r="D17">
        <v>0</v>
      </c>
      <c r="E17">
        <v>0</v>
      </c>
      <c r="F17">
        <v>1846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x14ac:dyDescent="0.25">
      <c r="A18" t="s">
        <v>118</v>
      </c>
      <c r="B18">
        <v>747.38</v>
      </c>
      <c r="C18">
        <v>747.38</v>
      </c>
      <c r="D18">
        <v>19358.440000000002</v>
      </c>
      <c r="E18">
        <v>28221.74</v>
      </c>
      <c r="F18">
        <v>25189.74</v>
      </c>
      <c r="G18">
        <v>30189.74</v>
      </c>
      <c r="H18">
        <v>30189.74</v>
      </c>
      <c r="I18">
        <v>28003.050000000003</v>
      </c>
      <c r="J18">
        <v>28003.050000000003</v>
      </c>
      <c r="K18">
        <v>28003.050000000003</v>
      </c>
      <c r="L18">
        <v>28003.050000000003</v>
      </c>
      <c r="M18">
        <v>28187.570000000003</v>
      </c>
    </row>
    <row r="19" spans="1:13" x14ac:dyDescent="0.25">
      <c r="A19" t="s">
        <v>119</v>
      </c>
      <c r="B19">
        <v>0</v>
      </c>
      <c r="C19">
        <v>0</v>
      </c>
      <c r="D19">
        <v>0</v>
      </c>
      <c r="E19">
        <v>0</v>
      </c>
      <c r="F19">
        <v>11849</v>
      </c>
      <c r="G19">
        <v>11849</v>
      </c>
      <c r="H19">
        <v>11849</v>
      </c>
      <c r="I19">
        <v>11849</v>
      </c>
      <c r="J19">
        <v>11849</v>
      </c>
      <c r="K19">
        <v>11849</v>
      </c>
      <c r="L19">
        <v>11849</v>
      </c>
      <c r="M19">
        <v>11849</v>
      </c>
    </row>
    <row r="20" spans="1:13" x14ac:dyDescent="0.25">
      <c r="A20" t="s">
        <v>120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25">
      <c r="A21" t="s">
        <v>121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 x14ac:dyDescent="0.25">
      <c r="A22" t="s">
        <v>122</v>
      </c>
      <c r="B22">
        <v>747.38</v>
      </c>
      <c r="C22">
        <v>747.38</v>
      </c>
      <c r="D22">
        <v>19358.440000000002</v>
      </c>
      <c r="E22">
        <v>28221.74</v>
      </c>
      <c r="F22">
        <v>38884.740000000005</v>
      </c>
      <c r="G22">
        <v>42038.740000000005</v>
      </c>
      <c r="H22">
        <v>42038.740000000005</v>
      </c>
      <c r="I22">
        <v>39852.050000000003</v>
      </c>
      <c r="J22">
        <v>39852.050000000003</v>
      </c>
      <c r="K22">
        <v>39852.050000000003</v>
      </c>
      <c r="L22">
        <v>39852.050000000003</v>
      </c>
      <c r="M22">
        <v>40036.570000000007</v>
      </c>
    </row>
    <row r="23" spans="1:13" x14ac:dyDescent="0.25">
      <c r="A23" t="s">
        <v>123</v>
      </c>
      <c r="B23">
        <v>314151.36</v>
      </c>
      <c r="C23">
        <v>196597.31000000003</v>
      </c>
      <c r="D23">
        <v>411169.97000000009</v>
      </c>
      <c r="E23">
        <v>321557.32</v>
      </c>
      <c r="F23">
        <v>359659.76000000007</v>
      </c>
      <c r="G23">
        <v>239522.67000000004</v>
      </c>
      <c r="H23">
        <v>302593.31000000006</v>
      </c>
      <c r="I23">
        <v>269255.65000000008</v>
      </c>
      <c r="J23">
        <v>357858.90000000008</v>
      </c>
      <c r="K23">
        <v>238462.36000000004</v>
      </c>
      <c r="L23">
        <v>311965.39000000007</v>
      </c>
      <c r="M23">
        <v>462273.17000000004</v>
      </c>
    </row>
    <row r="24" spans="1:13" x14ac:dyDescent="0.25">
      <c r="A24" t="s">
        <v>124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25">
      <c r="A25" t="s">
        <v>125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25">
      <c r="A26" t="s">
        <v>126</v>
      </c>
      <c r="B26">
        <v>887944.59</v>
      </c>
      <c r="C26">
        <v>887944.59</v>
      </c>
      <c r="D26">
        <v>887944.59</v>
      </c>
      <c r="E26">
        <v>887944.59</v>
      </c>
      <c r="F26">
        <v>887944.59</v>
      </c>
      <c r="G26">
        <v>887944.59</v>
      </c>
      <c r="H26">
        <v>887944.59</v>
      </c>
      <c r="I26">
        <v>887944.59</v>
      </c>
      <c r="J26">
        <v>979155.2</v>
      </c>
      <c r="K26">
        <v>1007973.58</v>
      </c>
      <c r="L26">
        <v>1007973.58</v>
      </c>
      <c r="M26">
        <v>798927.54999999993</v>
      </c>
    </row>
    <row r="27" spans="1:13" x14ac:dyDescent="0.25">
      <c r="A27" t="s">
        <v>127</v>
      </c>
      <c r="B27">
        <v>23657.119999999999</v>
      </c>
      <c r="C27">
        <v>23657.119999999999</v>
      </c>
      <c r="D27">
        <v>23657.119999999999</v>
      </c>
      <c r="E27">
        <v>23657.119999999999</v>
      </c>
      <c r="F27">
        <v>23657.119999999999</v>
      </c>
      <c r="G27">
        <v>23657.119999999999</v>
      </c>
      <c r="H27">
        <v>23657.119999999999</v>
      </c>
      <c r="I27">
        <v>23657.119999999999</v>
      </c>
      <c r="J27">
        <v>23657.119999999999</v>
      </c>
      <c r="K27">
        <v>23657.119999999999</v>
      </c>
      <c r="L27">
        <v>23657.119999999999</v>
      </c>
      <c r="M27">
        <v>4995.4500000000007</v>
      </c>
    </row>
    <row r="28" spans="1:13" x14ac:dyDescent="0.25">
      <c r="A28" t="s">
        <v>128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25">
      <c r="A29" t="s">
        <v>129</v>
      </c>
      <c r="B29">
        <v>54871.06</v>
      </c>
      <c r="C29">
        <v>54871.06</v>
      </c>
      <c r="D29">
        <v>54871.06</v>
      </c>
      <c r="E29">
        <v>54871.06</v>
      </c>
      <c r="F29">
        <v>54871.06</v>
      </c>
      <c r="G29">
        <v>54871.06</v>
      </c>
      <c r="H29">
        <v>54871.06</v>
      </c>
      <c r="I29">
        <v>54871.06</v>
      </c>
      <c r="J29">
        <v>54871.06</v>
      </c>
      <c r="K29">
        <v>54871.06</v>
      </c>
      <c r="L29">
        <v>54871.06</v>
      </c>
      <c r="M29">
        <v>0</v>
      </c>
    </row>
    <row r="30" spans="1:13" x14ac:dyDescent="0.25">
      <c r="A30" t="s">
        <v>130</v>
      </c>
      <c r="B30">
        <v>18384.43</v>
      </c>
      <c r="C30">
        <v>18384.43</v>
      </c>
      <c r="D30">
        <v>18384.43</v>
      </c>
      <c r="E30">
        <v>18384.43</v>
      </c>
      <c r="F30">
        <v>18384.43</v>
      </c>
      <c r="G30">
        <v>18384.43</v>
      </c>
      <c r="H30">
        <v>18384.43</v>
      </c>
      <c r="I30">
        <v>18384.43</v>
      </c>
      <c r="J30">
        <v>18384.43</v>
      </c>
      <c r="K30">
        <v>18384.43</v>
      </c>
      <c r="L30">
        <v>18384.43</v>
      </c>
      <c r="M30">
        <v>0</v>
      </c>
    </row>
    <row r="31" spans="1:13" x14ac:dyDescent="0.25">
      <c r="A31" t="s">
        <v>131</v>
      </c>
      <c r="B31">
        <v>103275.77</v>
      </c>
      <c r="C31">
        <v>172805.96000000002</v>
      </c>
      <c r="D31">
        <v>172805.96000000002</v>
      </c>
      <c r="E31">
        <v>172805.96000000002</v>
      </c>
      <c r="F31">
        <v>172805.96000000002</v>
      </c>
      <c r="G31">
        <v>172805.96000000002</v>
      </c>
      <c r="H31">
        <v>172805.96000000002</v>
      </c>
      <c r="I31">
        <v>172805.96000000002</v>
      </c>
      <c r="J31">
        <v>172805.96000000002</v>
      </c>
      <c r="K31">
        <v>193555.96000000002</v>
      </c>
      <c r="L31">
        <v>193555.96000000002</v>
      </c>
      <c r="M31">
        <v>193555.96000000002</v>
      </c>
    </row>
    <row r="32" spans="1:13" x14ac:dyDescent="0.25">
      <c r="A32" t="s">
        <v>132</v>
      </c>
      <c r="B32">
        <v>176531.26</v>
      </c>
      <c r="C32">
        <v>246061.45</v>
      </c>
      <c r="D32">
        <v>246061.45</v>
      </c>
      <c r="E32">
        <v>246061.45</v>
      </c>
      <c r="F32">
        <v>246061.45</v>
      </c>
      <c r="G32">
        <v>246061.45</v>
      </c>
      <c r="H32">
        <v>246061.45</v>
      </c>
      <c r="I32">
        <v>246061.45</v>
      </c>
      <c r="J32">
        <v>246061.45</v>
      </c>
      <c r="K32">
        <v>266811.45</v>
      </c>
      <c r="L32">
        <v>266811.45</v>
      </c>
      <c r="M32">
        <v>193555.96000000002</v>
      </c>
    </row>
    <row r="33" spans="1:13" x14ac:dyDescent="0.25">
      <c r="A33" t="s">
        <v>133</v>
      </c>
      <c r="B33">
        <v>33286.22</v>
      </c>
      <c r="C33">
        <v>33286.22</v>
      </c>
      <c r="D33">
        <v>33286.22</v>
      </c>
      <c r="E33">
        <v>33286.22</v>
      </c>
      <c r="F33">
        <v>33286.22</v>
      </c>
      <c r="G33">
        <v>33286.22</v>
      </c>
      <c r="H33">
        <v>33286.22</v>
      </c>
      <c r="I33">
        <v>33286.22</v>
      </c>
      <c r="J33">
        <v>33286.22</v>
      </c>
      <c r="K33">
        <v>38358.300000000003</v>
      </c>
      <c r="L33">
        <v>47272.060000000005</v>
      </c>
      <c r="M33">
        <v>41549.47</v>
      </c>
    </row>
    <row r="34" spans="1:13" x14ac:dyDescent="0.25">
      <c r="A34" t="s">
        <v>134</v>
      </c>
      <c r="B34">
        <v>761069.27</v>
      </c>
      <c r="C34">
        <v>761069.27</v>
      </c>
      <c r="D34">
        <v>761069.27</v>
      </c>
      <c r="E34">
        <v>761069.27</v>
      </c>
      <c r="F34">
        <v>811454.27</v>
      </c>
      <c r="G34">
        <v>932344.27</v>
      </c>
      <c r="H34">
        <v>932344.27</v>
      </c>
      <c r="I34">
        <v>932344.27</v>
      </c>
      <c r="J34">
        <v>932344.27</v>
      </c>
      <c r="K34">
        <v>932344.27</v>
      </c>
      <c r="L34">
        <v>932344.27</v>
      </c>
      <c r="M34">
        <v>916024.9</v>
      </c>
    </row>
    <row r="35" spans="1:13" x14ac:dyDescent="0.25">
      <c r="A35" t="s">
        <v>135</v>
      </c>
      <c r="B35">
        <v>48500</v>
      </c>
      <c r="C35">
        <v>48500</v>
      </c>
      <c r="D35">
        <v>48500</v>
      </c>
      <c r="E35">
        <v>48500</v>
      </c>
      <c r="F35">
        <v>48500</v>
      </c>
      <c r="G35">
        <v>48500</v>
      </c>
      <c r="H35">
        <v>48500</v>
      </c>
      <c r="I35">
        <v>48500</v>
      </c>
      <c r="J35">
        <v>48500</v>
      </c>
      <c r="K35">
        <v>48500</v>
      </c>
      <c r="L35">
        <v>48500</v>
      </c>
      <c r="M35">
        <v>48500</v>
      </c>
    </row>
    <row r="36" spans="1:13" x14ac:dyDescent="0.25">
      <c r="A36" t="s">
        <v>136</v>
      </c>
      <c r="B36">
        <v>70555.56</v>
      </c>
      <c r="C36">
        <v>70555.56</v>
      </c>
      <c r="D36">
        <v>70555.56</v>
      </c>
      <c r="E36">
        <v>70555.56</v>
      </c>
      <c r="F36">
        <v>70555.56</v>
      </c>
      <c r="G36">
        <v>70555.56</v>
      </c>
      <c r="H36">
        <v>70555.56</v>
      </c>
      <c r="I36">
        <v>70555.56</v>
      </c>
      <c r="J36">
        <v>70555.56</v>
      </c>
      <c r="K36">
        <v>70555.56</v>
      </c>
      <c r="L36">
        <v>70555.56</v>
      </c>
      <c r="M36">
        <v>70555.56</v>
      </c>
    </row>
    <row r="37" spans="1:13" x14ac:dyDescent="0.25">
      <c r="A37" t="s">
        <v>137</v>
      </c>
      <c r="B37">
        <v>880124.83000000007</v>
      </c>
      <c r="C37">
        <v>880124.83000000007</v>
      </c>
      <c r="D37">
        <v>880124.83000000007</v>
      </c>
      <c r="E37">
        <v>880124.83000000007</v>
      </c>
      <c r="F37">
        <v>930509.83000000007</v>
      </c>
      <c r="G37">
        <v>1051399.83</v>
      </c>
      <c r="H37">
        <v>1051399.83</v>
      </c>
      <c r="I37">
        <v>1051399.83</v>
      </c>
      <c r="J37">
        <v>1051399.83</v>
      </c>
      <c r="K37">
        <v>1051399.83</v>
      </c>
      <c r="L37">
        <v>1051399.83</v>
      </c>
      <c r="M37">
        <v>1035080.46</v>
      </c>
    </row>
    <row r="38" spans="1:13" x14ac:dyDescent="0.25">
      <c r="A38" t="s">
        <v>138</v>
      </c>
      <c r="B38">
        <v>-1047115.16</v>
      </c>
      <c r="C38">
        <v>-1047115.16</v>
      </c>
      <c r="D38">
        <v>-1047115.16</v>
      </c>
      <c r="E38">
        <v>-1047115.16</v>
      </c>
      <c r="F38">
        <v>-1047115.16</v>
      </c>
      <c r="G38">
        <v>-1047115.16</v>
      </c>
      <c r="H38">
        <v>-1047115.16</v>
      </c>
      <c r="I38">
        <v>-1047115.16</v>
      </c>
      <c r="J38">
        <v>-1047115.16</v>
      </c>
      <c r="K38">
        <v>-1047115.16</v>
      </c>
      <c r="L38">
        <v>-1047115.16</v>
      </c>
      <c r="M38">
        <v>-991109.9</v>
      </c>
    </row>
    <row r="39" spans="1:13" x14ac:dyDescent="0.25">
      <c r="A39" t="s">
        <v>139</v>
      </c>
      <c r="B39">
        <v>954428.86</v>
      </c>
      <c r="C39">
        <v>1023959.0499999999</v>
      </c>
      <c r="D39">
        <v>1023959.0499999999</v>
      </c>
      <c r="E39">
        <v>1023959.0499999999</v>
      </c>
      <c r="F39">
        <v>1074344.0499999998</v>
      </c>
      <c r="G39">
        <v>1195234.0499999998</v>
      </c>
      <c r="H39">
        <v>1195234.0499999998</v>
      </c>
      <c r="I39">
        <v>1195234.0499999998</v>
      </c>
      <c r="J39">
        <v>1286444.6600000001</v>
      </c>
      <c r="K39">
        <v>1341085.1200000001</v>
      </c>
      <c r="L39">
        <v>1349998.88</v>
      </c>
      <c r="M39">
        <v>1082998.9899999998</v>
      </c>
    </row>
    <row r="40" spans="1:13" x14ac:dyDescent="0.25">
      <c r="A40" t="s">
        <v>140</v>
      </c>
      <c r="B40">
        <v>954428.86</v>
      </c>
      <c r="C40">
        <v>1023959.0499999999</v>
      </c>
      <c r="D40">
        <v>1023959.0499999999</v>
      </c>
      <c r="E40">
        <v>1023959.0499999999</v>
      </c>
      <c r="F40">
        <v>1074344.0499999998</v>
      </c>
      <c r="G40">
        <v>1195234.0499999998</v>
      </c>
      <c r="H40">
        <v>1195234.0499999998</v>
      </c>
      <c r="I40">
        <v>1195234.0499999998</v>
      </c>
      <c r="J40">
        <v>1286444.6600000001</v>
      </c>
      <c r="K40">
        <v>1341085.1200000001</v>
      </c>
      <c r="L40">
        <v>1349998.88</v>
      </c>
      <c r="M40">
        <v>1082998.9899999998</v>
      </c>
    </row>
    <row r="41" spans="1:13" x14ac:dyDescent="0.25">
      <c r="A41" t="s">
        <v>141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25">
      <c r="A42" t="s">
        <v>142</v>
      </c>
      <c r="B42">
        <v>824</v>
      </c>
      <c r="C42">
        <v>824</v>
      </c>
      <c r="D42">
        <v>824</v>
      </c>
      <c r="E42">
        <v>824</v>
      </c>
      <c r="F42">
        <v>824</v>
      </c>
      <c r="G42">
        <v>824</v>
      </c>
      <c r="H42">
        <v>824</v>
      </c>
      <c r="I42">
        <v>824</v>
      </c>
      <c r="J42">
        <v>824</v>
      </c>
      <c r="K42">
        <v>824</v>
      </c>
      <c r="L42">
        <v>824</v>
      </c>
      <c r="M42">
        <v>0</v>
      </c>
    </row>
    <row r="43" spans="1:13" x14ac:dyDescent="0.25">
      <c r="A43" t="s">
        <v>143</v>
      </c>
      <c r="B43">
        <v>0</v>
      </c>
      <c r="C43">
        <v>0</v>
      </c>
      <c r="D43">
        <v>0</v>
      </c>
      <c r="E43">
        <v>700</v>
      </c>
      <c r="F43">
        <v>700</v>
      </c>
      <c r="G43">
        <v>700</v>
      </c>
      <c r="H43">
        <v>700</v>
      </c>
      <c r="I43">
        <v>700</v>
      </c>
      <c r="J43">
        <v>700</v>
      </c>
      <c r="K43">
        <v>700</v>
      </c>
      <c r="L43">
        <v>700</v>
      </c>
      <c r="M43">
        <v>700</v>
      </c>
    </row>
    <row r="44" spans="1:13" x14ac:dyDescent="0.25">
      <c r="A44" t="s">
        <v>144</v>
      </c>
      <c r="B44">
        <v>824</v>
      </c>
      <c r="C44">
        <v>824</v>
      </c>
      <c r="D44">
        <v>824</v>
      </c>
      <c r="E44">
        <v>1524</v>
      </c>
      <c r="F44">
        <v>1524</v>
      </c>
      <c r="G44">
        <v>1524</v>
      </c>
      <c r="H44">
        <v>1524</v>
      </c>
      <c r="I44">
        <v>1524</v>
      </c>
      <c r="J44">
        <v>1524</v>
      </c>
      <c r="K44">
        <v>1524</v>
      </c>
      <c r="L44">
        <v>1524</v>
      </c>
      <c r="M44">
        <v>700</v>
      </c>
    </row>
    <row r="45" spans="1:13" x14ac:dyDescent="0.25">
      <c r="A45" t="s">
        <v>145</v>
      </c>
      <c r="B45">
        <v>1269404.22</v>
      </c>
      <c r="C45">
        <v>1221380.3599999999</v>
      </c>
      <c r="D45">
        <v>1435953.02</v>
      </c>
      <c r="E45">
        <v>1347040.3699999999</v>
      </c>
      <c r="F45">
        <v>1435527.8099999998</v>
      </c>
      <c r="G45">
        <v>1436280.7199999997</v>
      </c>
      <c r="H45">
        <v>1499351.3599999999</v>
      </c>
      <c r="I45">
        <v>1466013.7</v>
      </c>
      <c r="J45">
        <v>1645827.5600000003</v>
      </c>
      <c r="K45">
        <v>1581071.4800000002</v>
      </c>
      <c r="L45">
        <v>1663488.27</v>
      </c>
      <c r="M45">
        <v>1545972.1599999997</v>
      </c>
    </row>
    <row r="46" spans="1:13" x14ac:dyDescent="0.25">
      <c r="A46" t="s">
        <v>146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25">
      <c r="A47" t="s">
        <v>147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25">
      <c r="A48" t="s">
        <v>148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25">
      <c r="A49" t="s">
        <v>149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150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25">
      <c r="A51" t="s">
        <v>151</v>
      </c>
      <c r="B51">
        <v>15476.72</v>
      </c>
      <c r="C51">
        <v>7848.3399999999992</v>
      </c>
      <c r="D51">
        <v>6781.2199999999993</v>
      </c>
      <c r="E51">
        <v>8776.119999999999</v>
      </c>
      <c r="F51">
        <v>6202.9399999999987</v>
      </c>
      <c r="G51">
        <v>11732.259999999998</v>
      </c>
      <c r="H51">
        <v>15515.469999999998</v>
      </c>
      <c r="I51">
        <v>8655.9099999999962</v>
      </c>
      <c r="J51">
        <v>9312.8799999999956</v>
      </c>
      <c r="K51">
        <v>3059.9199999999955</v>
      </c>
      <c r="L51">
        <v>19646.339999999993</v>
      </c>
      <c r="M51">
        <v>17417.709999999992</v>
      </c>
    </row>
    <row r="52" spans="1:13" x14ac:dyDescent="0.25">
      <c r="A52" t="s">
        <v>152</v>
      </c>
      <c r="B52">
        <v>32621.91</v>
      </c>
      <c r="C52">
        <v>23081.52</v>
      </c>
      <c r="D52">
        <v>76.290000000000873</v>
      </c>
      <c r="E52">
        <v>4558.5400000000009</v>
      </c>
      <c r="F52">
        <v>3321.2400000000007</v>
      </c>
      <c r="G52">
        <v>5889.4900000000007</v>
      </c>
      <c r="H52">
        <v>18385.43</v>
      </c>
      <c r="I52">
        <v>579.45000000000073</v>
      </c>
      <c r="J52">
        <v>16522.27</v>
      </c>
      <c r="K52">
        <v>24019.57</v>
      </c>
      <c r="L52">
        <v>4913.2099999999991</v>
      </c>
      <c r="M52">
        <v>32047.829999999998</v>
      </c>
    </row>
    <row r="53" spans="1:13" x14ac:dyDescent="0.25">
      <c r="A53" t="s">
        <v>153</v>
      </c>
      <c r="B53">
        <v>1754.21</v>
      </c>
      <c r="C53">
        <v>1974.46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25">
      <c r="A54" t="s">
        <v>154</v>
      </c>
      <c r="B54">
        <v>29485.98</v>
      </c>
      <c r="C54">
        <v>14813.039999999999</v>
      </c>
      <c r="D54">
        <v>7994.8399999999992</v>
      </c>
      <c r="E54">
        <v>2084.7199999999993</v>
      </c>
      <c r="F54">
        <v>16586.080000000002</v>
      </c>
      <c r="G54">
        <v>13327.130000000001</v>
      </c>
      <c r="H54">
        <v>13405.34</v>
      </c>
      <c r="I54">
        <v>23086.73</v>
      </c>
      <c r="J54">
        <v>16269.57</v>
      </c>
      <c r="K54">
        <v>21621.8</v>
      </c>
      <c r="L54">
        <v>1949.1499999999978</v>
      </c>
      <c r="M54">
        <v>8999.6899999999987</v>
      </c>
    </row>
    <row r="55" spans="1:13" x14ac:dyDescent="0.25">
      <c r="A55" t="s">
        <v>155</v>
      </c>
      <c r="B55">
        <v>0</v>
      </c>
      <c r="C55">
        <v>0</v>
      </c>
      <c r="D55">
        <v>0</v>
      </c>
      <c r="E55">
        <v>694.4</v>
      </c>
      <c r="F55">
        <v>694.4</v>
      </c>
      <c r="G55">
        <v>740.85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25">
      <c r="A56" t="s">
        <v>156</v>
      </c>
      <c r="B56">
        <v>0</v>
      </c>
      <c r="C56">
        <v>6506.06</v>
      </c>
      <c r="D56">
        <v>-3472.5299999999997</v>
      </c>
      <c r="E56">
        <v>-61.869999999999891</v>
      </c>
      <c r="F56">
        <v>1.0658141036401503E-13</v>
      </c>
      <c r="G56">
        <v>1.0658141036401503E-13</v>
      </c>
      <c r="H56">
        <v>11811.61</v>
      </c>
      <c r="I56">
        <v>0</v>
      </c>
      <c r="J56">
        <v>0</v>
      </c>
      <c r="K56">
        <v>10562.31</v>
      </c>
      <c r="L56">
        <v>0</v>
      </c>
      <c r="M56">
        <v>0</v>
      </c>
    </row>
    <row r="57" spans="1:13" x14ac:dyDescent="0.25">
      <c r="A57" t="s">
        <v>157</v>
      </c>
      <c r="B57">
        <v>4896.88</v>
      </c>
      <c r="C57">
        <v>9265.4700000000012</v>
      </c>
      <c r="D57">
        <v>9738.69</v>
      </c>
      <c r="E57">
        <v>117.54000000000087</v>
      </c>
      <c r="F57">
        <v>8.6686213762732223E-13</v>
      </c>
      <c r="G57">
        <v>8969.5300000000007</v>
      </c>
      <c r="H57">
        <v>7869.2400000000007</v>
      </c>
      <c r="I57">
        <v>7608.1600000000008</v>
      </c>
      <c r="J57">
        <v>10621.68</v>
      </c>
      <c r="K57">
        <v>2171.6200000000008</v>
      </c>
      <c r="L57">
        <v>9.0949470177292824E-13</v>
      </c>
      <c r="M57">
        <v>11.74000000000091</v>
      </c>
    </row>
    <row r="58" spans="1:13" x14ac:dyDescent="0.25">
      <c r="A58" t="s">
        <v>158</v>
      </c>
      <c r="B58">
        <v>1619.52</v>
      </c>
      <c r="C58">
        <v>209.98000000000002</v>
      </c>
      <c r="D58">
        <v>327.43</v>
      </c>
      <c r="E58">
        <v>0</v>
      </c>
      <c r="F58">
        <v>0</v>
      </c>
      <c r="G58">
        <v>628.16</v>
      </c>
      <c r="H58">
        <v>642.79</v>
      </c>
      <c r="I58">
        <v>367.99999999999994</v>
      </c>
      <c r="J58">
        <v>-5.6843418860808015E-14</v>
      </c>
      <c r="K58">
        <v>-5.6843418860808015E-14</v>
      </c>
      <c r="L58">
        <v>-5.6843418860808015E-14</v>
      </c>
      <c r="M58">
        <v>-5.6843418860808015E-14</v>
      </c>
    </row>
    <row r="59" spans="1:13" x14ac:dyDescent="0.25">
      <c r="A59" t="s">
        <v>159</v>
      </c>
      <c r="B59">
        <v>0</v>
      </c>
      <c r="C59">
        <v>126.33</v>
      </c>
      <c r="D59">
        <v>0</v>
      </c>
      <c r="E59">
        <v>0</v>
      </c>
      <c r="F59">
        <v>0</v>
      </c>
      <c r="G59">
        <v>0</v>
      </c>
      <c r="H59">
        <v>0</v>
      </c>
      <c r="I59">
        <v>336.64</v>
      </c>
      <c r="J59">
        <v>46.629999999999995</v>
      </c>
      <c r="K59">
        <v>-7.1054273576010019E-15</v>
      </c>
      <c r="L59">
        <v>-7.1054273576010019E-15</v>
      </c>
      <c r="M59">
        <v>-7.1054273576010019E-15</v>
      </c>
    </row>
    <row r="60" spans="1:13" x14ac:dyDescent="0.25">
      <c r="A60" t="s">
        <v>160</v>
      </c>
      <c r="B60">
        <v>0</v>
      </c>
      <c r="C60">
        <v>0</v>
      </c>
      <c r="D60">
        <v>30.56</v>
      </c>
      <c r="E60">
        <v>0</v>
      </c>
      <c r="F60">
        <v>0</v>
      </c>
      <c r="G60">
        <v>23.17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25">
      <c r="A61" t="s">
        <v>161</v>
      </c>
      <c r="B61">
        <v>67.039999999999992</v>
      </c>
      <c r="C61">
        <v>-1.4210854715202004E-14</v>
      </c>
      <c r="D61">
        <v>-1.4210854715202004E-14</v>
      </c>
      <c r="E61">
        <v>-1.4210854715202004E-14</v>
      </c>
      <c r="F61">
        <v>-1.4210854715202004E-14</v>
      </c>
      <c r="G61">
        <v>-1.4210854715202004E-14</v>
      </c>
      <c r="H61">
        <v>-1.4210854715202004E-14</v>
      </c>
      <c r="I61">
        <v>-1.4210854715202004E-14</v>
      </c>
      <c r="J61">
        <v>-1.4210854715202004E-14</v>
      </c>
      <c r="K61">
        <v>-1.4210854715202004E-14</v>
      </c>
      <c r="L61">
        <v>-1.4210854715202004E-14</v>
      </c>
      <c r="M61">
        <v>-1.4210854715202004E-14</v>
      </c>
    </row>
    <row r="62" spans="1:13" x14ac:dyDescent="0.25">
      <c r="A62" t="s">
        <v>162</v>
      </c>
      <c r="B62">
        <v>7556.7199999999993</v>
      </c>
      <c r="C62">
        <v>7536.1299999999992</v>
      </c>
      <c r="D62">
        <v>-9.0949470177292824E-13</v>
      </c>
      <c r="E62">
        <v>-9.0949470177292824E-13</v>
      </c>
      <c r="F62">
        <v>-9.0949470177292824E-13</v>
      </c>
      <c r="G62">
        <v>-9.0949470177292824E-13</v>
      </c>
      <c r="H62">
        <v>-9.0949470177292824E-13</v>
      </c>
      <c r="I62">
        <v>-9.0949470177292824E-13</v>
      </c>
      <c r="J62">
        <v>49.999999999999091</v>
      </c>
      <c r="K62">
        <v>-9.0949470177292824E-13</v>
      </c>
      <c r="L62">
        <v>-9.0949470177292824E-13</v>
      </c>
      <c r="M62">
        <v>-9.0949470177292824E-13</v>
      </c>
    </row>
    <row r="63" spans="1:13" x14ac:dyDescent="0.25">
      <c r="A63" t="s">
        <v>163</v>
      </c>
      <c r="B63">
        <v>93478.98</v>
      </c>
      <c r="C63">
        <v>71361.33</v>
      </c>
      <c r="D63">
        <v>21476.500000000004</v>
      </c>
      <c r="E63">
        <v>16169.45</v>
      </c>
      <c r="F63">
        <v>26804.660000000003</v>
      </c>
      <c r="G63">
        <v>41310.590000000004</v>
      </c>
      <c r="H63">
        <v>67629.87999999999</v>
      </c>
      <c r="I63">
        <v>40634.89</v>
      </c>
      <c r="J63">
        <v>52823.029999999992</v>
      </c>
      <c r="K63">
        <v>61435.219999999994</v>
      </c>
      <c r="L63">
        <v>26508.69999999999</v>
      </c>
      <c r="M63">
        <v>58476.969999999994</v>
      </c>
    </row>
    <row r="64" spans="1:13" x14ac:dyDescent="0.25">
      <c r="A64" t="s">
        <v>164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25">
      <c r="A65" t="s">
        <v>165</v>
      </c>
      <c r="B65">
        <v>210000</v>
      </c>
      <c r="C65">
        <v>360000</v>
      </c>
      <c r="D65">
        <v>375707.44</v>
      </c>
      <c r="E65">
        <v>375707.44</v>
      </c>
      <c r="F65">
        <v>367707.44</v>
      </c>
      <c r="G65">
        <v>215707.44</v>
      </c>
      <c r="H65">
        <v>255707.44</v>
      </c>
      <c r="I65">
        <v>318000</v>
      </c>
      <c r="J65">
        <v>360000</v>
      </c>
      <c r="K65">
        <v>360000</v>
      </c>
      <c r="L65">
        <v>400000</v>
      </c>
      <c r="M65">
        <v>400000</v>
      </c>
    </row>
    <row r="66" spans="1:13" x14ac:dyDescent="0.25">
      <c r="A66" t="s">
        <v>166</v>
      </c>
      <c r="B66">
        <v>0</v>
      </c>
      <c r="C66">
        <v>0</v>
      </c>
      <c r="D66">
        <v>17533.63</v>
      </c>
      <c r="E66">
        <v>-14640.48</v>
      </c>
      <c r="F66">
        <v>-14640.48</v>
      </c>
      <c r="G66">
        <v>-14822.48</v>
      </c>
      <c r="H66">
        <v>-14822.48</v>
      </c>
      <c r="I66">
        <v>-14822.48</v>
      </c>
      <c r="J66">
        <v>-14822.48</v>
      </c>
      <c r="K66">
        <v>-14822.48</v>
      </c>
      <c r="L66">
        <v>-14822.48</v>
      </c>
      <c r="M66">
        <v>0</v>
      </c>
    </row>
    <row r="67" spans="1:13" x14ac:dyDescent="0.25">
      <c r="A67" t="s">
        <v>167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 x14ac:dyDescent="0.25">
      <c r="A68" t="s">
        <v>168</v>
      </c>
      <c r="B68">
        <v>32174.11</v>
      </c>
      <c r="C68">
        <v>32174.11</v>
      </c>
      <c r="D68">
        <v>31648.95</v>
      </c>
      <c r="E68">
        <v>32380.280000000002</v>
      </c>
      <c r="F68">
        <v>15061.220000000001</v>
      </c>
      <c r="G68">
        <v>15061.220000000001</v>
      </c>
      <c r="H68">
        <v>15061.220000000001</v>
      </c>
      <c r="I68">
        <v>33832.43</v>
      </c>
      <c r="J68">
        <v>37046.629999999997</v>
      </c>
      <c r="K68">
        <v>15061.219999999998</v>
      </c>
      <c r="L68">
        <v>15061.219999999998</v>
      </c>
      <c r="M68">
        <v>-1.8189894035458565E-12</v>
      </c>
    </row>
    <row r="69" spans="1:13" x14ac:dyDescent="0.25">
      <c r="A69" t="s">
        <v>169</v>
      </c>
      <c r="B69">
        <v>546</v>
      </c>
      <c r="C69">
        <v>821.6</v>
      </c>
      <c r="D69">
        <v>947.49</v>
      </c>
      <c r="E69">
        <v>-122.52999999999997</v>
      </c>
      <c r="F69">
        <v>-118.08999999999997</v>
      </c>
      <c r="G69">
        <v>-67.259999999999977</v>
      </c>
      <c r="H69">
        <v>-33.219999999999978</v>
      </c>
      <c r="I69">
        <v>-28.349999999999977</v>
      </c>
      <c r="J69">
        <v>17.860000000000024</v>
      </c>
      <c r="K69">
        <v>88.270000000000024</v>
      </c>
      <c r="L69">
        <v>254.82000000000005</v>
      </c>
      <c r="M69">
        <v>599.23</v>
      </c>
    </row>
    <row r="70" spans="1:13" x14ac:dyDescent="0.25">
      <c r="A70" t="s">
        <v>170</v>
      </c>
      <c r="B70">
        <v>11107.67</v>
      </c>
      <c r="C70">
        <v>15942.2</v>
      </c>
      <c r="D70">
        <v>17170.580000000002</v>
      </c>
      <c r="E70">
        <v>14831.880000000001</v>
      </c>
      <c r="F70">
        <v>14906.95</v>
      </c>
      <c r="G70">
        <v>14896.83</v>
      </c>
      <c r="H70">
        <v>14768.91</v>
      </c>
      <c r="I70">
        <v>17559.89</v>
      </c>
      <c r="J70">
        <v>15549.8</v>
      </c>
      <c r="K70">
        <v>16389.649999999998</v>
      </c>
      <c r="L70">
        <v>17945.689999999999</v>
      </c>
      <c r="M70">
        <v>7005.3299999999981</v>
      </c>
    </row>
    <row r="71" spans="1:13" x14ac:dyDescent="0.25">
      <c r="A71" t="s">
        <v>171</v>
      </c>
      <c r="B71">
        <v>185.55</v>
      </c>
      <c r="C71">
        <v>271.78000000000003</v>
      </c>
      <c r="D71">
        <v>-604.71</v>
      </c>
      <c r="E71">
        <v>-922.32</v>
      </c>
      <c r="F71">
        <v>-917.88</v>
      </c>
      <c r="G71">
        <v>-915.18</v>
      </c>
      <c r="H71">
        <v>-936.62</v>
      </c>
      <c r="I71">
        <v>-935.41</v>
      </c>
      <c r="J71">
        <v>-920.01</v>
      </c>
      <c r="K71">
        <v>-926.45</v>
      </c>
      <c r="L71">
        <v>-894.86</v>
      </c>
      <c r="M71">
        <v>70.569999999999936</v>
      </c>
    </row>
    <row r="72" spans="1:13" x14ac:dyDescent="0.25">
      <c r="A72" t="s">
        <v>172</v>
      </c>
      <c r="B72">
        <v>549.91</v>
      </c>
      <c r="C72">
        <v>598.47</v>
      </c>
      <c r="D72">
        <v>977.02</v>
      </c>
      <c r="E72">
        <v>594</v>
      </c>
      <c r="F72">
        <v>657.4</v>
      </c>
      <c r="G72">
        <v>653.86</v>
      </c>
      <c r="H72">
        <v>983.88</v>
      </c>
      <c r="I72">
        <v>2198.0500000000002</v>
      </c>
      <c r="J72">
        <v>1354.46</v>
      </c>
      <c r="K72">
        <v>1656.17</v>
      </c>
      <c r="L72">
        <v>2067.25</v>
      </c>
      <c r="M72">
        <v>2811.42</v>
      </c>
    </row>
    <row r="73" spans="1:13" x14ac:dyDescent="0.25">
      <c r="A73" t="s">
        <v>173</v>
      </c>
      <c r="B73">
        <v>287.69</v>
      </c>
      <c r="C73">
        <v>464.34000000000003</v>
      </c>
      <c r="D73">
        <v>513</v>
      </c>
      <c r="E73">
        <v>0</v>
      </c>
      <c r="F73">
        <v>0</v>
      </c>
      <c r="G73">
        <v>264.99</v>
      </c>
      <c r="H73">
        <v>174.93</v>
      </c>
      <c r="I73">
        <v>248.01</v>
      </c>
      <c r="J73">
        <v>248.01</v>
      </c>
      <c r="K73">
        <v>206.5</v>
      </c>
      <c r="L73">
        <v>613.55999999999995</v>
      </c>
      <c r="M73">
        <v>1216.28</v>
      </c>
    </row>
    <row r="74" spans="1:13" x14ac:dyDescent="0.25">
      <c r="A74" t="s">
        <v>174</v>
      </c>
      <c r="B74">
        <v>167.5</v>
      </c>
      <c r="C74">
        <v>583.20000000000005</v>
      </c>
      <c r="D74">
        <v>1206.06</v>
      </c>
      <c r="E74">
        <v>413.03999999999996</v>
      </c>
      <c r="F74">
        <v>826.07999999999993</v>
      </c>
      <c r="G74">
        <v>1239.1199999999999</v>
      </c>
      <c r="H74">
        <v>413.03999999999985</v>
      </c>
      <c r="I74">
        <v>1052.1599999999999</v>
      </c>
      <c r="J74">
        <v>1496.9899999999998</v>
      </c>
      <c r="K74">
        <v>457.05999999999972</v>
      </c>
      <c r="L74">
        <v>914.11999999999966</v>
      </c>
      <c r="M74">
        <v>1371.1799999999996</v>
      </c>
    </row>
    <row r="75" spans="1:13" x14ac:dyDescent="0.25">
      <c r="A75" t="s">
        <v>175</v>
      </c>
      <c r="B75">
        <v>0</v>
      </c>
      <c r="C75">
        <v>195.46</v>
      </c>
      <c r="D75">
        <v>221</v>
      </c>
      <c r="E75">
        <v>221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1:13" x14ac:dyDescent="0.25">
      <c r="A76" t="s">
        <v>176</v>
      </c>
      <c r="B76">
        <v>402.25</v>
      </c>
      <c r="C76">
        <v>502.62</v>
      </c>
      <c r="D76">
        <v>567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1:13" x14ac:dyDescent="0.25">
      <c r="A77" t="s">
        <v>177</v>
      </c>
      <c r="B77">
        <v>45420.680000000008</v>
      </c>
      <c r="C77">
        <v>51553.78</v>
      </c>
      <c r="D77">
        <v>52646.39</v>
      </c>
      <c r="E77">
        <v>47395.350000000006</v>
      </c>
      <c r="F77">
        <v>30415.68</v>
      </c>
      <c r="G77">
        <v>31133.58</v>
      </c>
      <c r="H77">
        <v>30432.140000000007</v>
      </c>
      <c r="I77">
        <v>53926.78</v>
      </c>
      <c r="J77">
        <v>54793.739999999991</v>
      </c>
      <c r="K77">
        <v>32932.419999999991</v>
      </c>
      <c r="L77">
        <v>35961.799999999996</v>
      </c>
      <c r="M77">
        <v>13074.009999999997</v>
      </c>
    </row>
    <row r="78" spans="1:13" x14ac:dyDescent="0.25">
      <c r="A78" t="s">
        <v>178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 x14ac:dyDescent="0.25">
      <c r="A79" t="s">
        <v>179</v>
      </c>
      <c r="B79">
        <v>-990.56</v>
      </c>
      <c r="C79">
        <v>-1638.32</v>
      </c>
      <c r="D79">
        <v>-472.54999999999995</v>
      </c>
      <c r="E79">
        <v>-593.13</v>
      </c>
      <c r="F79">
        <v>-694.68</v>
      </c>
      <c r="G79">
        <v>-678.17</v>
      </c>
      <c r="H79">
        <v>-842.82999999999993</v>
      </c>
      <c r="I79">
        <v>-323.74999999999989</v>
      </c>
      <c r="J79">
        <v>-576.4799999999999</v>
      </c>
      <c r="K79">
        <v>-704.76999999999987</v>
      </c>
      <c r="L79">
        <v>-802.24999999999989</v>
      </c>
      <c r="M79">
        <v>1326.8000000000002</v>
      </c>
    </row>
    <row r="80" spans="1:13" x14ac:dyDescent="0.25">
      <c r="A80" t="s">
        <v>180</v>
      </c>
      <c r="B80">
        <v>148.91999999999999</v>
      </c>
      <c r="C80">
        <v>320.86</v>
      </c>
      <c r="D80">
        <v>597.77</v>
      </c>
      <c r="E80">
        <v>558.74</v>
      </c>
      <c r="F80">
        <v>535.25</v>
      </c>
      <c r="G80">
        <v>543.52</v>
      </c>
      <c r="H80">
        <v>502.95</v>
      </c>
      <c r="I80">
        <v>622.87</v>
      </c>
      <c r="J80">
        <v>570.51</v>
      </c>
      <c r="K80">
        <v>548.18999999999994</v>
      </c>
      <c r="L80">
        <v>526.44999999999993</v>
      </c>
      <c r="M80">
        <v>289.00999999999993</v>
      </c>
    </row>
    <row r="81" spans="1:13" x14ac:dyDescent="0.25">
      <c r="A81" t="s">
        <v>181</v>
      </c>
      <c r="B81">
        <v>0</v>
      </c>
      <c r="C81">
        <v>0</v>
      </c>
      <c r="D81">
        <v>0</v>
      </c>
      <c r="E81">
        <v>9.9499999999999993</v>
      </c>
      <c r="F81">
        <v>-13.5</v>
      </c>
      <c r="G81">
        <v>31.189999999999998</v>
      </c>
      <c r="H81">
        <v>6.6099999999999994</v>
      </c>
      <c r="I81">
        <v>81.19</v>
      </c>
      <c r="J81">
        <v>62.9</v>
      </c>
      <c r="K81">
        <v>43.91</v>
      </c>
      <c r="L81">
        <v>50.86</v>
      </c>
      <c r="M81">
        <v>279.36</v>
      </c>
    </row>
    <row r="82" spans="1:13" x14ac:dyDescent="0.25">
      <c r="A82" t="s">
        <v>182</v>
      </c>
      <c r="B82">
        <v>0</v>
      </c>
      <c r="C82">
        <v>0</v>
      </c>
      <c r="D82">
        <v>0</v>
      </c>
      <c r="E82">
        <v>-74.09</v>
      </c>
      <c r="F82">
        <v>-91.92</v>
      </c>
      <c r="G82">
        <v>-71.849999999999994</v>
      </c>
      <c r="H82">
        <v>-99.339999999999989</v>
      </c>
      <c r="I82">
        <v>8.2800000000000153</v>
      </c>
      <c r="J82">
        <v>-28.119999999999983</v>
      </c>
      <c r="K82">
        <v>-51.499999999999986</v>
      </c>
      <c r="L82">
        <v>-55.739999999999988</v>
      </c>
      <c r="M82">
        <v>328.15999999999997</v>
      </c>
    </row>
    <row r="83" spans="1:13" x14ac:dyDescent="0.25">
      <c r="A83" t="s">
        <v>183</v>
      </c>
      <c r="B83">
        <v>0</v>
      </c>
      <c r="C83">
        <v>0</v>
      </c>
      <c r="D83">
        <v>0</v>
      </c>
      <c r="E83">
        <v>-98.44</v>
      </c>
      <c r="F83">
        <v>-178.84</v>
      </c>
      <c r="G83">
        <v>-64.73</v>
      </c>
      <c r="H83">
        <v>-141.13999999999999</v>
      </c>
      <c r="I83">
        <v>146.54000000000002</v>
      </c>
      <c r="J83">
        <v>89.03000000000003</v>
      </c>
      <c r="K83">
        <v>54.340000000000032</v>
      </c>
      <c r="L83">
        <v>-23.699999999999974</v>
      </c>
      <c r="M83">
        <v>928.07</v>
      </c>
    </row>
    <row r="84" spans="1:13" x14ac:dyDescent="0.25">
      <c r="A84" t="s">
        <v>184</v>
      </c>
      <c r="B84">
        <v>0</v>
      </c>
      <c r="C84">
        <v>0</v>
      </c>
      <c r="D84">
        <v>297.16000000000003</v>
      </c>
      <c r="E84">
        <v>7428.76</v>
      </c>
      <c r="F84">
        <v>-3789.83</v>
      </c>
      <c r="G84">
        <v>-5439.57</v>
      </c>
      <c r="H84">
        <v>-5439.57</v>
      </c>
      <c r="I84">
        <v>-5439.57</v>
      </c>
      <c r="J84">
        <v>-5736.7199999999993</v>
      </c>
      <c r="K84">
        <v>-5712.6299999999992</v>
      </c>
      <c r="L84">
        <v>-5985.69</v>
      </c>
      <c r="M84">
        <v>7725.9000000000005</v>
      </c>
    </row>
    <row r="85" spans="1:13" x14ac:dyDescent="0.25">
      <c r="A85" t="s">
        <v>185</v>
      </c>
      <c r="B85">
        <v>26659.599999999999</v>
      </c>
      <c r="C85">
        <v>26659.599999999999</v>
      </c>
      <c r="D85">
        <v>26659.599999999999</v>
      </c>
      <c r="E85">
        <v>26659.599999999999</v>
      </c>
      <c r="F85">
        <v>26659.599999999999</v>
      </c>
      <c r="G85">
        <v>26659.599999999999</v>
      </c>
      <c r="H85">
        <v>26659.599999999999</v>
      </c>
      <c r="I85">
        <v>26659.599999999999</v>
      </c>
      <c r="J85">
        <v>26659.599999999999</v>
      </c>
      <c r="K85">
        <v>26659.599999999999</v>
      </c>
      <c r="L85">
        <v>26659.599999999999</v>
      </c>
      <c r="M85">
        <v>26659.599999999999</v>
      </c>
    </row>
    <row r="86" spans="1:13" x14ac:dyDescent="0.25">
      <c r="A86" t="s">
        <v>186</v>
      </c>
      <c r="B86">
        <v>25817.96</v>
      </c>
      <c r="C86">
        <v>25342.14</v>
      </c>
      <c r="D86">
        <v>27081.98</v>
      </c>
      <c r="E86">
        <v>33891.39</v>
      </c>
      <c r="F86">
        <v>22426.079999999998</v>
      </c>
      <c r="G86">
        <v>20979.989999999998</v>
      </c>
      <c r="H86">
        <v>20646.28</v>
      </c>
      <c r="I86">
        <v>21755.16</v>
      </c>
      <c r="J86">
        <v>21040.720000000001</v>
      </c>
      <c r="K86">
        <v>20837.14</v>
      </c>
      <c r="L86">
        <v>20369.53</v>
      </c>
      <c r="M86">
        <v>37536.9</v>
      </c>
    </row>
    <row r="87" spans="1:13" x14ac:dyDescent="0.25">
      <c r="A87" t="s">
        <v>187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25">
      <c r="A88" t="s">
        <v>188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 x14ac:dyDescent="0.25">
      <c r="A89" t="s">
        <v>189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 x14ac:dyDescent="0.25">
      <c r="A90" t="s">
        <v>190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21682.400000000001</v>
      </c>
      <c r="L90">
        <v>21682.400000000001</v>
      </c>
      <c r="M90">
        <v>19479.160000000003</v>
      </c>
    </row>
    <row r="91" spans="1:13" x14ac:dyDescent="0.25">
      <c r="A91" t="s">
        <v>191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 x14ac:dyDescent="0.25">
      <c r="A92" t="s">
        <v>192</v>
      </c>
      <c r="B92">
        <v>281238.64</v>
      </c>
      <c r="C92">
        <v>436895.92000000004</v>
      </c>
      <c r="D92">
        <v>472969.44</v>
      </c>
      <c r="E92">
        <v>442353.70000000007</v>
      </c>
      <c r="F92">
        <v>405908.72000000003</v>
      </c>
      <c r="G92">
        <v>252998.52999999997</v>
      </c>
      <c r="H92">
        <v>291963.38</v>
      </c>
      <c r="I92">
        <v>378859.46</v>
      </c>
      <c r="J92">
        <v>421011.98</v>
      </c>
      <c r="K92">
        <v>420629.48000000004</v>
      </c>
      <c r="L92">
        <v>463191.25</v>
      </c>
      <c r="M92">
        <v>470090.07000000007</v>
      </c>
    </row>
    <row r="93" spans="1:13" x14ac:dyDescent="0.25">
      <c r="A93" t="s">
        <v>193</v>
      </c>
      <c r="B93">
        <v>374717.62</v>
      </c>
      <c r="C93">
        <v>508257.25000000006</v>
      </c>
      <c r="D93">
        <v>494445.94</v>
      </c>
      <c r="E93">
        <v>458523.15000000008</v>
      </c>
      <c r="F93">
        <v>432713.38</v>
      </c>
      <c r="G93">
        <v>294309.12</v>
      </c>
      <c r="H93">
        <v>359593.26</v>
      </c>
      <c r="I93">
        <v>419494.35000000003</v>
      </c>
      <c r="J93">
        <v>473835.00999999995</v>
      </c>
      <c r="K93">
        <v>482064.7</v>
      </c>
      <c r="L93">
        <v>489699.95</v>
      </c>
      <c r="M93">
        <v>528567.04000000004</v>
      </c>
    </row>
    <row r="94" spans="1:13" x14ac:dyDescent="0.25">
      <c r="A94" t="s">
        <v>194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 x14ac:dyDescent="0.25">
      <c r="A95" t="s">
        <v>195</v>
      </c>
      <c r="B95">
        <v>89499.839999999997</v>
      </c>
      <c r="C95">
        <v>89499.839999999997</v>
      </c>
      <c r="D95">
        <v>89499.839999999997</v>
      </c>
      <c r="E95">
        <v>89499.839999999997</v>
      </c>
      <c r="F95">
        <v>89499.839999999997</v>
      </c>
      <c r="G95">
        <v>89499.839999999997</v>
      </c>
      <c r="H95">
        <v>89499.839999999997</v>
      </c>
      <c r="I95">
        <v>89499.839999999997</v>
      </c>
      <c r="J95">
        <v>89499.839999999997</v>
      </c>
      <c r="K95">
        <v>89499.839999999997</v>
      </c>
      <c r="L95">
        <v>89499.839999999997</v>
      </c>
      <c r="M95">
        <v>0</v>
      </c>
    </row>
    <row r="96" spans="1:13" x14ac:dyDescent="0.25">
      <c r="A96" t="s">
        <v>196</v>
      </c>
      <c r="B96">
        <v>12818.619999999999</v>
      </c>
      <c r="C96">
        <v>12430.179999999998</v>
      </c>
      <c r="D96">
        <v>12041.739999999998</v>
      </c>
      <c r="E96">
        <v>11653.299999999997</v>
      </c>
      <c r="F96">
        <v>11264.859999999997</v>
      </c>
      <c r="G96">
        <v>10876.419999999996</v>
      </c>
      <c r="H96">
        <v>10487.979999999996</v>
      </c>
      <c r="I96">
        <v>10099.539999999995</v>
      </c>
      <c r="J96">
        <v>9711.0999999999949</v>
      </c>
      <c r="K96">
        <v>9322.6599999999944</v>
      </c>
      <c r="L96">
        <v>8934.2199999999939</v>
      </c>
      <c r="M96">
        <v>8545.7799999999934</v>
      </c>
    </row>
    <row r="97" spans="1:13" x14ac:dyDescent="0.25">
      <c r="A97" t="s">
        <v>197</v>
      </c>
      <c r="B97">
        <v>8493.44</v>
      </c>
      <c r="C97">
        <v>7858.0800000000008</v>
      </c>
      <c r="D97">
        <v>7217.5600000000013</v>
      </c>
      <c r="E97">
        <v>6576.4300000000012</v>
      </c>
      <c r="F97">
        <v>5931.4500000000007</v>
      </c>
      <c r="G97">
        <v>5284.51</v>
      </c>
      <c r="H97">
        <v>4634.0600000000004</v>
      </c>
      <c r="I97">
        <v>3981.2500000000005</v>
      </c>
      <c r="J97">
        <v>3325.4900000000007</v>
      </c>
      <c r="K97">
        <v>2666.4700000000007</v>
      </c>
      <c r="L97">
        <v>2004.7700000000007</v>
      </c>
      <c r="M97">
        <v>1339.7900000000006</v>
      </c>
    </row>
    <row r="98" spans="1:13" x14ac:dyDescent="0.25">
      <c r="A98" t="s">
        <v>198</v>
      </c>
      <c r="B98">
        <v>21535.530000000002</v>
      </c>
      <c r="C98">
        <v>20677.150000000001</v>
      </c>
      <c r="D98">
        <v>19810.45</v>
      </c>
      <c r="E98">
        <v>18945.510000000002</v>
      </c>
      <c r="F98">
        <v>18075.140000000003</v>
      </c>
      <c r="G98">
        <v>17203.700000000004</v>
      </c>
      <c r="H98">
        <v>16326.910000000003</v>
      </c>
      <c r="I98">
        <v>15449.030000000004</v>
      </c>
      <c r="J98">
        <v>14567.750000000004</v>
      </c>
      <c r="K98">
        <v>13681.620000000004</v>
      </c>
      <c r="L98">
        <v>12793.720000000005</v>
      </c>
      <c r="M98">
        <v>11900.950000000004</v>
      </c>
    </row>
    <row r="99" spans="1:13" x14ac:dyDescent="0.25">
      <c r="A99" t="s">
        <v>199</v>
      </c>
      <c r="B99">
        <v>14568.76</v>
      </c>
      <c r="C99">
        <v>13828.14</v>
      </c>
      <c r="D99">
        <v>13081.58</v>
      </c>
      <c r="E99">
        <v>12335.39</v>
      </c>
      <c r="F99">
        <v>11584.91</v>
      </c>
      <c r="G99">
        <v>10833.289999999999</v>
      </c>
      <c r="H99">
        <v>10077.369999999999</v>
      </c>
      <c r="I99">
        <v>9319.9199999999983</v>
      </c>
      <c r="J99">
        <v>8559.7299999999977</v>
      </c>
      <c r="K99">
        <v>7795.5599999999977</v>
      </c>
      <c r="L99">
        <v>7029.5699999999979</v>
      </c>
      <c r="M99">
        <v>6259.8599999999979</v>
      </c>
    </row>
    <row r="100" spans="1:13" x14ac:dyDescent="0.25">
      <c r="A100" t="s">
        <v>200</v>
      </c>
      <c r="B100">
        <v>38989.82</v>
      </c>
      <c r="C100">
        <v>37759.760000000002</v>
      </c>
      <c r="D100">
        <v>36515.840000000004</v>
      </c>
      <c r="E100">
        <v>35276.280000000006</v>
      </c>
      <c r="F100">
        <v>34028.310000000005</v>
      </c>
      <c r="G100">
        <v>32779.65</v>
      </c>
      <c r="H100">
        <v>31522.550000000003</v>
      </c>
      <c r="I100">
        <v>30265.020000000004</v>
      </c>
      <c r="J100">
        <v>29002.590000000004</v>
      </c>
      <c r="K100">
        <v>27732.110000000004</v>
      </c>
      <c r="L100">
        <v>26460.710000000003</v>
      </c>
      <c r="M100">
        <v>25181.230000000003</v>
      </c>
    </row>
    <row r="101" spans="1:13" x14ac:dyDescent="0.25">
      <c r="A101" t="s">
        <v>201</v>
      </c>
      <c r="B101">
        <v>51054.200000000004</v>
      </c>
      <c r="C101">
        <v>50028.860000000008</v>
      </c>
      <c r="D101">
        <v>48999.890000000007</v>
      </c>
      <c r="E101">
        <v>47973.30000000001</v>
      </c>
      <c r="F101">
        <v>46937.05000000001</v>
      </c>
      <c r="G101">
        <v>46937.05000000001</v>
      </c>
      <c r="H101">
        <v>44859.210000000006</v>
      </c>
      <c r="I101">
        <v>43817.23</v>
      </c>
      <c r="J101">
        <v>42771.43</v>
      </c>
      <c r="K101">
        <v>41716.76</v>
      </c>
      <c r="L101">
        <v>41716.76</v>
      </c>
      <c r="M101">
        <v>39601.39</v>
      </c>
    </row>
    <row r="102" spans="1:13" x14ac:dyDescent="0.25">
      <c r="A102" t="s">
        <v>202</v>
      </c>
      <c r="B102">
        <v>60914.22</v>
      </c>
      <c r="C102">
        <v>59648.75</v>
      </c>
      <c r="D102">
        <v>58357.49</v>
      </c>
      <c r="E102">
        <v>57079.02</v>
      </c>
      <c r="F102">
        <v>55784.219999999994</v>
      </c>
      <c r="G102">
        <v>54492.239999999991</v>
      </c>
      <c r="H102">
        <v>53184.509999999987</v>
      </c>
      <c r="I102">
        <v>51879.099999999984</v>
      </c>
      <c r="J102">
        <v>50567.379999999983</v>
      </c>
      <c r="K102">
        <v>49240.019999999982</v>
      </c>
      <c r="L102">
        <v>47914.229999999981</v>
      </c>
      <c r="M102">
        <v>46573.82999999998</v>
      </c>
    </row>
    <row r="103" spans="1:13" x14ac:dyDescent="0.25">
      <c r="A103" t="s">
        <v>203</v>
      </c>
      <c r="B103">
        <v>59395.719999999994</v>
      </c>
      <c r="C103">
        <v>57920.249999999993</v>
      </c>
      <c r="D103">
        <v>56417.109999999993</v>
      </c>
      <c r="E103">
        <v>54925.509999999995</v>
      </c>
      <c r="F103">
        <v>53417.549999999996</v>
      </c>
      <c r="G103">
        <v>51910.46</v>
      </c>
      <c r="H103">
        <v>50386.93</v>
      </c>
      <c r="I103">
        <v>48864.68</v>
      </c>
      <c r="J103">
        <v>47334.06</v>
      </c>
      <c r="K103">
        <v>45787.649999999994</v>
      </c>
      <c r="L103">
        <v>44241.639999999992</v>
      </c>
      <c r="M103">
        <v>42679.759999999995</v>
      </c>
    </row>
    <row r="104" spans="1:13" x14ac:dyDescent="0.25">
      <c r="A104" t="s">
        <v>204</v>
      </c>
      <c r="B104">
        <v>62990</v>
      </c>
      <c r="C104">
        <v>62764.09</v>
      </c>
      <c r="D104">
        <v>60447.46</v>
      </c>
      <c r="E104">
        <v>59593.71</v>
      </c>
      <c r="F104">
        <v>58747.78</v>
      </c>
      <c r="G104">
        <v>57853.84</v>
      </c>
      <c r="H104">
        <v>56967.439999999995</v>
      </c>
      <c r="I104">
        <v>56088.219999999994</v>
      </c>
      <c r="J104">
        <v>55202.55999999999</v>
      </c>
      <c r="K104">
        <v>54323.44999999999</v>
      </c>
      <c r="L104">
        <v>53399.219999999987</v>
      </c>
      <c r="M104">
        <v>52481.26999999999</v>
      </c>
    </row>
    <row r="105" spans="1:13" x14ac:dyDescent="0.25">
      <c r="A105" t="s">
        <v>205</v>
      </c>
      <c r="B105">
        <v>0</v>
      </c>
      <c r="C105">
        <v>0</v>
      </c>
      <c r="D105">
        <v>0</v>
      </c>
      <c r="E105">
        <v>0</v>
      </c>
      <c r="F105">
        <v>50385</v>
      </c>
      <c r="G105">
        <v>50385</v>
      </c>
      <c r="H105">
        <v>49036.29</v>
      </c>
      <c r="I105">
        <v>49036.29</v>
      </c>
      <c r="J105">
        <v>47557.48</v>
      </c>
      <c r="K105">
        <v>46836.11</v>
      </c>
      <c r="L105">
        <v>46315.25</v>
      </c>
      <c r="M105">
        <v>45593.88</v>
      </c>
    </row>
    <row r="106" spans="1:13" x14ac:dyDescent="0.25">
      <c r="A106" t="s">
        <v>206</v>
      </c>
      <c r="B106">
        <v>40359.18</v>
      </c>
      <c r="C106">
        <v>40359.18</v>
      </c>
      <c r="D106">
        <v>38962.120000000003</v>
      </c>
      <c r="E106">
        <v>38264.18</v>
      </c>
      <c r="F106">
        <v>37247.840000000004</v>
      </c>
      <c r="G106">
        <v>36534.100000000006</v>
      </c>
      <c r="H106">
        <v>36115.410000000003</v>
      </c>
      <c r="I106">
        <v>35099.070000000007</v>
      </c>
      <c r="J106">
        <v>34377.670000000006</v>
      </c>
      <c r="K106">
        <v>33650.570000000007</v>
      </c>
      <c r="L106">
        <v>33185.420000000006</v>
      </c>
      <c r="M106">
        <v>32431.520000000004</v>
      </c>
    </row>
    <row r="107" spans="1:13" x14ac:dyDescent="0.25">
      <c r="A107" t="s">
        <v>207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120890</v>
      </c>
      <c r="H107">
        <v>120890</v>
      </c>
      <c r="I107">
        <v>119972.84</v>
      </c>
      <c r="J107">
        <v>118668.73</v>
      </c>
      <c r="K107">
        <v>117328.83</v>
      </c>
      <c r="L107">
        <v>116006.28</v>
      </c>
      <c r="M107">
        <v>114648.43</v>
      </c>
    </row>
    <row r="108" spans="1:13" x14ac:dyDescent="0.25">
      <c r="A108" t="s">
        <v>208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82089.55</v>
      </c>
      <c r="K108">
        <v>80063.47</v>
      </c>
      <c r="L108">
        <v>78059.740000000005</v>
      </c>
      <c r="M108">
        <v>75988.89</v>
      </c>
    </row>
    <row r="109" spans="1:13" x14ac:dyDescent="0.25">
      <c r="A109" t="s">
        <v>209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106800.81</v>
      </c>
    </row>
    <row r="110" spans="1:13" x14ac:dyDescent="0.25">
      <c r="A110" t="s">
        <v>210</v>
      </c>
      <c r="B110">
        <v>500000</v>
      </c>
      <c r="C110">
        <v>500000</v>
      </c>
      <c r="D110">
        <v>500000</v>
      </c>
      <c r="E110">
        <v>500000</v>
      </c>
      <c r="F110">
        <v>500000</v>
      </c>
      <c r="G110">
        <v>500000</v>
      </c>
      <c r="H110">
        <v>500000</v>
      </c>
      <c r="I110">
        <v>500000</v>
      </c>
      <c r="J110">
        <v>500000</v>
      </c>
      <c r="K110">
        <v>500000</v>
      </c>
      <c r="L110">
        <v>500000</v>
      </c>
      <c r="M110">
        <v>500000</v>
      </c>
    </row>
    <row r="111" spans="1:13" x14ac:dyDescent="0.25">
      <c r="A111" t="s">
        <v>211</v>
      </c>
      <c r="B111">
        <v>960619.33000000007</v>
      </c>
      <c r="C111">
        <v>952774.28</v>
      </c>
      <c r="D111">
        <v>941351.08000000007</v>
      </c>
      <c r="E111">
        <v>932122.47000000009</v>
      </c>
      <c r="F111">
        <v>972903.95</v>
      </c>
      <c r="G111">
        <v>1085480.1000000001</v>
      </c>
      <c r="H111">
        <v>1073988.5</v>
      </c>
      <c r="I111">
        <v>1063372.0299999998</v>
      </c>
      <c r="J111">
        <v>1133235.3599999999</v>
      </c>
      <c r="K111">
        <v>1119645.1200000001</v>
      </c>
      <c r="L111">
        <v>1107561.3699999999</v>
      </c>
      <c r="M111">
        <v>1110027.3899999999</v>
      </c>
    </row>
    <row r="112" spans="1:13" x14ac:dyDescent="0.25">
      <c r="A112" t="s">
        <v>212</v>
      </c>
      <c r="B112">
        <v>1335336.9500000002</v>
      </c>
      <c r="C112">
        <v>1461031.53</v>
      </c>
      <c r="D112">
        <v>1435797.02</v>
      </c>
      <c r="E112">
        <v>1390645.62</v>
      </c>
      <c r="F112">
        <v>1405617.33</v>
      </c>
      <c r="G112">
        <v>1379789.2200000002</v>
      </c>
      <c r="H112">
        <v>1433581.76</v>
      </c>
      <c r="I112">
        <v>1482866.38</v>
      </c>
      <c r="J112">
        <v>1607070.3699999999</v>
      </c>
      <c r="K112">
        <v>1601709.82</v>
      </c>
      <c r="L112">
        <v>1597261.3199999998</v>
      </c>
      <c r="M112">
        <v>1638594.43</v>
      </c>
    </row>
    <row r="113" spans="1:13" x14ac:dyDescent="0.25">
      <c r="A113" t="s">
        <v>213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 x14ac:dyDescent="0.25">
      <c r="A114" t="s">
        <v>214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5000</v>
      </c>
      <c r="H114">
        <v>5000</v>
      </c>
      <c r="I114">
        <v>5000</v>
      </c>
      <c r="J114">
        <v>5000</v>
      </c>
      <c r="K114">
        <v>5000</v>
      </c>
      <c r="L114">
        <v>5000</v>
      </c>
      <c r="M114">
        <v>5000</v>
      </c>
    </row>
    <row r="115" spans="1:13" x14ac:dyDescent="0.25">
      <c r="A115" t="s">
        <v>215</v>
      </c>
      <c r="B115">
        <v>-280814.03999999998</v>
      </c>
      <c r="C115">
        <v>-280814.03999999998</v>
      </c>
      <c r="D115">
        <v>-280770.12</v>
      </c>
      <c r="E115">
        <v>-280770.12</v>
      </c>
      <c r="F115">
        <v>-281770.12</v>
      </c>
      <c r="G115">
        <v>-273675.69</v>
      </c>
      <c r="H115">
        <v>-259675.69</v>
      </c>
      <c r="I115">
        <v>-259675.69</v>
      </c>
      <c r="J115">
        <v>-259675.69</v>
      </c>
      <c r="K115">
        <v>-259675.69</v>
      </c>
      <c r="L115">
        <v>-259675.69</v>
      </c>
      <c r="M115">
        <v>-228343.02000000002</v>
      </c>
    </row>
    <row r="116" spans="1:13" x14ac:dyDescent="0.25">
      <c r="A116" t="s">
        <v>216</v>
      </c>
      <c r="B116">
        <v>755350.49</v>
      </c>
      <c r="C116">
        <v>755350.49</v>
      </c>
      <c r="D116">
        <v>755350.49</v>
      </c>
      <c r="E116">
        <v>755350.49</v>
      </c>
      <c r="F116">
        <v>755350.49</v>
      </c>
      <c r="G116">
        <v>755350.49</v>
      </c>
      <c r="H116">
        <v>755350.49</v>
      </c>
      <c r="I116">
        <v>755350.49</v>
      </c>
      <c r="J116">
        <v>755350.49</v>
      </c>
      <c r="K116">
        <v>755350.49</v>
      </c>
      <c r="L116">
        <v>755350.49</v>
      </c>
      <c r="M116">
        <v>755350.49</v>
      </c>
    </row>
    <row r="117" spans="1:13" x14ac:dyDescent="0.25">
      <c r="A117" t="s">
        <v>101</v>
      </c>
      <c r="B117">
        <v>-540469.18000000005</v>
      </c>
      <c r="C117">
        <v>-714187.62000000011</v>
      </c>
      <c r="D117">
        <v>-474424.37</v>
      </c>
      <c r="E117">
        <v>-518185.62</v>
      </c>
      <c r="F117">
        <v>-443669.89</v>
      </c>
      <c r="G117">
        <v>-430183.30000000005</v>
      </c>
      <c r="H117">
        <v>-434905.19999999995</v>
      </c>
      <c r="I117">
        <v>-517527.4800000001</v>
      </c>
      <c r="J117">
        <v>-461917.6100000001</v>
      </c>
      <c r="K117">
        <v>-521313.14000000013</v>
      </c>
      <c r="L117">
        <v>-434447.85000000027</v>
      </c>
      <c r="M117">
        <v>-624629.74000000046</v>
      </c>
    </row>
    <row r="118" spans="1:13" x14ac:dyDescent="0.25">
      <c r="A118" t="s">
        <v>217</v>
      </c>
      <c r="B118">
        <v>-65932.73000000004</v>
      </c>
      <c r="C118">
        <v>-239651.1700000001</v>
      </c>
      <c r="D118">
        <v>156</v>
      </c>
      <c r="E118">
        <v>-43605.25</v>
      </c>
      <c r="F118">
        <v>29910.479999999981</v>
      </c>
      <c r="G118">
        <v>56491.499999999942</v>
      </c>
      <c r="H118">
        <v>65769.600000000035</v>
      </c>
      <c r="I118">
        <v>-16852.680000000109</v>
      </c>
      <c r="J118">
        <v>38757.189999999886</v>
      </c>
      <c r="K118">
        <v>-20638.340000000142</v>
      </c>
      <c r="L118">
        <v>66226.949999999721</v>
      </c>
      <c r="M118">
        <v>-92622.270000000484</v>
      </c>
    </row>
    <row r="119" spans="1:13" x14ac:dyDescent="0.25">
      <c r="A119" t="s">
        <v>218</v>
      </c>
      <c r="B119">
        <v>1269404.2200000002</v>
      </c>
      <c r="C119">
        <v>1221380.3599999999</v>
      </c>
      <c r="D119">
        <v>1435953.02</v>
      </c>
      <c r="E119">
        <v>1347040.37</v>
      </c>
      <c r="F119">
        <v>1435527.81</v>
      </c>
      <c r="G119">
        <v>1436280.7200000002</v>
      </c>
      <c r="H119">
        <v>1499351.36</v>
      </c>
      <c r="I119">
        <v>1466013.6999999997</v>
      </c>
      <c r="J119">
        <v>1645827.5599999998</v>
      </c>
      <c r="K119">
        <v>1581071.48</v>
      </c>
      <c r="L119">
        <v>1663488.2699999996</v>
      </c>
      <c r="M119">
        <v>1545972.1599999995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A4987-DB59-4178-8582-166EF087DBC8}">
  <sheetPr codeName="Sheet4"/>
  <dimension ref="A1:O105"/>
  <sheetViews>
    <sheetView workbookViewId="0"/>
  </sheetViews>
  <sheetFormatPr defaultRowHeight="15" x14ac:dyDescent="0.25"/>
  <cols>
    <col min="1" max="1" width="41.7109375" bestFit="1" customWidth="1"/>
    <col min="2" max="3" width="8.28515625" bestFit="1" customWidth="1"/>
    <col min="4" max="10" width="7.5703125" bestFit="1" customWidth="1"/>
    <col min="11" max="11" width="8.28515625" bestFit="1" customWidth="1"/>
    <col min="12" max="12" width="7.5703125" bestFit="1" customWidth="1"/>
    <col min="13" max="13" width="8.28515625" bestFit="1" customWidth="1"/>
  </cols>
  <sheetData>
    <row r="1" spans="1:15" ht="18.75" x14ac:dyDescent="0.3">
      <c r="A1" s="3" t="s">
        <v>219</v>
      </c>
    </row>
    <row r="2" spans="1:15" x14ac:dyDescent="0.25">
      <c r="A2" s="4" t="s">
        <v>220</v>
      </c>
    </row>
    <row r="4" spans="1:15" x14ac:dyDescent="0.25">
      <c r="A4" s="4" t="s">
        <v>0</v>
      </c>
      <c r="B4" s="5">
        <v>45292</v>
      </c>
      <c r="C4" s="5">
        <v>45323</v>
      </c>
      <c r="D4" s="5">
        <v>45352</v>
      </c>
      <c r="E4" s="5">
        <v>45383</v>
      </c>
      <c r="F4" s="5">
        <v>45413</v>
      </c>
      <c r="G4" s="5">
        <v>45444</v>
      </c>
      <c r="H4" s="5">
        <v>45474</v>
      </c>
      <c r="I4" s="5">
        <v>45505</v>
      </c>
      <c r="J4" s="5">
        <v>45536</v>
      </c>
      <c r="K4" s="5">
        <v>45566</v>
      </c>
      <c r="L4" s="5">
        <v>45597</v>
      </c>
      <c r="M4" s="5">
        <v>45627</v>
      </c>
      <c r="O4" t="s">
        <v>221</v>
      </c>
    </row>
    <row r="5" spans="1:15" x14ac:dyDescent="0.25">
      <c r="A5" t="s">
        <v>1</v>
      </c>
      <c r="B5" s="6">
        <f>SUMIF(Source_PL!$A:$A,$A5,Source_PL!B:B)</f>
        <v>0</v>
      </c>
      <c r="C5" s="6">
        <f>SUMIF(Source_PL!$A:$A,$A5,Source_PL!C:C)</f>
        <v>0</v>
      </c>
      <c r="D5" s="6">
        <f>SUMIF(Source_PL!$A:$A,$A5,Source_PL!D:D)</f>
        <v>0</v>
      </c>
      <c r="E5" s="6">
        <f>SUMIF(Source_PL!$A:$A,$A5,Source_PL!E:E)</f>
        <v>0</v>
      </c>
      <c r="F5" s="6">
        <f>SUMIF(Source_PL!$A:$A,$A5,Source_PL!F:F)</f>
        <v>0</v>
      </c>
      <c r="G5" s="6">
        <f>SUMIF(Source_PL!$A:$A,$A5,Source_PL!G:G)</f>
        <v>0</v>
      </c>
      <c r="H5" s="6">
        <f>SUMIF(Source_PL!$A:$A,$A5,Source_PL!H:H)</f>
        <v>0</v>
      </c>
      <c r="I5" s="6">
        <f>SUMIF(Source_PL!$A:$A,$A5,Source_PL!I:I)</f>
        <v>0</v>
      </c>
      <c r="J5" s="6">
        <f>SUMIF(Source_PL!$A:$A,$A5,Source_PL!J:J)</f>
        <v>0</v>
      </c>
      <c r="K5" s="6">
        <f>SUMIF(Source_PL!$A:$A,$A5,Source_PL!K:K)</f>
        <v>0</v>
      </c>
      <c r="L5" s="6">
        <f>SUMIF(Source_PL!$A:$A,$A5,Source_PL!L:L)</f>
        <v>0</v>
      </c>
      <c r="M5" s="6">
        <f>SUMIF(Source_PL!$A:$A,$A5,Source_PL!M:M)</f>
        <v>0</v>
      </c>
      <c r="O5" s="6">
        <f>SUM(B5:M5)</f>
        <v>0</v>
      </c>
    </row>
    <row r="6" spans="1:15" x14ac:dyDescent="0.25">
      <c r="A6" t="s">
        <v>2</v>
      </c>
      <c r="B6" s="6">
        <f>SUMIF(Source_PL!$A:$A,$A6,Source_PL!B:B)</f>
        <v>161373.18</v>
      </c>
      <c r="C6" s="6">
        <f>SUMIF(Source_PL!$A:$A,$A6,Source_PL!C:C)</f>
        <v>121704</v>
      </c>
      <c r="D6" s="6">
        <f>SUMIF(Source_PL!$A:$A,$A6,Source_PL!D:D)</f>
        <v>711615.3</v>
      </c>
      <c r="E6" s="6">
        <f>SUMIF(Source_PL!$A:$A,$A6,Source_PL!E:E)</f>
        <v>184733.67</v>
      </c>
      <c r="F6" s="6">
        <f>SUMIF(Source_PL!$A:$A,$A6,Source_PL!F:F)</f>
        <v>64915.92</v>
      </c>
      <c r="G6" s="6">
        <f>SUMIF(Source_PL!$A:$A,$A6,Source_PL!G:G)</f>
        <v>26798</v>
      </c>
      <c r="H6" s="6">
        <f>SUMIF(Source_PL!$A:$A,$A6,Source_PL!H:H)</f>
        <v>0</v>
      </c>
      <c r="I6" s="6">
        <f>SUMIF(Source_PL!$A:$A,$A6,Source_PL!I:I)</f>
        <v>0</v>
      </c>
      <c r="J6" s="6">
        <f>SUMIF(Source_PL!$A:$A,$A6,Source_PL!J:J)</f>
        <v>0</v>
      </c>
      <c r="K6" s="6">
        <f>SUMIF(Source_PL!$A:$A,$A6,Source_PL!K:K)</f>
        <v>22701.33</v>
      </c>
      <c r="L6" s="6">
        <f>SUMIF(Source_PL!$A:$A,$A6,Source_PL!L:L)</f>
        <v>0</v>
      </c>
      <c r="M6" s="6">
        <f>SUMIF(Source_PL!$A:$A,$A6,Source_PL!M:M)</f>
        <v>0</v>
      </c>
      <c r="O6" s="6">
        <f>SUM(B6:M6)</f>
        <v>1293841.3999999999</v>
      </c>
    </row>
    <row r="7" spans="1:15" x14ac:dyDescent="0.25">
      <c r="A7" t="s">
        <v>3</v>
      </c>
      <c r="B7" s="6">
        <f>SUMIF(Source_PL!$A:$A,$A7,Source_PL!B:B)</f>
        <v>0</v>
      </c>
      <c r="C7" s="6">
        <f>SUMIF(Source_PL!$A:$A,$A7,Source_PL!C:C)</f>
        <v>0</v>
      </c>
      <c r="D7" s="6">
        <f>SUMIF(Source_PL!$A:$A,$A7,Source_PL!D:D)</f>
        <v>0</v>
      </c>
      <c r="E7" s="6">
        <f>SUMIF(Source_PL!$A:$A,$A7,Source_PL!E:E)</f>
        <v>31071</v>
      </c>
      <c r="F7" s="6">
        <f>SUMIF(Source_PL!$A:$A,$A7,Source_PL!F:F)</f>
        <v>325952.78000000003</v>
      </c>
      <c r="G7" s="6">
        <f>SUMIF(Source_PL!$A:$A,$A7,Source_PL!G:G)</f>
        <v>112476.44</v>
      </c>
      <c r="H7" s="6">
        <f>SUMIF(Source_PL!$A:$A,$A7,Source_PL!H:H)</f>
        <v>319502.03000000003</v>
      </c>
      <c r="I7" s="6">
        <f>SUMIF(Source_PL!$A:$A,$A7,Source_PL!I:I)</f>
        <v>520745.67</v>
      </c>
      <c r="J7" s="6">
        <f>SUMIF(Source_PL!$A:$A,$A7,Source_PL!J:J)</f>
        <v>191940.76</v>
      </c>
      <c r="K7" s="6">
        <f>SUMIF(Source_PL!$A:$A,$A7,Source_PL!K:K)</f>
        <v>151783.79999999999</v>
      </c>
      <c r="L7" s="6">
        <f>SUMIF(Source_PL!$A:$A,$A7,Source_PL!L:L)</f>
        <v>445540.71</v>
      </c>
      <c r="M7" s="6">
        <f>SUMIF(Source_PL!$A:$A,$A7,Source_PL!M:M)</f>
        <v>536248.32999999996</v>
      </c>
      <c r="O7" s="6">
        <f>SUM(B7:M7)</f>
        <v>2635261.52</v>
      </c>
    </row>
    <row r="8" spans="1:15" x14ac:dyDescent="0.25">
      <c r="A8" t="s">
        <v>4</v>
      </c>
      <c r="B8" s="6">
        <f>SUMIF(Source_PL!$A:$A,$A8,Source_PL!B:B)</f>
        <v>0</v>
      </c>
      <c r="C8" s="6">
        <f>SUMIF(Source_PL!$A:$A,$A8,Source_PL!C:C)</f>
        <v>0</v>
      </c>
      <c r="D8" s="6">
        <f>SUMIF(Source_PL!$A:$A,$A8,Source_PL!D:D)</f>
        <v>0</v>
      </c>
      <c r="E8" s="6">
        <f>SUMIF(Source_PL!$A:$A,$A8,Source_PL!E:E)</f>
        <v>0</v>
      </c>
      <c r="F8" s="6">
        <f>SUMIF(Source_PL!$A:$A,$A8,Source_PL!F:F)</f>
        <v>1660</v>
      </c>
      <c r="G8" s="6">
        <f>SUMIF(Source_PL!$A:$A,$A8,Source_PL!G:G)</f>
        <v>116167.77</v>
      </c>
      <c r="H8" s="6">
        <f>SUMIF(Source_PL!$A:$A,$A8,Source_PL!H:H)</f>
        <v>115009.68</v>
      </c>
      <c r="I8" s="6">
        <f>SUMIF(Source_PL!$A:$A,$A8,Source_PL!I:I)</f>
        <v>48829.04</v>
      </c>
      <c r="J8" s="6">
        <f>SUMIF(Source_PL!$A:$A,$A8,Source_PL!J:J)</f>
        <v>246378.58</v>
      </c>
      <c r="K8" s="6">
        <f>SUMIF(Source_PL!$A:$A,$A8,Source_PL!K:K)</f>
        <v>147682.63</v>
      </c>
      <c r="L8" s="6">
        <f>SUMIF(Source_PL!$A:$A,$A8,Source_PL!L:L)</f>
        <v>147019.51999999999</v>
      </c>
      <c r="M8" s="6">
        <f>SUMIF(Source_PL!$A:$A,$A8,Source_PL!M:M)</f>
        <v>179550</v>
      </c>
      <c r="O8" s="6">
        <f>SUM(B8:M8)</f>
        <v>1002297.22</v>
      </c>
    </row>
    <row r="9" spans="1:15" x14ac:dyDescent="0.25">
      <c r="A9" t="s">
        <v>5</v>
      </c>
      <c r="B9" s="6">
        <f>SUMIF(Source_PL!$A:$A,$A9,Source_PL!B:B)</f>
        <v>4575</v>
      </c>
      <c r="C9" s="6">
        <f>SUMIF(Source_PL!$A:$A,$A9,Source_PL!C:C)</f>
        <v>0</v>
      </c>
      <c r="D9" s="6">
        <f>SUMIF(Source_PL!$A:$A,$A9,Source_PL!D:D)</f>
        <v>0</v>
      </c>
      <c r="E9" s="6">
        <f>SUMIF(Source_PL!$A:$A,$A9,Source_PL!E:E)</f>
        <v>0</v>
      </c>
      <c r="F9" s="6">
        <f>SUMIF(Source_PL!$A:$A,$A9,Source_PL!F:F)</f>
        <v>0</v>
      </c>
      <c r="G9" s="6">
        <f>SUMIF(Source_PL!$A:$A,$A9,Source_PL!G:G)</f>
        <v>9000</v>
      </c>
      <c r="H9" s="6">
        <f>SUMIF(Source_PL!$A:$A,$A9,Source_PL!H:H)</f>
        <v>0</v>
      </c>
      <c r="I9" s="6">
        <f>SUMIF(Source_PL!$A:$A,$A9,Source_PL!I:I)</f>
        <v>1607.77</v>
      </c>
      <c r="J9" s="6">
        <f>SUMIF(Source_PL!$A:$A,$A9,Source_PL!J:J)</f>
        <v>0</v>
      </c>
      <c r="K9" s="6">
        <f>SUMIF(Source_PL!$A:$A,$A9,Source_PL!K:K)</f>
        <v>0</v>
      </c>
      <c r="L9" s="6">
        <f>SUMIF(Source_PL!$A:$A,$A9,Source_PL!L:L)</f>
        <v>0</v>
      </c>
      <c r="M9" s="6">
        <f>SUMIF(Source_PL!$A:$A,$A9,Source_PL!M:M)</f>
        <v>0</v>
      </c>
      <c r="O9" s="6">
        <f>SUM(B9:M9)</f>
        <v>15182.77</v>
      </c>
    </row>
    <row r="10" spans="1:15" x14ac:dyDescent="0.25">
      <c r="A10" t="s">
        <v>6</v>
      </c>
      <c r="B10" s="6">
        <f>SUMIF(Source_PL!$A:$A,$A10,Source_PL!B:B)</f>
        <v>2.2200000000000002</v>
      </c>
      <c r="C10" s="6">
        <f>SUMIF(Source_PL!$A:$A,$A10,Source_PL!C:C)</f>
        <v>156.22</v>
      </c>
      <c r="D10" s="6">
        <f>SUMIF(Source_PL!$A:$A,$A10,Source_PL!D:D)</f>
        <v>214.52</v>
      </c>
      <c r="E10" s="6">
        <f>SUMIF(Source_PL!$A:$A,$A10,Source_PL!E:E)</f>
        <v>97.66</v>
      </c>
      <c r="F10" s="6">
        <f>SUMIF(Source_PL!$A:$A,$A10,Source_PL!F:F)</f>
        <v>111.99</v>
      </c>
      <c r="G10" s="6">
        <f>SUMIF(Source_PL!$A:$A,$A10,Source_PL!G:G)</f>
        <v>401.97</v>
      </c>
      <c r="H10" s="6">
        <f>SUMIF(Source_PL!$A:$A,$A10,Source_PL!H:H)</f>
        <v>40.5</v>
      </c>
      <c r="I10" s="6">
        <f>SUMIF(Source_PL!$A:$A,$A10,Source_PL!I:I)</f>
        <v>241.12</v>
      </c>
      <c r="J10" s="6">
        <f>SUMIF(Source_PL!$A:$A,$A10,Source_PL!J:J)</f>
        <v>0</v>
      </c>
      <c r="K10" s="6">
        <f>SUMIF(Source_PL!$A:$A,$A10,Source_PL!K:K)</f>
        <v>0</v>
      </c>
      <c r="L10" s="6">
        <f>SUMIF(Source_PL!$A:$A,$A10,Source_PL!L:L)</f>
        <v>485.92</v>
      </c>
      <c r="M10" s="6">
        <f>SUMIF(Source_PL!$A:$A,$A10,Source_PL!M:M)</f>
        <v>0</v>
      </c>
      <c r="O10" s="6">
        <f>SUM(B10:M10)</f>
        <v>1752.12</v>
      </c>
    </row>
    <row r="11" spans="1:15" x14ac:dyDescent="0.25">
      <c r="A11" t="s">
        <v>7</v>
      </c>
      <c r="B11" s="6">
        <f>SUMIF(Source_PL!$A:$A,$A11,Source_PL!B:B)</f>
        <v>-826.65</v>
      </c>
      <c r="C11" s="6">
        <f>SUMIF(Source_PL!$A:$A,$A11,Source_PL!C:C)</f>
        <v>-101.12</v>
      </c>
      <c r="D11" s="6">
        <f>SUMIF(Source_PL!$A:$A,$A11,Source_PL!D:D)</f>
        <v>-438.4</v>
      </c>
      <c r="E11" s="6">
        <f>SUMIF(Source_PL!$A:$A,$A11,Source_PL!E:E)</f>
        <v>-623.87</v>
      </c>
      <c r="F11" s="6">
        <f>SUMIF(Source_PL!$A:$A,$A11,Source_PL!F:F)</f>
        <v>-1056.2</v>
      </c>
      <c r="G11" s="6">
        <f>SUMIF(Source_PL!$A:$A,$A11,Source_PL!G:G)</f>
        <v>-22.2</v>
      </c>
      <c r="H11" s="6">
        <f>SUMIF(Source_PL!$A:$A,$A11,Source_PL!H:H)</f>
        <v>-846.7</v>
      </c>
      <c r="I11" s="6">
        <f>SUMIF(Source_PL!$A:$A,$A11,Source_PL!I:I)</f>
        <v>-419.42</v>
      </c>
      <c r="J11" s="6">
        <f>SUMIF(Source_PL!$A:$A,$A11,Source_PL!J:J)</f>
        <v>-392.82</v>
      </c>
      <c r="K11" s="6">
        <f>SUMIF(Source_PL!$A:$A,$A11,Source_PL!K:K)</f>
        <v>0</v>
      </c>
      <c r="L11" s="6">
        <f>SUMIF(Source_PL!$A:$A,$A11,Source_PL!L:L)</f>
        <v>-1824.96</v>
      </c>
      <c r="M11" s="6">
        <f>SUMIF(Source_PL!$A:$A,$A11,Source_PL!M:M)</f>
        <v>0</v>
      </c>
      <c r="O11" s="6">
        <f>SUM(B11:M11)</f>
        <v>-6552.3399999999992</v>
      </c>
    </row>
    <row r="12" spans="1:15" x14ac:dyDescent="0.25">
      <c r="A12" t="s">
        <v>8</v>
      </c>
      <c r="B12" s="6">
        <f>SUMIF(Source_PL!$A:$A,$A12,Source_PL!B:B)</f>
        <v>0</v>
      </c>
      <c r="C12" s="6">
        <f>SUMIF(Source_PL!$A:$A,$A12,Source_PL!C:C)</f>
        <v>0</v>
      </c>
      <c r="D12" s="6">
        <f>SUMIF(Source_PL!$A:$A,$A12,Source_PL!D:D)</f>
        <v>0</v>
      </c>
      <c r="E12" s="6">
        <f>SUMIF(Source_PL!$A:$A,$A12,Source_PL!E:E)</f>
        <v>0</v>
      </c>
      <c r="F12" s="6">
        <f>SUMIF(Source_PL!$A:$A,$A12,Source_PL!F:F)</f>
        <v>0</v>
      </c>
      <c r="G12" s="6">
        <f>SUMIF(Source_PL!$A:$A,$A12,Source_PL!G:G)</f>
        <v>7000</v>
      </c>
      <c r="H12" s="6">
        <f>SUMIF(Source_PL!$A:$A,$A12,Source_PL!H:H)</f>
        <v>0</v>
      </c>
      <c r="I12" s="6">
        <f>SUMIF(Source_PL!$A:$A,$A12,Source_PL!I:I)</f>
        <v>0</v>
      </c>
      <c r="J12" s="6">
        <f>SUMIF(Source_PL!$A:$A,$A12,Source_PL!J:J)</f>
        <v>0</v>
      </c>
      <c r="K12" s="6">
        <f>SUMIF(Source_PL!$A:$A,$A12,Source_PL!K:K)</f>
        <v>0</v>
      </c>
      <c r="L12" s="6">
        <f>SUMIF(Source_PL!$A:$A,$A12,Source_PL!L:L)</f>
        <v>0</v>
      </c>
      <c r="M12" s="6">
        <f>SUMIF(Source_PL!$A:$A,$A12,Source_PL!M:M)</f>
        <v>0</v>
      </c>
      <c r="O12" s="6">
        <f>SUM(B12:M12)</f>
        <v>7000</v>
      </c>
    </row>
    <row r="13" spans="1:15" x14ac:dyDescent="0.25">
      <c r="A13" t="s">
        <v>9</v>
      </c>
      <c r="B13" s="6">
        <f>SUMIF(Source_PL!$A:$A,$A13,Source_PL!B:B)</f>
        <v>0</v>
      </c>
      <c r="C13" s="6">
        <f>SUMIF(Source_PL!$A:$A,$A13,Source_PL!C:C)</f>
        <v>0</v>
      </c>
      <c r="D13" s="6">
        <f>SUMIF(Source_PL!$A:$A,$A13,Source_PL!D:D)</f>
        <v>0</v>
      </c>
      <c r="E13" s="6">
        <f>SUMIF(Source_PL!$A:$A,$A13,Source_PL!E:E)</f>
        <v>0</v>
      </c>
      <c r="F13" s="6">
        <f>SUMIF(Source_PL!$A:$A,$A13,Source_PL!F:F)</f>
        <v>0</v>
      </c>
      <c r="G13" s="6">
        <f>SUMIF(Source_PL!$A:$A,$A13,Source_PL!G:G)</f>
        <v>0</v>
      </c>
      <c r="H13" s="6">
        <f>SUMIF(Source_PL!$A:$A,$A13,Source_PL!H:H)</f>
        <v>5600</v>
      </c>
      <c r="I13" s="6">
        <f>SUMIF(Source_PL!$A:$A,$A13,Source_PL!I:I)</f>
        <v>5500</v>
      </c>
      <c r="J13" s="6">
        <f>SUMIF(Source_PL!$A:$A,$A13,Source_PL!J:J)</f>
        <v>0</v>
      </c>
      <c r="K13" s="6">
        <f>SUMIF(Source_PL!$A:$A,$A13,Source_PL!K:K)</f>
        <v>0</v>
      </c>
      <c r="L13" s="6">
        <f>SUMIF(Source_PL!$A:$A,$A13,Source_PL!L:L)</f>
        <v>4500</v>
      </c>
      <c r="M13" s="6">
        <f>SUMIF(Source_PL!$A:$A,$A13,Source_PL!M:M)</f>
        <v>0</v>
      </c>
      <c r="O13" s="6">
        <f>SUM(B13:M13)</f>
        <v>15600</v>
      </c>
    </row>
    <row r="14" spans="1:15" x14ac:dyDescent="0.25">
      <c r="A14" s="7" t="s">
        <v>10</v>
      </c>
      <c r="B14" s="9">
        <f>SUMIF(Source_PL!$A:$A,$A14,Source_PL!B:B)</f>
        <v>165123.75</v>
      </c>
      <c r="C14" s="9">
        <f>SUMIF(Source_PL!$A:$A,$A14,Source_PL!C:C)</f>
        <v>121759.1</v>
      </c>
      <c r="D14" s="9">
        <f>SUMIF(Source_PL!$A:$A,$A14,Source_PL!D:D)</f>
        <v>711391.42</v>
      </c>
      <c r="E14" s="9">
        <f>SUMIF(Source_PL!$A:$A,$A14,Source_PL!E:E)</f>
        <v>215278.46000000002</v>
      </c>
      <c r="F14" s="9">
        <f>SUMIF(Source_PL!$A:$A,$A14,Source_PL!F:F)</f>
        <v>391584.49</v>
      </c>
      <c r="G14" s="9">
        <f>SUMIF(Source_PL!$A:$A,$A14,Source_PL!G:G)</f>
        <v>271821.98</v>
      </c>
      <c r="H14" s="9">
        <f>SUMIF(Source_PL!$A:$A,$A14,Source_PL!H:H)</f>
        <v>439305.51</v>
      </c>
      <c r="I14" s="9">
        <f>SUMIF(Source_PL!$A:$A,$A14,Source_PL!I:I)</f>
        <v>576504.17999999993</v>
      </c>
      <c r="J14" s="9">
        <f>SUMIF(Source_PL!$A:$A,$A14,Source_PL!J:J)</f>
        <v>437926.51999999996</v>
      </c>
      <c r="K14" s="9">
        <f>SUMIF(Source_PL!$A:$A,$A14,Source_PL!K:K)</f>
        <v>322167.76</v>
      </c>
      <c r="L14" s="9">
        <f>SUMIF(Source_PL!$A:$A,$A14,Source_PL!L:L)</f>
        <v>595721.19000000006</v>
      </c>
      <c r="M14" s="9">
        <f>SUMIF(Source_PL!$A:$A,$A14,Source_PL!M:M)</f>
        <v>715798.33</v>
      </c>
      <c r="N14" s="8"/>
      <c r="O14" s="9">
        <f>SUM(B14:M14)</f>
        <v>4964382.6900000004</v>
      </c>
    </row>
    <row r="15" spans="1:15" x14ac:dyDescent="0.25">
      <c r="A15" t="s">
        <v>11</v>
      </c>
      <c r="B15" s="6">
        <f>SUMIF(Source_PL!$A:$A,$A15,Source_PL!B:B)</f>
        <v>0</v>
      </c>
      <c r="C15" s="6">
        <f>SUMIF(Source_PL!$A:$A,$A15,Source_PL!C:C)</f>
        <v>0</v>
      </c>
      <c r="D15" s="6">
        <f>SUMIF(Source_PL!$A:$A,$A15,Source_PL!D:D)</f>
        <v>0</v>
      </c>
      <c r="E15" s="6">
        <f>SUMIF(Source_PL!$A:$A,$A15,Source_PL!E:E)</f>
        <v>1755.1</v>
      </c>
      <c r="F15" s="6">
        <f>SUMIF(Source_PL!$A:$A,$A15,Source_PL!F:F)</f>
        <v>0</v>
      </c>
      <c r="G15" s="6">
        <f>SUMIF(Source_PL!$A:$A,$A15,Source_PL!G:G)</f>
        <v>0</v>
      </c>
      <c r="H15" s="6">
        <f>SUMIF(Source_PL!$A:$A,$A15,Source_PL!H:H)</f>
        <v>0</v>
      </c>
      <c r="I15" s="6">
        <f>SUMIF(Source_PL!$A:$A,$A15,Source_PL!I:I)</f>
        <v>0</v>
      </c>
      <c r="J15" s="6">
        <f>SUMIF(Source_PL!$A:$A,$A15,Source_PL!J:J)</f>
        <v>0</v>
      </c>
      <c r="K15" s="6">
        <f>SUMIF(Source_PL!$A:$A,$A15,Source_PL!K:K)</f>
        <v>0</v>
      </c>
      <c r="L15" s="6">
        <f>SUMIF(Source_PL!$A:$A,$A15,Source_PL!L:L)</f>
        <v>0</v>
      </c>
      <c r="M15" s="6">
        <f>SUMIF(Source_PL!$A:$A,$A15,Source_PL!M:M)</f>
        <v>0</v>
      </c>
      <c r="O15" s="6">
        <f>SUM(B15:M15)</f>
        <v>1755.1</v>
      </c>
    </row>
    <row r="16" spans="1:15" x14ac:dyDescent="0.25">
      <c r="A16" t="s">
        <v>12</v>
      </c>
      <c r="B16" s="6">
        <f>SUMIF(Source_PL!$A:$A,$A16,Source_PL!B:B)</f>
        <v>0</v>
      </c>
      <c r="C16" s="6">
        <f>SUMIF(Source_PL!$A:$A,$A16,Source_PL!C:C)</f>
        <v>0</v>
      </c>
      <c r="D16" s="6">
        <f>SUMIF(Source_PL!$A:$A,$A16,Source_PL!D:D)</f>
        <v>0</v>
      </c>
      <c r="E16" s="6">
        <f>SUMIF(Source_PL!$A:$A,$A16,Source_PL!E:E)</f>
        <v>0</v>
      </c>
      <c r="F16" s="6">
        <f>SUMIF(Source_PL!$A:$A,$A16,Source_PL!F:F)</f>
        <v>0</v>
      </c>
      <c r="G16" s="6">
        <f>SUMIF(Source_PL!$A:$A,$A16,Source_PL!G:G)</f>
        <v>0</v>
      </c>
      <c r="H16" s="6">
        <f>SUMIF(Source_PL!$A:$A,$A16,Source_PL!H:H)</f>
        <v>1607.77</v>
      </c>
      <c r="I16" s="6">
        <f>SUMIF(Source_PL!$A:$A,$A16,Source_PL!I:I)</f>
        <v>-1607.77</v>
      </c>
      <c r="J16" s="6">
        <f>SUMIF(Source_PL!$A:$A,$A16,Source_PL!J:J)</f>
        <v>18338.400000000001</v>
      </c>
      <c r="K16" s="6">
        <f>SUMIF(Source_PL!$A:$A,$A16,Source_PL!K:K)</f>
        <v>0</v>
      </c>
      <c r="L16" s="6">
        <f>SUMIF(Source_PL!$A:$A,$A16,Source_PL!L:L)</f>
        <v>0</v>
      </c>
      <c r="M16" s="6">
        <f>SUMIF(Source_PL!$A:$A,$A16,Source_PL!M:M)</f>
        <v>0</v>
      </c>
      <c r="O16" s="6">
        <f>SUM(B16:M16)</f>
        <v>18338.400000000001</v>
      </c>
    </row>
    <row r="17" spans="1:15" x14ac:dyDescent="0.25">
      <c r="A17" s="7" t="s">
        <v>13</v>
      </c>
      <c r="B17" s="9">
        <f>SUMIF(Source_PL!$A:$A,$A17,Source_PL!B:B)</f>
        <v>165123.75</v>
      </c>
      <c r="C17" s="9">
        <f>SUMIF(Source_PL!$A:$A,$A17,Source_PL!C:C)</f>
        <v>121759.1</v>
      </c>
      <c r="D17" s="9">
        <f>SUMIF(Source_PL!$A:$A,$A17,Source_PL!D:D)</f>
        <v>711391.42</v>
      </c>
      <c r="E17" s="9">
        <f>SUMIF(Source_PL!$A:$A,$A17,Source_PL!E:E)</f>
        <v>217033.56000000003</v>
      </c>
      <c r="F17" s="9">
        <f>SUMIF(Source_PL!$A:$A,$A17,Source_PL!F:F)</f>
        <v>391584.49</v>
      </c>
      <c r="G17" s="9">
        <f>SUMIF(Source_PL!$A:$A,$A17,Source_PL!G:G)</f>
        <v>271821.98</v>
      </c>
      <c r="H17" s="9">
        <f>SUMIF(Source_PL!$A:$A,$A17,Source_PL!H:H)</f>
        <v>440913.28</v>
      </c>
      <c r="I17" s="9">
        <f>SUMIF(Source_PL!$A:$A,$A17,Source_PL!I:I)</f>
        <v>574896.40999999992</v>
      </c>
      <c r="J17" s="9">
        <f>SUMIF(Source_PL!$A:$A,$A17,Source_PL!J:J)</f>
        <v>456264.92</v>
      </c>
      <c r="K17" s="9">
        <f>SUMIF(Source_PL!$A:$A,$A17,Source_PL!K:K)</f>
        <v>322167.76</v>
      </c>
      <c r="L17" s="9">
        <f>SUMIF(Source_PL!$A:$A,$A17,Source_PL!L:L)</f>
        <v>595721.19000000006</v>
      </c>
      <c r="M17" s="9">
        <f>SUMIF(Source_PL!$A:$A,$A17,Source_PL!M:M)</f>
        <v>715798.33</v>
      </c>
      <c r="N17" s="8"/>
      <c r="O17" s="9">
        <f>SUM(B17:M17)</f>
        <v>4984476.1900000004</v>
      </c>
    </row>
    <row r="18" spans="1:15" x14ac:dyDescent="0.25">
      <c r="A18" t="s">
        <v>14</v>
      </c>
      <c r="B18" s="6">
        <f>SUMIF(Source_PL!$A:$A,$A18,Source_PL!B:B)</f>
        <v>0</v>
      </c>
      <c r="C18" s="6">
        <f>SUMIF(Source_PL!$A:$A,$A18,Source_PL!C:C)</f>
        <v>0</v>
      </c>
      <c r="D18" s="6">
        <f>SUMIF(Source_PL!$A:$A,$A18,Source_PL!D:D)</f>
        <v>0</v>
      </c>
      <c r="E18" s="6">
        <f>SUMIF(Source_PL!$A:$A,$A18,Source_PL!E:E)</f>
        <v>0</v>
      </c>
      <c r="F18" s="6">
        <f>SUMIF(Source_PL!$A:$A,$A18,Source_PL!F:F)</f>
        <v>0</v>
      </c>
      <c r="G18" s="6">
        <f>SUMIF(Source_PL!$A:$A,$A18,Source_PL!G:G)</f>
        <v>0</v>
      </c>
      <c r="H18" s="6">
        <f>SUMIF(Source_PL!$A:$A,$A18,Source_PL!H:H)</f>
        <v>0</v>
      </c>
      <c r="I18" s="6">
        <f>SUMIF(Source_PL!$A:$A,$A18,Source_PL!I:I)</f>
        <v>0</v>
      </c>
      <c r="J18" s="6">
        <f>SUMIF(Source_PL!$A:$A,$A18,Source_PL!J:J)</f>
        <v>0</v>
      </c>
      <c r="K18" s="6">
        <f>SUMIF(Source_PL!$A:$A,$A18,Source_PL!K:K)</f>
        <v>0</v>
      </c>
      <c r="L18" s="6">
        <f>SUMIF(Source_PL!$A:$A,$A18,Source_PL!L:L)</f>
        <v>0</v>
      </c>
      <c r="M18" s="6">
        <f>SUMIF(Source_PL!$A:$A,$A18,Source_PL!M:M)</f>
        <v>0</v>
      </c>
      <c r="O18" s="6">
        <f>SUM(B18:M18)</f>
        <v>0</v>
      </c>
    </row>
    <row r="19" spans="1:15" x14ac:dyDescent="0.25">
      <c r="A19" t="s">
        <v>15</v>
      </c>
      <c r="B19" s="6">
        <f>SUMIF(Source_PL!$A:$A,$A19,Source_PL!B:B)</f>
        <v>0</v>
      </c>
      <c r="C19" s="6">
        <f>SUMIF(Source_PL!$A:$A,$A19,Source_PL!C:C)</f>
        <v>0</v>
      </c>
      <c r="D19" s="6">
        <f>SUMIF(Source_PL!$A:$A,$A19,Source_PL!D:D)</f>
        <v>0</v>
      </c>
      <c r="E19" s="6">
        <f>SUMIF(Source_PL!$A:$A,$A19,Source_PL!E:E)</f>
        <v>0</v>
      </c>
      <c r="F19" s="6">
        <f>SUMIF(Source_PL!$A:$A,$A19,Source_PL!F:F)</f>
        <v>0</v>
      </c>
      <c r="G19" s="6">
        <f>SUMIF(Source_PL!$A:$A,$A19,Source_PL!G:G)</f>
        <v>0</v>
      </c>
      <c r="H19" s="6">
        <f>SUMIF(Source_PL!$A:$A,$A19,Source_PL!H:H)</f>
        <v>0</v>
      </c>
      <c r="I19" s="6">
        <f>SUMIF(Source_PL!$A:$A,$A19,Source_PL!I:I)</f>
        <v>0</v>
      </c>
      <c r="J19" s="6">
        <f>SUMIF(Source_PL!$A:$A,$A19,Source_PL!J:J)</f>
        <v>0</v>
      </c>
      <c r="K19" s="6">
        <f>SUMIF(Source_PL!$A:$A,$A19,Source_PL!K:K)</f>
        <v>0</v>
      </c>
      <c r="L19" s="6">
        <f>SUMIF(Source_PL!$A:$A,$A19,Source_PL!L:L)</f>
        <v>0</v>
      </c>
      <c r="M19" s="6">
        <f>SUMIF(Source_PL!$A:$A,$A19,Source_PL!M:M)</f>
        <v>0</v>
      </c>
      <c r="O19" s="6">
        <f>SUM(B19:M19)</f>
        <v>0</v>
      </c>
    </row>
    <row r="20" spans="1:15" x14ac:dyDescent="0.25">
      <c r="A20" t="s">
        <v>16</v>
      </c>
      <c r="B20" s="6">
        <f>SUMIF(Source_PL!$A:$A,$A20,Source_PL!B:B)</f>
        <v>401918.85</v>
      </c>
      <c r="C20" s="6">
        <f>SUMIF(Source_PL!$A:$A,$A20,Source_PL!C:C)</f>
        <v>31195.59</v>
      </c>
      <c r="D20" s="6">
        <f>SUMIF(Source_PL!$A:$A,$A20,Source_PL!D:D)</f>
        <v>3264.86</v>
      </c>
      <c r="E20" s="6">
        <f>SUMIF(Source_PL!$A:$A,$A20,Source_PL!E:E)</f>
        <v>1202.5899999999999</v>
      </c>
      <c r="F20" s="6">
        <f>SUMIF(Source_PL!$A:$A,$A20,Source_PL!F:F)</f>
        <v>26179.84</v>
      </c>
      <c r="G20" s="6">
        <f>SUMIF(Source_PL!$A:$A,$A20,Source_PL!G:G)</f>
        <v>2183.17</v>
      </c>
      <c r="H20" s="6">
        <f>SUMIF(Source_PL!$A:$A,$A20,Source_PL!H:H)</f>
        <v>86573.09</v>
      </c>
      <c r="I20" s="6">
        <f>SUMIF(Source_PL!$A:$A,$A20,Source_PL!I:I)</f>
        <v>181803.62</v>
      </c>
      <c r="J20" s="6">
        <f>SUMIF(Source_PL!$A:$A,$A20,Source_PL!J:J)</f>
        <v>31916.93</v>
      </c>
      <c r="K20" s="6">
        <f>SUMIF(Source_PL!$A:$A,$A20,Source_PL!K:K)</f>
        <v>55094.11</v>
      </c>
      <c r="L20" s="6">
        <f>SUMIF(Source_PL!$A:$A,$A20,Source_PL!L:L)</f>
        <v>8163.62</v>
      </c>
      <c r="M20" s="6">
        <f>SUMIF(Source_PL!$A:$A,$A20,Source_PL!M:M)</f>
        <v>9893.92</v>
      </c>
      <c r="O20" s="6">
        <f>SUM(B20:M20)</f>
        <v>839390.19000000006</v>
      </c>
    </row>
    <row r="21" spans="1:15" x14ac:dyDescent="0.25">
      <c r="A21" t="s">
        <v>17</v>
      </c>
      <c r="B21" s="6">
        <f>SUMIF(Source_PL!$A:$A,$A21,Source_PL!B:B)</f>
        <v>0</v>
      </c>
      <c r="C21" s="6">
        <f>SUMIF(Source_PL!$A:$A,$A21,Source_PL!C:C)</f>
        <v>0</v>
      </c>
      <c r="D21" s="6">
        <f>SUMIF(Source_PL!$A:$A,$A21,Source_PL!D:D)</f>
        <v>0</v>
      </c>
      <c r="E21" s="6">
        <f>SUMIF(Source_PL!$A:$A,$A21,Source_PL!E:E)</f>
        <v>0</v>
      </c>
      <c r="F21" s="6">
        <f>SUMIF(Source_PL!$A:$A,$A21,Source_PL!F:F)</f>
        <v>302.47000000000003</v>
      </c>
      <c r="G21" s="6">
        <f>SUMIF(Source_PL!$A:$A,$A21,Source_PL!G:G)</f>
        <v>241.17</v>
      </c>
      <c r="H21" s="6">
        <f>SUMIF(Source_PL!$A:$A,$A21,Source_PL!H:H)</f>
        <v>30.68</v>
      </c>
      <c r="I21" s="6">
        <f>SUMIF(Source_PL!$A:$A,$A21,Source_PL!I:I)</f>
        <v>3923.93</v>
      </c>
      <c r="J21" s="6">
        <f>SUMIF(Source_PL!$A:$A,$A21,Source_PL!J:J)</f>
        <v>2356.0300000000002</v>
      </c>
      <c r="K21" s="6">
        <f>SUMIF(Source_PL!$A:$A,$A21,Source_PL!K:K)</f>
        <v>4023.39</v>
      </c>
      <c r="L21" s="6">
        <f>SUMIF(Source_PL!$A:$A,$A21,Source_PL!L:L)</f>
        <v>4053.9</v>
      </c>
      <c r="M21" s="6">
        <f>SUMIF(Source_PL!$A:$A,$A21,Source_PL!M:M)</f>
        <v>4508.6400000000003</v>
      </c>
      <c r="O21" s="6">
        <f>SUM(B21:M21)</f>
        <v>19440.21</v>
      </c>
    </row>
    <row r="22" spans="1:15" x14ac:dyDescent="0.25">
      <c r="A22" t="s">
        <v>18</v>
      </c>
      <c r="B22" s="6">
        <f>SUMIF(Source_PL!$A:$A,$A22,Source_PL!B:B)</f>
        <v>0</v>
      </c>
      <c r="C22" s="6">
        <f>SUMIF(Source_PL!$A:$A,$A22,Source_PL!C:C)</f>
        <v>0</v>
      </c>
      <c r="D22" s="6">
        <f>SUMIF(Source_PL!$A:$A,$A22,Source_PL!D:D)</f>
        <v>0</v>
      </c>
      <c r="E22" s="6">
        <f>SUMIF(Source_PL!$A:$A,$A22,Source_PL!E:E)</f>
        <v>0</v>
      </c>
      <c r="F22" s="6">
        <f>SUMIF(Source_PL!$A:$A,$A22,Source_PL!F:F)</f>
        <v>185.84</v>
      </c>
      <c r="G22" s="6">
        <f>SUMIF(Source_PL!$A:$A,$A22,Source_PL!G:G)</f>
        <v>324.89</v>
      </c>
      <c r="H22" s="6">
        <f>SUMIF(Source_PL!$A:$A,$A22,Source_PL!H:H)</f>
        <v>0</v>
      </c>
      <c r="I22" s="6">
        <f>SUMIF(Source_PL!$A:$A,$A22,Source_PL!I:I)</f>
        <v>494.4</v>
      </c>
      <c r="J22" s="6">
        <f>SUMIF(Source_PL!$A:$A,$A22,Source_PL!J:J)</f>
        <v>468.35</v>
      </c>
      <c r="K22" s="6">
        <f>SUMIF(Source_PL!$A:$A,$A22,Source_PL!K:K)</f>
        <v>1434.67</v>
      </c>
      <c r="L22" s="6">
        <f>SUMIF(Source_PL!$A:$A,$A22,Source_PL!L:L)</f>
        <v>542.66999999999996</v>
      </c>
      <c r="M22" s="6">
        <f>SUMIF(Source_PL!$A:$A,$A22,Source_PL!M:M)</f>
        <v>283.56</v>
      </c>
      <c r="O22" s="6">
        <f>SUM(B22:M22)</f>
        <v>3734.38</v>
      </c>
    </row>
    <row r="23" spans="1:15" x14ac:dyDescent="0.25">
      <c r="A23" t="s">
        <v>19</v>
      </c>
      <c r="B23" s="6">
        <f>SUMIF(Source_PL!$A:$A,$A23,Source_PL!B:B)</f>
        <v>5182.87</v>
      </c>
      <c r="C23" s="6">
        <f>SUMIF(Source_PL!$A:$A,$A23,Source_PL!C:C)</f>
        <v>0</v>
      </c>
      <c r="D23" s="6">
        <f>SUMIF(Source_PL!$A:$A,$A23,Source_PL!D:D)</f>
        <v>0</v>
      </c>
      <c r="E23" s="6">
        <f>SUMIF(Source_PL!$A:$A,$A23,Source_PL!E:E)</f>
        <v>0</v>
      </c>
      <c r="F23" s="6">
        <f>SUMIF(Source_PL!$A:$A,$A23,Source_PL!F:F)</f>
        <v>2767.82</v>
      </c>
      <c r="G23" s="6">
        <f>SUMIF(Source_PL!$A:$A,$A23,Source_PL!G:G)</f>
        <v>3881.24</v>
      </c>
      <c r="H23" s="6">
        <f>SUMIF(Source_PL!$A:$A,$A23,Source_PL!H:H)</f>
        <v>-36.33</v>
      </c>
      <c r="I23" s="6">
        <f>SUMIF(Source_PL!$A:$A,$A23,Source_PL!I:I)</f>
        <v>37151.33</v>
      </c>
      <c r="J23" s="6">
        <f>SUMIF(Source_PL!$A:$A,$A23,Source_PL!J:J)</f>
        <v>17953.62</v>
      </c>
      <c r="K23" s="6">
        <f>SUMIF(Source_PL!$A:$A,$A23,Source_PL!K:K)</f>
        <v>11235.63</v>
      </c>
      <c r="L23" s="6">
        <f>SUMIF(Source_PL!$A:$A,$A23,Source_PL!L:L)</f>
        <v>9555.0300000000007</v>
      </c>
      <c r="M23" s="6">
        <f>SUMIF(Source_PL!$A:$A,$A23,Source_PL!M:M)</f>
        <v>7321.74</v>
      </c>
      <c r="O23" s="6">
        <f>SUM(B23:M23)</f>
        <v>95012.950000000012</v>
      </c>
    </row>
    <row r="24" spans="1:15" x14ac:dyDescent="0.25">
      <c r="A24" t="s">
        <v>20</v>
      </c>
      <c r="B24" s="6">
        <f>SUMIF(Source_PL!$A:$A,$A24,Source_PL!B:B)</f>
        <v>0</v>
      </c>
      <c r="C24" s="6">
        <f>SUMIF(Source_PL!$A:$A,$A24,Source_PL!C:C)</f>
        <v>0</v>
      </c>
      <c r="D24" s="6">
        <f>SUMIF(Source_PL!$A:$A,$A24,Source_PL!D:D)</f>
        <v>0</v>
      </c>
      <c r="E24" s="6">
        <f>SUMIF(Source_PL!$A:$A,$A24,Source_PL!E:E)</f>
        <v>0</v>
      </c>
      <c r="F24" s="6">
        <f>SUMIF(Source_PL!$A:$A,$A24,Source_PL!F:F)</f>
        <v>0</v>
      </c>
      <c r="G24" s="6">
        <f>SUMIF(Source_PL!$A:$A,$A24,Source_PL!G:G)</f>
        <v>0</v>
      </c>
      <c r="H24" s="6">
        <f>SUMIF(Source_PL!$A:$A,$A24,Source_PL!H:H)</f>
        <v>0</v>
      </c>
      <c r="I24" s="6">
        <f>SUMIF(Source_PL!$A:$A,$A24,Source_PL!I:I)</f>
        <v>229.83</v>
      </c>
      <c r="J24" s="6">
        <f>SUMIF(Source_PL!$A:$A,$A24,Source_PL!J:J)</f>
        <v>0</v>
      </c>
      <c r="K24" s="6">
        <f>SUMIF(Source_PL!$A:$A,$A24,Source_PL!K:K)</f>
        <v>0</v>
      </c>
      <c r="L24" s="6">
        <f>SUMIF(Source_PL!$A:$A,$A24,Source_PL!L:L)</f>
        <v>187</v>
      </c>
      <c r="M24" s="6">
        <f>SUMIF(Source_PL!$A:$A,$A24,Source_PL!M:M)</f>
        <v>518.41</v>
      </c>
      <c r="O24" s="6">
        <f>SUM(B24:M24)</f>
        <v>935.24</v>
      </c>
    </row>
    <row r="25" spans="1:15" x14ac:dyDescent="0.25">
      <c r="A25" t="s">
        <v>21</v>
      </c>
      <c r="B25" s="6">
        <f>SUMIF(Source_PL!$A:$A,$A25,Source_PL!B:B)</f>
        <v>0</v>
      </c>
      <c r="C25" s="6">
        <f>SUMIF(Source_PL!$A:$A,$A25,Source_PL!C:C)</f>
        <v>0</v>
      </c>
      <c r="D25" s="6">
        <f>SUMIF(Source_PL!$A:$A,$A25,Source_PL!D:D)</f>
        <v>0</v>
      </c>
      <c r="E25" s="6">
        <f>SUMIF(Source_PL!$A:$A,$A25,Source_PL!E:E)</f>
        <v>0</v>
      </c>
      <c r="F25" s="6">
        <f>SUMIF(Source_PL!$A:$A,$A25,Source_PL!F:F)</f>
        <v>0</v>
      </c>
      <c r="G25" s="6">
        <f>SUMIF(Source_PL!$A:$A,$A25,Source_PL!G:G)</f>
        <v>0</v>
      </c>
      <c r="H25" s="6">
        <f>SUMIF(Source_PL!$A:$A,$A25,Source_PL!H:H)</f>
        <v>0</v>
      </c>
      <c r="I25" s="6">
        <f>SUMIF(Source_PL!$A:$A,$A25,Source_PL!I:I)</f>
        <v>36895.97</v>
      </c>
      <c r="J25" s="6">
        <f>SUMIF(Source_PL!$A:$A,$A25,Source_PL!J:J)</f>
        <v>82264.639999999999</v>
      </c>
      <c r="K25" s="6">
        <f>SUMIF(Source_PL!$A:$A,$A25,Source_PL!K:K)</f>
        <v>91277.73</v>
      </c>
      <c r="L25" s="6">
        <f>SUMIF(Source_PL!$A:$A,$A25,Source_PL!L:L)</f>
        <v>107220.78</v>
      </c>
      <c r="M25" s="6">
        <f>SUMIF(Source_PL!$A:$A,$A25,Source_PL!M:M)</f>
        <v>92045.01</v>
      </c>
      <c r="O25" s="6">
        <f>SUM(B25:M25)</f>
        <v>409704.13</v>
      </c>
    </row>
    <row r="26" spans="1:15" x14ac:dyDescent="0.25">
      <c r="A26" t="s">
        <v>22</v>
      </c>
      <c r="B26" s="6">
        <f>SUMIF(Source_PL!$A:$A,$A26,Source_PL!B:B)</f>
        <v>0</v>
      </c>
      <c r="C26" s="6">
        <f>SUMIF(Source_PL!$A:$A,$A26,Source_PL!C:C)</f>
        <v>0</v>
      </c>
      <c r="D26" s="6">
        <f>SUMIF(Source_PL!$A:$A,$A26,Source_PL!D:D)</f>
        <v>0</v>
      </c>
      <c r="E26" s="6">
        <f>SUMIF(Source_PL!$A:$A,$A26,Source_PL!E:E)</f>
        <v>0</v>
      </c>
      <c r="F26" s="6">
        <f>SUMIF(Source_PL!$A:$A,$A26,Source_PL!F:F)</f>
        <v>0</v>
      </c>
      <c r="G26" s="6">
        <f>SUMIF(Source_PL!$A:$A,$A26,Source_PL!G:G)</f>
        <v>0</v>
      </c>
      <c r="H26" s="6">
        <f>SUMIF(Source_PL!$A:$A,$A26,Source_PL!H:H)</f>
        <v>0</v>
      </c>
      <c r="I26" s="6">
        <f>SUMIF(Source_PL!$A:$A,$A26,Source_PL!I:I)</f>
        <v>1624.16</v>
      </c>
      <c r="J26" s="6">
        <f>SUMIF(Source_PL!$A:$A,$A26,Source_PL!J:J)</f>
        <v>0</v>
      </c>
      <c r="K26" s="6">
        <f>SUMIF(Source_PL!$A:$A,$A26,Source_PL!K:K)</f>
        <v>0</v>
      </c>
      <c r="L26" s="6">
        <f>SUMIF(Source_PL!$A:$A,$A26,Source_PL!L:L)</f>
        <v>3860.32</v>
      </c>
      <c r="M26" s="6">
        <f>SUMIF(Source_PL!$A:$A,$A26,Source_PL!M:M)</f>
        <v>14913.4</v>
      </c>
      <c r="O26" s="6">
        <f>SUM(B26:M26)</f>
        <v>20397.88</v>
      </c>
    </row>
    <row r="27" spans="1:15" x14ac:dyDescent="0.25">
      <c r="A27" t="s">
        <v>23</v>
      </c>
      <c r="B27" s="6">
        <f>SUMIF(Source_PL!$A:$A,$A27,Source_PL!B:B)</f>
        <v>25016.17</v>
      </c>
      <c r="C27" s="6">
        <f>SUMIF(Source_PL!$A:$A,$A27,Source_PL!C:C)</f>
        <v>10828.69</v>
      </c>
      <c r="D27" s="6">
        <f>SUMIF(Source_PL!$A:$A,$A27,Source_PL!D:D)</f>
        <v>46382.95</v>
      </c>
      <c r="E27" s="6">
        <f>SUMIF(Source_PL!$A:$A,$A27,Source_PL!E:E)</f>
        <v>2355.8200000000002</v>
      </c>
      <c r="F27" s="6">
        <f>SUMIF(Source_PL!$A:$A,$A27,Source_PL!F:F)</f>
        <v>3706</v>
      </c>
      <c r="G27" s="6">
        <f>SUMIF(Source_PL!$A:$A,$A27,Source_PL!G:G)</f>
        <v>0</v>
      </c>
      <c r="H27" s="6">
        <f>SUMIF(Source_PL!$A:$A,$A27,Source_PL!H:H)</f>
        <v>37406.730000000003</v>
      </c>
      <c r="I27" s="6">
        <f>SUMIF(Source_PL!$A:$A,$A27,Source_PL!I:I)</f>
        <v>46830.06</v>
      </c>
      <c r="J27" s="6">
        <f>SUMIF(Source_PL!$A:$A,$A27,Source_PL!J:J)</f>
        <v>16346.46</v>
      </c>
      <c r="K27" s="6">
        <f>SUMIF(Source_PL!$A:$A,$A27,Source_PL!K:K)</f>
        <v>26496.23</v>
      </c>
      <c r="L27" s="6">
        <f>SUMIF(Source_PL!$A:$A,$A27,Source_PL!L:L)</f>
        <v>71496.83</v>
      </c>
      <c r="M27" s="6">
        <f>SUMIF(Source_PL!$A:$A,$A27,Source_PL!M:M)</f>
        <v>95055.43</v>
      </c>
      <c r="O27" s="6">
        <f>SUM(B27:M27)</f>
        <v>381921.37</v>
      </c>
    </row>
    <row r="28" spans="1:15" x14ac:dyDescent="0.25">
      <c r="A28" t="s">
        <v>24</v>
      </c>
      <c r="B28" s="6">
        <f>SUMIF(Source_PL!$A:$A,$A28,Source_PL!B:B)</f>
        <v>0</v>
      </c>
      <c r="C28" s="6">
        <f>SUMIF(Source_PL!$A:$A,$A28,Source_PL!C:C)</f>
        <v>0</v>
      </c>
      <c r="D28" s="6">
        <f>SUMIF(Source_PL!$A:$A,$A28,Source_PL!D:D)</f>
        <v>0</v>
      </c>
      <c r="E28" s="6">
        <f>SUMIF(Source_PL!$A:$A,$A28,Source_PL!E:E)</f>
        <v>0</v>
      </c>
      <c r="F28" s="6">
        <f>SUMIF(Source_PL!$A:$A,$A28,Source_PL!F:F)</f>
        <v>300</v>
      </c>
      <c r="G28" s="6">
        <f>SUMIF(Source_PL!$A:$A,$A28,Source_PL!G:G)</f>
        <v>300</v>
      </c>
      <c r="H28" s="6">
        <f>SUMIF(Source_PL!$A:$A,$A28,Source_PL!H:H)</f>
        <v>0</v>
      </c>
      <c r="I28" s="6">
        <f>SUMIF(Source_PL!$A:$A,$A28,Source_PL!I:I)</f>
        <v>0</v>
      </c>
      <c r="J28" s="6">
        <f>SUMIF(Source_PL!$A:$A,$A28,Source_PL!J:J)</f>
        <v>0</v>
      </c>
      <c r="K28" s="6">
        <f>SUMIF(Source_PL!$A:$A,$A28,Source_PL!K:K)</f>
        <v>0</v>
      </c>
      <c r="L28" s="6">
        <f>SUMIF(Source_PL!$A:$A,$A28,Source_PL!L:L)</f>
        <v>5700</v>
      </c>
      <c r="M28" s="6">
        <f>SUMIF(Source_PL!$A:$A,$A28,Source_PL!M:M)</f>
        <v>0</v>
      </c>
      <c r="O28" s="6">
        <f>SUM(B28:M28)</f>
        <v>6300</v>
      </c>
    </row>
    <row r="29" spans="1:15" x14ac:dyDescent="0.25">
      <c r="A29" t="s">
        <v>25</v>
      </c>
      <c r="B29" s="6">
        <f>SUMIF(Source_PL!$A:$A,$A29,Source_PL!B:B)</f>
        <v>0</v>
      </c>
      <c r="C29" s="6">
        <f>SUMIF(Source_PL!$A:$A,$A29,Source_PL!C:C)</f>
        <v>0</v>
      </c>
      <c r="D29" s="6">
        <f>SUMIF(Source_PL!$A:$A,$A29,Source_PL!D:D)</f>
        <v>0</v>
      </c>
      <c r="E29" s="6">
        <f>SUMIF(Source_PL!$A:$A,$A29,Source_PL!E:E)</f>
        <v>0</v>
      </c>
      <c r="F29" s="6">
        <f>SUMIF(Source_PL!$A:$A,$A29,Source_PL!F:F)</f>
        <v>0</v>
      </c>
      <c r="G29" s="6">
        <f>SUMIF(Source_PL!$A:$A,$A29,Source_PL!G:G)</f>
        <v>0</v>
      </c>
      <c r="H29" s="6">
        <f>SUMIF(Source_PL!$A:$A,$A29,Source_PL!H:H)</f>
        <v>5167.5</v>
      </c>
      <c r="I29" s="6">
        <f>SUMIF(Source_PL!$A:$A,$A29,Source_PL!I:I)</f>
        <v>0</v>
      </c>
      <c r="J29" s="6">
        <f>SUMIF(Source_PL!$A:$A,$A29,Source_PL!J:J)</f>
        <v>0</v>
      </c>
      <c r="K29" s="6">
        <f>SUMIF(Source_PL!$A:$A,$A29,Source_PL!K:K)</f>
        <v>0</v>
      </c>
      <c r="L29" s="6">
        <f>SUMIF(Source_PL!$A:$A,$A29,Source_PL!L:L)</f>
        <v>0</v>
      </c>
      <c r="M29" s="6">
        <f>SUMIF(Source_PL!$A:$A,$A29,Source_PL!M:M)</f>
        <v>0</v>
      </c>
      <c r="O29" s="6">
        <f>SUM(B29:M29)</f>
        <v>5167.5</v>
      </c>
    </row>
    <row r="30" spans="1:15" x14ac:dyDescent="0.25">
      <c r="A30" s="7" t="s">
        <v>26</v>
      </c>
      <c r="B30" s="9">
        <f>SUMIF(Source_PL!$A:$A,$A30,Source_PL!B:B)</f>
        <v>432117.88999999996</v>
      </c>
      <c r="C30" s="9">
        <f>SUMIF(Source_PL!$A:$A,$A30,Source_PL!C:C)</f>
        <v>42024.28</v>
      </c>
      <c r="D30" s="9">
        <f>SUMIF(Source_PL!$A:$A,$A30,Source_PL!D:D)</f>
        <v>49647.81</v>
      </c>
      <c r="E30" s="9">
        <f>SUMIF(Source_PL!$A:$A,$A30,Source_PL!E:E)</f>
        <v>3558.41</v>
      </c>
      <c r="F30" s="9">
        <f>SUMIF(Source_PL!$A:$A,$A30,Source_PL!F:F)</f>
        <v>33441.97</v>
      </c>
      <c r="G30" s="9">
        <f>SUMIF(Source_PL!$A:$A,$A30,Source_PL!G:G)</f>
        <v>6930.4699999999993</v>
      </c>
      <c r="H30" s="9">
        <f>SUMIF(Source_PL!$A:$A,$A30,Source_PL!H:H)</f>
        <v>129141.66999999998</v>
      </c>
      <c r="I30" s="9">
        <f>SUMIF(Source_PL!$A:$A,$A30,Source_PL!I:I)</f>
        <v>308953.29999999993</v>
      </c>
      <c r="J30" s="9">
        <f>SUMIF(Source_PL!$A:$A,$A30,Source_PL!J:J)</f>
        <v>151306.03</v>
      </c>
      <c r="K30" s="9">
        <f>SUMIF(Source_PL!$A:$A,$A30,Source_PL!K:K)</f>
        <v>189561.76</v>
      </c>
      <c r="L30" s="9">
        <f>SUMIF(Source_PL!$A:$A,$A30,Source_PL!L:L)</f>
        <v>210780.15000000002</v>
      </c>
      <c r="M30" s="9">
        <f>SUMIF(Source_PL!$A:$A,$A30,Source_PL!M:M)</f>
        <v>224540.11</v>
      </c>
      <c r="N30" s="8"/>
      <c r="O30" s="9">
        <f>SUM(B30:M30)</f>
        <v>1782003.8499999996</v>
      </c>
    </row>
    <row r="31" spans="1:15" x14ac:dyDescent="0.25">
      <c r="A31" s="7" t="s">
        <v>27</v>
      </c>
      <c r="B31" s="9">
        <f>SUMIF(Source_PL!$A:$A,$A31,Source_PL!B:B)</f>
        <v>432117.88999999996</v>
      </c>
      <c r="C31" s="9">
        <f>SUMIF(Source_PL!$A:$A,$A31,Source_PL!C:C)</f>
        <v>42024.28</v>
      </c>
      <c r="D31" s="9">
        <f>SUMIF(Source_PL!$A:$A,$A31,Source_PL!D:D)</f>
        <v>49647.81</v>
      </c>
      <c r="E31" s="9">
        <f>SUMIF(Source_PL!$A:$A,$A31,Source_PL!E:E)</f>
        <v>3558.41</v>
      </c>
      <c r="F31" s="9">
        <f>SUMIF(Source_PL!$A:$A,$A31,Source_PL!F:F)</f>
        <v>33441.97</v>
      </c>
      <c r="G31" s="9">
        <f>SUMIF(Source_PL!$A:$A,$A31,Source_PL!G:G)</f>
        <v>6930.4699999999993</v>
      </c>
      <c r="H31" s="9">
        <f>SUMIF(Source_PL!$A:$A,$A31,Source_PL!H:H)</f>
        <v>129141.66999999998</v>
      </c>
      <c r="I31" s="9">
        <f>SUMIF(Source_PL!$A:$A,$A31,Source_PL!I:I)</f>
        <v>308953.29999999993</v>
      </c>
      <c r="J31" s="9">
        <f>SUMIF(Source_PL!$A:$A,$A31,Source_PL!J:J)</f>
        <v>151306.03</v>
      </c>
      <c r="K31" s="9">
        <f>SUMIF(Source_PL!$A:$A,$A31,Source_PL!K:K)</f>
        <v>189561.76</v>
      </c>
      <c r="L31" s="9">
        <f>SUMIF(Source_PL!$A:$A,$A31,Source_PL!L:L)</f>
        <v>210780.15000000002</v>
      </c>
      <c r="M31" s="9">
        <f>SUMIF(Source_PL!$A:$A,$A31,Source_PL!M:M)</f>
        <v>224540.11</v>
      </c>
      <c r="N31" s="8"/>
      <c r="O31" s="9">
        <f>SUM(B31:M31)</f>
        <v>1782003.8499999996</v>
      </c>
    </row>
    <row r="32" spans="1:15" x14ac:dyDescent="0.25">
      <c r="A32" s="7" t="s">
        <v>28</v>
      </c>
      <c r="B32" s="9">
        <f>SUMIF(Source_PL!$A:$A,$A32,Source_PL!B:B)</f>
        <v>-266994.13999999996</v>
      </c>
      <c r="C32" s="9">
        <f>SUMIF(Source_PL!$A:$A,$A32,Source_PL!C:C)</f>
        <v>79734.820000000007</v>
      </c>
      <c r="D32" s="9">
        <f>SUMIF(Source_PL!$A:$A,$A32,Source_PL!D:D)</f>
        <v>661743.6100000001</v>
      </c>
      <c r="E32" s="9">
        <f>SUMIF(Source_PL!$A:$A,$A32,Source_PL!E:E)</f>
        <v>213475.15000000002</v>
      </c>
      <c r="F32" s="9">
        <f>SUMIF(Source_PL!$A:$A,$A32,Source_PL!F:F)</f>
        <v>358142.52</v>
      </c>
      <c r="G32" s="9">
        <f>SUMIF(Source_PL!$A:$A,$A32,Source_PL!G:G)</f>
        <v>264891.51</v>
      </c>
      <c r="H32" s="9">
        <f>SUMIF(Source_PL!$A:$A,$A32,Source_PL!H:H)</f>
        <v>311771.61000000004</v>
      </c>
      <c r="I32" s="9">
        <f>SUMIF(Source_PL!$A:$A,$A32,Source_PL!I:I)</f>
        <v>265943.11</v>
      </c>
      <c r="J32" s="9">
        <f>SUMIF(Source_PL!$A:$A,$A32,Source_PL!J:J)</f>
        <v>304958.89</v>
      </c>
      <c r="K32" s="9">
        <f>SUMIF(Source_PL!$A:$A,$A32,Source_PL!K:K)</f>
        <v>132606</v>
      </c>
      <c r="L32" s="9">
        <f>SUMIF(Source_PL!$A:$A,$A32,Source_PL!L:L)</f>
        <v>384941.04000000004</v>
      </c>
      <c r="M32" s="9">
        <f>SUMIF(Source_PL!$A:$A,$A32,Source_PL!M:M)</f>
        <v>491258.22</v>
      </c>
      <c r="N32" s="8"/>
      <c r="O32" s="9">
        <f>SUM(B32:M32)</f>
        <v>3202472.3400000008</v>
      </c>
    </row>
    <row r="33" spans="1:15" x14ac:dyDescent="0.25">
      <c r="A33" t="s">
        <v>29</v>
      </c>
      <c r="B33" s="6">
        <f>SUMIF(Source_PL!$A:$A,$A33,Source_PL!B:B)</f>
        <v>0</v>
      </c>
      <c r="C33" s="6">
        <f>SUMIF(Source_PL!$A:$A,$A33,Source_PL!C:C)</f>
        <v>0</v>
      </c>
      <c r="D33" s="6">
        <f>SUMIF(Source_PL!$A:$A,$A33,Source_PL!D:D)</f>
        <v>0</v>
      </c>
      <c r="E33" s="6">
        <f>SUMIF(Source_PL!$A:$A,$A33,Source_PL!E:E)</f>
        <v>0</v>
      </c>
      <c r="F33" s="6">
        <f>SUMIF(Source_PL!$A:$A,$A33,Source_PL!F:F)</f>
        <v>0</v>
      </c>
      <c r="G33" s="6">
        <f>SUMIF(Source_PL!$A:$A,$A33,Source_PL!G:G)</f>
        <v>0</v>
      </c>
      <c r="H33" s="6">
        <f>SUMIF(Source_PL!$A:$A,$A33,Source_PL!H:H)</f>
        <v>0</v>
      </c>
      <c r="I33" s="6">
        <f>SUMIF(Source_PL!$A:$A,$A33,Source_PL!I:I)</f>
        <v>0</v>
      </c>
      <c r="J33" s="6">
        <f>SUMIF(Source_PL!$A:$A,$A33,Source_PL!J:J)</f>
        <v>0</v>
      </c>
      <c r="K33" s="6">
        <f>SUMIF(Source_PL!$A:$A,$A33,Source_PL!K:K)</f>
        <v>0</v>
      </c>
      <c r="L33" s="6">
        <f>SUMIF(Source_PL!$A:$A,$A33,Source_PL!L:L)</f>
        <v>0</v>
      </c>
      <c r="M33" s="6">
        <f>SUMIF(Source_PL!$A:$A,$A33,Source_PL!M:M)</f>
        <v>0</v>
      </c>
      <c r="O33" s="6">
        <f>SUM(B33:M33)</f>
        <v>0</v>
      </c>
    </row>
    <row r="34" spans="1:15" x14ac:dyDescent="0.25">
      <c r="A34" t="s">
        <v>30</v>
      </c>
      <c r="B34" s="6">
        <f>SUMIF(Source_PL!$A:$A,$A34,Source_PL!B:B)</f>
        <v>0</v>
      </c>
      <c r="C34" s="6">
        <f>SUMIF(Source_PL!$A:$A,$A34,Source_PL!C:C)</f>
        <v>0</v>
      </c>
      <c r="D34" s="6">
        <f>SUMIF(Source_PL!$A:$A,$A34,Source_PL!D:D)</f>
        <v>0</v>
      </c>
      <c r="E34" s="6">
        <f>SUMIF(Source_PL!$A:$A,$A34,Source_PL!E:E)</f>
        <v>0</v>
      </c>
      <c r="F34" s="6">
        <f>SUMIF(Source_PL!$A:$A,$A34,Source_PL!F:F)</f>
        <v>0</v>
      </c>
      <c r="G34" s="6">
        <f>SUMIF(Source_PL!$A:$A,$A34,Source_PL!G:G)</f>
        <v>0</v>
      </c>
      <c r="H34" s="6">
        <f>SUMIF(Source_PL!$A:$A,$A34,Source_PL!H:H)</f>
        <v>0</v>
      </c>
      <c r="I34" s="6">
        <f>SUMIF(Source_PL!$A:$A,$A34,Source_PL!I:I)</f>
        <v>0</v>
      </c>
      <c r="J34" s="6">
        <f>SUMIF(Source_PL!$A:$A,$A34,Source_PL!J:J)</f>
        <v>0</v>
      </c>
      <c r="K34" s="6">
        <f>SUMIF(Source_PL!$A:$A,$A34,Source_PL!K:K)</f>
        <v>0</v>
      </c>
      <c r="L34" s="6">
        <f>SUMIF(Source_PL!$A:$A,$A34,Source_PL!L:L)</f>
        <v>0</v>
      </c>
      <c r="M34" s="6">
        <f>SUMIF(Source_PL!$A:$A,$A34,Source_PL!M:M)</f>
        <v>0</v>
      </c>
      <c r="O34" s="6">
        <f>SUM(B34:M34)</f>
        <v>0</v>
      </c>
    </row>
    <row r="35" spans="1:15" x14ac:dyDescent="0.25">
      <c r="A35" t="s">
        <v>31</v>
      </c>
      <c r="B35" s="6">
        <f>SUMIF(Source_PL!$A:$A,$A35,Source_PL!B:B)</f>
        <v>146082.88</v>
      </c>
      <c r="C35" s="6">
        <f>SUMIF(Source_PL!$A:$A,$A35,Source_PL!C:C)</f>
        <v>149263.07</v>
      </c>
      <c r="D35" s="6">
        <f>SUMIF(Source_PL!$A:$A,$A35,Source_PL!D:D)</f>
        <v>213768.73</v>
      </c>
      <c r="E35" s="6">
        <f>SUMIF(Source_PL!$A:$A,$A35,Source_PL!E:E)</f>
        <v>145277.29</v>
      </c>
      <c r="F35" s="6">
        <f>SUMIF(Source_PL!$A:$A,$A35,Source_PL!F:F)</f>
        <v>150187.51</v>
      </c>
      <c r="G35" s="6">
        <f>SUMIF(Source_PL!$A:$A,$A35,Source_PL!G:G)</f>
        <v>157126.6</v>
      </c>
      <c r="H35" s="6">
        <f>SUMIF(Source_PL!$A:$A,$A35,Source_PL!H:H)</f>
        <v>155057.94</v>
      </c>
      <c r="I35" s="6">
        <f>SUMIF(Source_PL!$A:$A,$A35,Source_PL!I:I)</f>
        <v>223896.87</v>
      </c>
      <c r="J35" s="6">
        <f>SUMIF(Source_PL!$A:$A,$A35,Source_PL!J:J)</f>
        <v>92240.98</v>
      </c>
      <c r="K35" s="6">
        <f>SUMIF(Source_PL!$A:$A,$A35,Source_PL!K:K)</f>
        <v>112836.98</v>
      </c>
      <c r="L35" s="6">
        <f>SUMIF(Source_PL!$A:$A,$A35,Source_PL!L:L)</f>
        <v>137107.73000000001</v>
      </c>
      <c r="M35" s="6">
        <f>SUMIF(Source_PL!$A:$A,$A35,Source_PL!M:M)</f>
        <v>149071.01999999999</v>
      </c>
      <c r="O35" s="6">
        <f>SUM(B35:M35)</f>
        <v>1831917.6</v>
      </c>
    </row>
    <row r="36" spans="1:15" x14ac:dyDescent="0.25">
      <c r="A36" t="s">
        <v>32</v>
      </c>
      <c r="B36" s="6">
        <f>SUMIF(Source_PL!$A:$A,$A36,Source_PL!B:B)</f>
        <v>12735.11</v>
      </c>
      <c r="C36" s="6">
        <f>SUMIF(Source_PL!$A:$A,$A36,Source_PL!C:C)</f>
        <v>12183.34</v>
      </c>
      <c r="D36" s="6">
        <f>SUMIF(Source_PL!$A:$A,$A36,Source_PL!D:D)</f>
        <v>16909.5</v>
      </c>
      <c r="E36" s="6">
        <f>SUMIF(Source_PL!$A:$A,$A36,Source_PL!E:E)</f>
        <v>10988.34</v>
      </c>
      <c r="F36" s="6">
        <f>SUMIF(Source_PL!$A:$A,$A36,Source_PL!F:F)</f>
        <v>11314.49</v>
      </c>
      <c r="G36" s="6">
        <f>SUMIF(Source_PL!$A:$A,$A36,Source_PL!G:G)</f>
        <v>10040.07</v>
      </c>
      <c r="H36" s="6">
        <f>SUMIF(Source_PL!$A:$A,$A36,Source_PL!H:H)</f>
        <v>11910</v>
      </c>
      <c r="I36" s="6">
        <f>SUMIF(Source_PL!$A:$A,$A36,Source_PL!I:I)</f>
        <v>19724.400000000001</v>
      </c>
      <c r="J36" s="6">
        <f>SUMIF(Source_PL!$A:$A,$A36,Source_PL!J:J)</f>
        <v>13216.04</v>
      </c>
      <c r="K36" s="6">
        <f>SUMIF(Source_PL!$A:$A,$A36,Source_PL!K:K)</f>
        <v>15698.18</v>
      </c>
      <c r="L36" s="6">
        <f>SUMIF(Source_PL!$A:$A,$A36,Source_PL!L:L)</f>
        <v>19095.63</v>
      </c>
      <c r="M36" s="6">
        <f>SUMIF(Source_PL!$A:$A,$A36,Source_PL!M:M)</f>
        <v>9683.64</v>
      </c>
      <c r="O36" s="6">
        <f>SUM(B36:M36)</f>
        <v>163498.74</v>
      </c>
    </row>
    <row r="37" spans="1:15" x14ac:dyDescent="0.25">
      <c r="A37" t="s">
        <v>33</v>
      </c>
      <c r="B37" s="6">
        <f>SUMIF(Source_PL!$A:$A,$A37,Source_PL!B:B)</f>
        <v>-15782.81</v>
      </c>
      <c r="C37" s="6">
        <f>SUMIF(Source_PL!$A:$A,$A37,Source_PL!C:C)</f>
        <v>-38525.99</v>
      </c>
      <c r="D37" s="6">
        <f>SUMIF(Source_PL!$A:$A,$A37,Source_PL!D:D)</f>
        <v>-17689.62</v>
      </c>
      <c r="E37" s="6">
        <f>SUMIF(Source_PL!$A:$A,$A37,Source_PL!E:E)</f>
        <v>-8311.52</v>
      </c>
      <c r="F37" s="6">
        <f>SUMIF(Source_PL!$A:$A,$A37,Source_PL!F:F)</f>
        <v>-22842.75</v>
      </c>
      <c r="G37" s="6">
        <f>SUMIF(Source_PL!$A:$A,$A37,Source_PL!G:G)</f>
        <v>-16798.86</v>
      </c>
      <c r="H37" s="6">
        <f>SUMIF(Source_PL!$A:$A,$A37,Source_PL!H:H)</f>
        <v>-18488.16</v>
      </c>
      <c r="I37" s="6">
        <f>SUMIF(Source_PL!$A:$A,$A37,Source_PL!I:I)</f>
        <v>-27246</v>
      </c>
      <c r="J37" s="6">
        <f>SUMIF(Source_PL!$A:$A,$A37,Source_PL!J:J)</f>
        <v>-20338.669999999998</v>
      </c>
      <c r="K37" s="6">
        <f>SUMIF(Source_PL!$A:$A,$A37,Source_PL!K:K)</f>
        <v>-39237.9</v>
      </c>
      <c r="L37" s="6">
        <f>SUMIF(Source_PL!$A:$A,$A37,Source_PL!L:L)</f>
        <v>-25510.25</v>
      </c>
      <c r="M37" s="6">
        <f>SUMIF(Source_PL!$A:$A,$A37,Source_PL!M:M)</f>
        <v>-33244.04</v>
      </c>
      <c r="O37" s="6">
        <f>SUM(B37:M37)</f>
        <v>-284016.57</v>
      </c>
    </row>
    <row r="38" spans="1:15" x14ac:dyDescent="0.25">
      <c r="A38" s="7" t="s">
        <v>34</v>
      </c>
      <c r="B38" s="9">
        <f>SUMIF(Source_PL!$A:$A,$A38,Source_PL!B:B)</f>
        <v>143035.18</v>
      </c>
      <c r="C38" s="9">
        <f>SUMIF(Source_PL!$A:$A,$A38,Source_PL!C:C)</f>
        <v>122920.42000000001</v>
      </c>
      <c r="D38" s="9">
        <f>SUMIF(Source_PL!$A:$A,$A38,Source_PL!D:D)</f>
        <v>212988.61000000002</v>
      </c>
      <c r="E38" s="9">
        <f>SUMIF(Source_PL!$A:$A,$A38,Source_PL!E:E)</f>
        <v>147954.11000000002</v>
      </c>
      <c r="F38" s="9">
        <f>SUMIF(Source_PL!$A:$A,$A38,Source_PL!F:F)</f>
        <v>138659.25</v>
      </c>
      <c r="G38" s="9">
        <f>SUMIF(Source_PL!$A:$A,$A38,Source_PL!G:G)</f>
        <v>150367.81</v>
      </c>
      <c r="H38" s="9">
        <f>SUMIF(Source_PL!$A:$A,$A38,Source_PL!H:H)</f>
        <v>148479.78</v>
      </c>
      <c r="I38" s="9">
        <f>SUMIF(Source_PL!$A:$A,$A38,Source_PL!I:I)</f>
        <v>216375.27</v>
      </c>
      <c r="J38" s="9">
        <f>SUMIF(Source_PL!$A:$A,$A38,Source_PL!J:J)</f>
        <v>85118.349999999991</v>
      </c>
      <c r="K38" s="9">
        <f>SUMIF(Source_PL!$A:$A,$A38,Source_PL!K:K)</f>
        <v>89297.260000000009</v>
      </c>
      <c r="L38" s="9">
        <f>SUMIF(Source_PL!$A:$A,$A38,Source_PL!L:L)</f>
        <v>130693.11000000002</v>
      </c>
      <c r="M38" s="9">
        <f>SUMIF(Source_PL!$A:$A,$A38,Source_PL!M:M)</f>
        <v>125510.61999999997</v>
      </c>
      <c r="N38" s="8"/>
      <c r="O38" s="9">
        <f>SUM(B38:M38)</f>
        <v>1711399.77</v>
      </c>
    </row>
    <row r="39" spans="1:15" x14ac:dyDescent="0.25">
      <c r="A39" t="s">
        <v>35</v>
      </c>
      <c r="B39" s="6">
        <f>SUMIF(Source_PL!$A:$A,$A39,Source_PL!B:B)</f>
        <v>-6700.45</v>
      </c>
      <c r="C39" s="6">
        <f>SUMIF(Source_PL!$A:$A,$A39,Source_PL!C:C)</f>
        <v>2037.86</v>
      </c>
      <c r="D39" s="6">
        <f>SUMIF(Source_PL!$A:$A,$A39,Source_PL!D:D)</f>
        <v>7569.33</v>
      </c>
      <c r="E39" s="6">
        <f>SUMIF(Source_PL!$A:$A,$A39,Source_PL!E:E)</f>
        <v>7198.68</v>
      </c>
      <c r="F39" s="6">
        <f>SUMIF(Source_PL!$A:$A,$A39,Source_PL!F:F)</f>
        <v>8348.51</v>
      </c>
      <c r="G39" s="6">
        <f>SUMIF(Source_PL!$A:$A,$A39,Source_PL!G:G)</f>
        <v>6059.83</v>
      </c>
      <c r="H39" s="6">
        <f>SUMIF(Source_PL!$A:$A,$A39,Source_PL!H:H)</f>
        <v>5952.81</v>
      </c>
      <c r="I39" s="6">
        <f>SUMIF(Source_PL!$A:$A,$A39,Source_PL!I:I)</f>
        <v>2034.48</v>
      </c>
      <c r="J39" s="6">
        <f>SUMIF(Source_PL!$A:$A,$A39,Source_PL!J:J)</f>
        <v>1012.02</v>
      </c>
      <c r="K39" s="6">
        <f>SUMIF(Source_PL!$A:$A,$A39,Source_PL!K:K)</f>
        <v>3656.46</v>
      </c>
      <c r="L39" s="6">
        <f>SUMIF(Source_PL!$A:$A,$A39,Source_PL!L:L)</f>
        <v>10555.38</v>
      </c>
      <c r="M39" s="6">
        <f>SUMIF(Source_PL!$A:$A,$A39,Source_PL!M:M)</f>
        <v>6934.66</v>
      </c>
      <c r="O39" s="6">
        <f>SUM(B39:M39)</f>
        <v>54659.569999999992</v>
      </c>
    </row>
    <row r="40" spans="1:15" x14ac:dyDescent="0.25">
      <c r="A40" t="s">
        <v>36</v>
      </c>
      <c r="B40" s="6">
        <f>SUMIF(Source_PL!$A:$A,$A40,Source_PL!B:B)</f>
        <v>-1.05</v>
      </c>
      <c r="C40" s="6">
        <f>SUMIF(Source_PL!$A:$A,$A40,Source_PL!C:C)</f>
        <v>-1.05</v>
      </c>
      <c r="D40" s="6">
        <f>SUMIF(Source_PL!$A:$A,$A40,Source_PL!D:D)</f>
        <v>0</v>
      </c>
      <c r="E40" s="6">
        <f>SUMIF(Source_PL!$A:$A,$A40,Source_PL!E:E)</f>
        <v>30</v>
      </c>
      <c r="F40" s="6">
        <f>SUMIF(Source_PL!$A:$A,$A40,Source_PL!F:F)</f>
        <v>0</v>
      </c>
      <c r="G40" s="6">
        <f>SUMIF(Source_PL!$A:$A,$A40,Source_PL!G:G)</f>
        <v>0</v>
      </c>
      <c r="H40" s="6">
        <f>SUMIF(Source_PL!$A:$A,$A40,Source_PL!H:H)</f>
        <v>45.95</v>
      </c>
      <c r="I40" s="6">
        <f>SUMIF(Source_PL!$A:$A,$A40,Source_PL!I:I)</f>
        <v>118.01</v>
      </c>
      <c r="J40" s="6">
        <f>SUMIF(Source_PL!$A:$A,$A40,Source_PL!J:J)</f>
        <v>363.25</v>
      </c>
      <c r="K40" s="6">
        <f>SUMIF(Source_PL!$A:$A,$A40,Source_PL!K:K)</f>
        <v>0</v>
      </c>
      <c r="L40" s="6">
        <f>SUMIF(Source_PL!$A:$A,$A40,Source_PL!L:L)</f>
        <v>446.5</v>
      </c>
      <c r="M40" s="6">
        <f>SUMIF(Source_PL!$A:$A,$A40,Source_PL!M:M)</f>
        <v>50</v>
      </c>
      <c r="O40" s="6">
        <f>SUM(B40:M40)</f>
        <v>1051.6100000000001</v>
      </c>
    </row>
    <row r="41" spans="1:15" x14ac:dyDescent="0.25">
      <c r="A41" t="s">
        <v>37</v>
      </c>
      <c r="B41" s="6">
        <f>SUMIF(Source_PL!$A:$A,$A41,Source_PL!B:B)</f>
        <v>17.09</v>
      </c>
      <c r="C41" s="6">
        <f>SUMIF(Source_PL!$A:$A,$A41,Source_PL!C:C)</f>
        <v>452.9</v>
      </c>
      <c r="D41" s="6">
        <f>SUMIF(Source_PL!$A:$A,$A41,Source_PL!D:D)</f>
        <v>445.76</v>
      </c>
      <c r="E41" s="6">
        <f>SUMIF(Source_PL!$A:$A,$A41,Source_PL!E:E)</f>
        <v>362.2</v>
      </c>
      <c r="F41" s="6">
        <f>SUMIF(Source_PL!$A:$A,$A41,Source_PL!F:F)</f>
        <v>62.14</v>
      </c>
      <c r="G41" s="6">
        <f>SUMIF(Source_PL!$A:$A,$A41,Source_PL!G:G)</f>
        <v>157.86000000000001</v>
      </c>
      <c r="H41" s="6">
        <f>SUMIF(Source_PL!$A:$A,$A41,Source_PL!H:H)</f>
        <v>208.53</v>
      </c>
      <c r="I41" s="6">
        <f>SUMIF(Source_PL!$A:$A,$A41,Source_PL!I:I)</f>
        <v>354.96</v>
      </c>
      <c r="J41" s="6">
        <f>SUMIF(Source_PL!$A:$A,$A41,Source_PL!J:J)</f>
        <v>2789.9</v>
      </c>
      <c r="K41" s="6">
        <f>SUMIF(Source_PL!$A:$A,$A41,Source_PL!K:K)</f>
        <v>456.74</v>
      </c>
      <c r="L41" s="6">
        <f>SUMIF(Source_PL!$A:$A,$A41,Source_PL!L:L)</f>
        <v>2481.6999999999998</v>
      </c>
      <c r="M41" s="6">
        <f>SUMIF(Source_PL!$A:$A,$A41,Source_PL!M:M)</f>
        <v>68.17</v>
      </c>
      <c r="O41" s="6">
        <f>SUM(B41:M41)</f>
        <v>7857.95</v>
      </c>
    </row>
    <row r="42" spans="1:15" x14ac:dyDescent="0.25">
      <c r="A42" t="s">
        <v>38</v>
      </c>
      <c r="B42" s="6">
        <f>SUMIF(Source_PL!$A:$A,$A42,Source_PL!B:B)</f>
        <v>0</v>
      </c>
      <c r="C42" s="6">
        <f>SUMIF(Source_PL!$A:$A,$A42,Source_PL!C:C)</f>
        <v>0</v>
      </c>
      <c r="D42" s="6">
        <f>SUMIF(Source_PL!$A:$A,$A42,Source_PL!D:D)</f>
        <v>0</v>
      </c>
      <c r="E42" s="6">
        <f>SUMIF(Source_PL!$A:$A,$A42,Source_PL!E:E)</f>
        <v>5000</v>
      </c>
      <c r="F42" s="6">
        <f>SUMIF(Source_PL!$A:$A,$A42,Source_PL!F:F)</f>
        <v>0</v>
      </c>
      <c r="G42" s="6">
        <f>SUMIF(Source_PL!$A:$A,$A42,Source_PL!G:G)</f>
        <v>0</v>
      </c>
      <c r="H42" s="6">
        <f>SUMIF(Source_PL!$A:$A,$A42,Source_PL!H:H)</f>
        <v>0</v>
      </c>
      <c r="I42" s="6">
        <f>SUMIF(Source_PL!$A:$A,$A42,Source_PL!I:I)</f>
        <v>105</v>
      </c>
      <c r="J42" s="6">
        <f>SUMIF(Source_PL!$A:$A,$A42,Source_PL!J:J)</f>
        <v>0</v>
      </c>
      <c r="K42" s="6">
        <f>SUMIF(Source_PL!$A:$A,$A42,Source_PL!K:K)</f>
        <v>232.92</v>
      </c>
      <c r="L42" s="6">
        <f>SUMIF(Source_PL!$A:$A,$A42,Source_PL!L:L)</f>
        <v>250</v>
      </c>
      <c r="M42" s="6">
        <f>SUMIF(Source_PL!$A:$A,$A42,Source_PL!M:M)</f>
        <v>450</v>
      </c>
      <c r="O42" s="6">
        <f>SUM(B42:M42)</f>
        <v>6037.92</v>
      </c>
    </row>
    <row r="43" spans="1:15" x14ac:dyDescent="0.25">
      <c r="A43" t="s">
        <v>39</v>
      </c>
      <c r="B43" s="6">
        <f>SUMIF(Source_PL!$A:$A,$A43,Source_PL!B:B)</f>
        <v>4000</v>
      </c>
      <c r="C43" s="6">
        <f>SUMIF(Source_PL!$A:$A,$A43,Source_PL!C:C)</f>
        <v>0</v>
      </c>
      <c r="D43" s="6">
        <f>SUMIF(Source_PL!$A:$A,$A43,Source_PL!D:D)</f>
        <v>0</v>
      </c>
      <c r="E43" s="6">
        <f>SUMIF(Source_PL!$A:$A,$A43,Source_PL!E:E)</f>
        <v>0</v>
      </c>
      <c r="F43" s="6">
        <f>SUMIF(Source_PL!$A:$A,$A43,Source_PL!F:F)</f>
        <v>0</v>
      </c>
      <c r="G43" s="6">
        <f>SUMIF(Source_PL!$A:$A,$A43,Source_PL!G:G)</f>
        <v>0</v>
      </c>
      <c r="H43" s="6">
        <f>SUMIF(Source_PL!$A:$A,$A43,Source_PL!H:H)</f>
        <v>0</v>
      </c>
      <c r="I43" s="6">
        <f>SUMIF(Source_PL!$A:$A,$A43,Source_PL!I:I)</f>
        <v>0</v>
      </c>
      <c r="J43" s="6">
        <f>SUMIF(Source_PL!$A:$A,$A43,Source_PL!J:J)</f>
        <v>0</v>
      </c>
      <c r="K43" s="6">
        <f>SUMIF(Source_PL!$A:$A,$A43,Source_PL!K:K)</f>
        <v>0</v>
      </c>
      <c r="L43" s="6">
        <f>SUMIF(Source_PL!$A:$A,$A43,Source_PL!L:L)</f>
        <v>0</v>
      </c>
      <c r="M43" s="6">
        <f>SUMIF(Source_PL!$A:$A,$A43,Source_PL!M:M)</f>
        <v>0</v>
      </c>
      <c r="O43" s="6">
        <f>SUM(B43:M43)</f>
        <v>4000</v>
      </c>
    </row>
    <row r="44" spans="1:15" x14ac:dyDescent="0.25">
      <c r="A44" t="s">
        <v>40</v>
      </c>
      <c r="B44" s="6">
        <f>SUMIF(Source_PL!$A:$A,$A44,Source_PL!B:B)</f>
        <v>4500</v>
      </c>
      <c r="C44" s="6">
        <f>SUMIF(Source_PL!$A:$A,$A44,Source_PL!C:C)</f>
        <v>0</v>
      </c>
      <c r="D44" s="6">
        <f>SUMIF(Source_PL!$A:$A,$A44,Source_PL!D:D)</f>
        <v>0</v>
      </c>
      <c r="E44" s="6">
        <f>SUMIF(Source_PL!$A:$A,$A44,Source_PL!E:E)</f>
        <v>0</v>
      </c>
      <c r="F44" s="6">
        <f>SUMIF(Source_PL!$A:$A,$A44,Source_PL!F:F)</f>
        <v>0</v>
      </c>
      <c r="G44" s="6">
        <f>SUMIF(Source_PL!$A:$A,$A44,Source_PL!G:G)</f>
        <v>0</v>
      </c>
      <c r="H44" s="6">
        <f>SUMIF(Source_PL!$A:$A,$A44,Source_PL!H:H)</f>
        <v>0</v>
      </c>
      <c r="I44" s="6">
        <f>SUMIF(Source_PL!$A:$A,$A44,Source_PL!I:I)</f>
        <v>0</v>
      </c>
      <c r="J44" s="6">
        <f>SUMIF(Source_PL!$A:$A,$A44,Source_PL!J:J)</f>
        <v>0</v>
      </c>
      <c r="K44" s="6">
        <f>SUMIF(Source_PL!$A:$A,$A44,Source_PL!K:K)</f>
        <v>0</v>
      </c>
      <c r="L44" s="6">
        <f>SUMIF(Source_PL!$A:$A,$A44,Source_PL!L:L)</f>
        <v>0</v>
      </c>
      <c r="M44" s="6">
        <f>SUMIF(Source_PL!$A:$A,$A44,Source_PL!M:M)</f>
        <v>0</v>
      </c>
      <c r="O44" s="6">
        <f>SUM(B44:M44)</f>
        <v>4500</v>
      </c>
    </row>
    <row r="45" spans="1:15" x14ac:dyDescent="0.25">
      <c r="A45" t="s">
        <v>41</v>
      </c>
      <c r="B45" s="6">
        <f>SUMIF(Source_PL!$A:$A,$A45,Source_PL!B:B)</f>
        <v>1063.5</v>
      </c>
      <c r="C45" s="6">
        <f>SUMIF(Source_PL!$A:$A,$A45,Source_PL!C:C)</f>
        <v>663.32</v>
      </c>
      <c r="D45" s="6">
        <f>SUMIF(Source_PL!$A:$A,$A45,Source_PL!D:D)</f>
        <v>975</v>
      </c>
      <c r="E45" s="6">
        <f>SUMIF(Source_PL!$A:$A,$A45,Source_PL!E:E)</f>
        <v>389.32</v>
      </c>
      <c r="F45" s="6">
        <f>SUMIF(Source_PL!$A:$A,$A45,Source_PL!F:F)</f>
        <v>1266.47</v>
      </c>
      <c r="G45" s="6">
        <f>SUMIF(Source_PL!$A:$A,$A45,Source_PL!G:G)</f>
        <v>2844.46</v>
      </c>
      <c r="H45" s="6">
        <f>SUMIF(Source_PL!$A:$A,$A45,Source_PL!H:H)</f>
        <v>0</v>
      </c>
      <c r="I45" s="6">
        <f>SUMIF(Source_PL!$A:$A,$A45,Source_PL!I:I)</f>
        <v>315.39999999999998</v>
      </c>
      <c r="J45" s="6">
        <f>SUMIF(Source_PL!$A:$A,$A45,Source_PL!J:J)</f>
        <v>1185.8599999999999</v>
      </c>
      <c r="K45" s="6">
        <f>SUMIF(Source_PL!$A:$A,$A45,Source_PL!K:K)</f>
        <v>305.33999999999997</v>
      </c>
      <c r="L45" s="6">
        <f>SUMIF(Source_PL!$A:$A,$A45,Source_PL!L:L)</f>
        <v>1525.53</v>
      </c>
      <c r="M45" s="6">
        <f>SUMIF(Source_PL!$A:$A,$A45,Source_PL!M:M)</f>
        <v>3476.38</v>
      </c>
      <c r="O45" s="6">
        <f>SUM(B45:M45)</f>
        <v>14010.580000000002</v>
      </c>
    </row>
    <row r="46" spans="1:15" x14ac:dyDescent="0.25">
      <c r="A46" t="s">
        <v>42</v>
      </c>
      <c r="B46" s="6">
        <f>SUMIF(Source_PL!$A:$A,$A46,Source_PL!B:B)</f>
        <v>45.12</v>
      </c>
      <c r="C46" s="6">
        <f>SUMIF(Source_PL!$A:$A,$A46,Source_PL!C:C)</f>
        <v>0</v>
      </c>
      <c r="D46" s="6">
        <f>SUMIF(Source_PL!$A:$A,$A46,Source_PL!D:D)</f>
        <v>0</v>
      </c>
      <c r="E46" s="6">
        <f>SUMIF(Source_PL!$A:$A,$A46,Source_PL!E:E)</f>
        <v>386.36</v>
      </c>
      <c r="F46" s="6">
        <f>SUMIF(Source_PL!$A:$A,$A46,Source_PL!F:F)</f>
        <v>135.54</v>
      </c>
      <c r="G46" s="6">
        <f>SUMIF(Source_PL!$A:$A,$A46,Source_PL!G:G)</f>
        <v>0</v>
      </c>
      <c r="H46" s="6">
        <f>SUMIF(Source_PL!$A:$A,$A46,Source_PL!H:H)</f>
        <v>0</v>
      </c>
      <c r="I46" s="6">
        <f>SUMIF(Source_PL!$A:$A,$A46,Source_PL!I:I)</f>
        <v>0</v>
      </c>
      <c r="J46" s="6">
        <f>SUMIF(Source_PL!$A:$A,$A46,Source_PL!J:J)</f>
        <v>0</v>
      </c>
      <c r="K46" s="6">
        <f>SUMIF(Source_PL!$A:$A,$A46,Source_PL!K:K)</f>
        <v>0</v>
      </c>
      <c r="L46" s="6">
        <f>SUMIF(Source_PL!$A:$A,$A46,Source_PL!L:L)</f>
        <v>0</v>
      </c>
      <c r="M46" s="6">
        <f>SUMIF(Source_PL!$A:$A,$A46,Source_PL!M:M)</f>
        <v>355.89</v>
      </c>
      <c r="O46" s="6">
        <f>SUM(B46:M46)</f>
        <v>922.91</v>
      </c>
    </row>
    <row r="47" spans="1:15" x14ac:dyDescent="0.25">
      <c r="A47" t="s">
        <v>43</v>
      </c>
      <c r="B47" s="6">
        <f>SUMIF(Source_PL!$A:$A,$A47,Source_PL!B:B)</f>
        <v>0</v>
      </c>
      <c r="C47" s="6">
        <f>SUMIF(Source_PL!$A:$A,$A47,Source_PL!C:C)</f>
        <v>0</v>
      </c>
      <c r="D47" s="6">
        <f>SUMIF(Source_PL!$A:$A,$A47,Source_PL!D:D)</f>
        <v>0</v>
      </c>
      <c r="E47" s="6">
        <f>SUMIF(Source_PL!$A:$A,$A47,Source_PL!E:E)</f>
        <v>0</v>
      </c>
      <c r="F47" s="6">
        <f>SUMIF(Source_PL!$A:$A,$A47,Source_PL!F:F)</f>
        <v>0</v>
      </c>
      <c r="G47" s="6">
        <f>SUMIF(Source_PL!$A:$A,$A47,Source_PL!G:G)</f>
        <v>0</v>
      </c>
      <c r="H47" s="6">
        <f>SUMIF(Source_PL!$A:$A,$A47,Source_PL!H:H)</f>
        <v>0</v>
      </c>
      <c r="I47" s="6">
        <f>SUMIF(Source_PL!$A:$A,$A47,Source_PL!I:I)</f>
        <v>0</v>
      </c>
      <c r="J47" s="6">
        <f>SUMIF(Source_PL!$A:$A,$A47,Source_PL!J:J)</f>
        <v>0</v>
      </c>
      <c r="K47" s="6">
        <f>SUMIF(Source_PL!$A:$A,$A47,Source_PL!K:K)</f>
        <v>0</v>
      </c>
      <c r="L47" s="6">
        <f>SUMIF(Source_PL!$A:$A,$A47,Source_PL!L:L)</f>
        <v>0</v>
      </c>
      <c r="M47" s="6">
        <f>SUMIF(Source_PL!$A:$A,$A47,Source_PL!M:M)</f>
        <v>85</v>
      </c>
      <c r="O47" s="6">
        <f>SUM(B47:M47)</f>
        <v>85</v>
      </c>
    </row>
    <row r="48" spans="1:15" x14ac:dyDescent="0.25">
      <c r="A48" t="s">
        <v>44</v>
      </c>
      <c r="B48" s="6">
        <f>SUMIF(Source_PL!$A:$A,$A48,Source_PL!B:B)</f>
        <v>3692.81</v>
      </c>
      <c r="C48" s="6">
        <f>SUMIF(Source_PL!$A:$A,$A48,Source_PL!C:C)</f>
        <v>633.78</v>
      </c>
      <c r="D48" s="6">
        <f>SUMIF(Source_PL!$A:$A,$A48,Source_PL!D:D)</f>
        <v>2744.23</v>
      </c>
      <c r="E48" s="6">
        <f>SUMIF(Source_PL!$A:$A,$A48,Source_PL!E:E)</f>
        <v>439.98</v>
      </c>
      <c r="F48" s="6">
        <f>SUMIF(Source_PL!$A:$A,$A48,Source_PL!F:F)</f>
        <v>558.77</v>
      </c>
      <c r="G48" s="6">
        <f>SUMIF(Source_PL!$A:$A,$A48,Source_PL!G:G)</f>
        <v>567.16999999999996</v>
      </c>
      <c r="H48" s="6">
        <f>SUMIF(Source_PL!$A:$A,$A48,Source_PL!H:H)</f>
        <v>439.98</v>
      </c>
      <c r="I48" s="6">
        <f>SUMIF(Source_PL!$A:$A,$A48,Source_PL!I:I)</f>
        <v>809.98</v>
      </c>
      <c r="J48" s="6">
        <f>SUMIF(Source_PL!$A:$A,$A48,Source_PL!J:J)</f>
        <v>4383.79</v>
      </c>
      <c r="K48" s="6">
        <f>SUMIF(Source_PL!$A:$A,$A48,Source_PL!K:K)</f>
        <v>1548.12</v>
      </c>
      <c r="L48" s="6">
        <f>SUMIF(Source_PL!$A:$A,$A48,Source_PL!L:L)</f>
        <v>6735.99</v>
      </c>
      <c r="M48" s="6">
        <f>SUMIF(Source_PL!$A:$A,$A48,Source_PL!M:M)</f>
        <v>3412.4</v>
      </c>
      <c r="O48" s="6">
        <f>SUM(B48:M48)</f>
        <v>25967</v>
      </c>
    </row>
    <row r="49" spans="1:15" x14ac:dyDescent="0.25">
      <c r="A49" t="s">
        <v>45</v>
      </c>
      <c r="B49" s="6">
        <f>SUMIF(Source_PL!$A:$A,$A49,Source_PL!B:B)</f>
        <v>154.80000000000001</v>
      </c>
      <c r="C49" s="6">
        <f>SUMIF(Source_PL!$A:$A,$A49,Source_PL!C:C)</f>
        <v>19.5</v>
      </c>
      <c r="D49" s="6">
        <f>SUMIF(Source_PL!$A:$A,$A49,Source_PL!D:D)</f>
        <v>0</v>
      </c>
      <c r="E49" s="6">
        <f>SUMIF(Source_PL!$A:$A,$A49,Source_PL!E:E)</f>
        <v>0</v>
      </c>
      <c r="F49" s="6">
        <f>SUMIF(Source_PL!$A:$A,$A49,Source_PL!F:F)</f>
        <v>0</v>
      </c>
      <c r="G49" s="6">
        <f>SUMIF(Source_PL!$A:$A,$A49,Source_PL!G:G)</f>
        <v>0</v>
      </c>
      <c r="H49" s="6">
        <f>SUMIF(Source_PL!$A:$A,$A49,Source_PL!H:H)</f>
        <v>0</v>
      </c>
      <c r="I49" s="6">
        <f>SUMIF(Source_PL!$A:$A,$A49,Source_PL!I:I)</f>
        <v>0</v>
      </c>
      <c r="J49" s="6">
        <f>SUMIF(Source_PL!$A:$A,$A49,Source_PL!J:J)</f>
        <v>0</v>
      </c>
      <c r="K49" s="6">
        <f>SUMIF(Source_PL!$A:$A,$A49,Source_PL!K:K)</f>
        <v>0</v>
      </c>
      <c r="L49" s="6">
        <f>SUMIF(Source_PL!$A:$A,$A49,Source_PL!L:L)</f>
        <v>0</v>
      </c>
      <c r="M49" s="6">
        <f>SUMIF(Source_PL!$A:$A,$A49,Source_PL!M:M)</f>
        <v>244502.89</v>
      </c>
      <c r="O49" s="6">
        <f>SUM(B49:M49)</f>
        <v>244677.19</v>
      </c>
    </row>
    <row r="50" spans="1:15" x14ac:dyDescent="0.25">
      <c r="A50" t="s">
        <v>46</v>
      </c>
      <c r="B50" s="6">
        <f>SUMIF(Source_PL!$A:$A,$A50,Source_PL!B:B)</f>
        <v>5016.1499999999996</v>
      </c>
      <c r="C50" s="6">
        <f>SUMIF(Source_PL!$A:$A,$A50,Source_PL!C:C)</f>
        <v>6656.08</v>
      </c>
      <c r="D50" s="6">
        <f>SUMIF(Source_PL!$A:$A,$A50,Source_PL!D:D)</f>
        <v>9443.77</v>
      </c>
      <c r="E50" s="6">
        <f>SUMIF(Source_PL!$A:$A,$A50,Source_PL!E:E)</f>
        <v>1628.67</v>
      </c>
      <c r="F50" s="6">
        <f>SUMIF(Source_PL!$A:$A,$A50,Source_PL!F:F)</f>
        <v>2955.66</v>
      </c>
      <c r="G50" s="6">
        <f>SUMIF(Source_PL!$A:$A,$A50,Source_PL!G:G)</f>
        <v>2198.3000000000002</v>
      </c>
      <c r="H50" s="6">
        <f>SUMIF(Source_PL!$A:$A,$A50,Source_PL!H:H)</f>
        <v>8192.34</v>
      </c>
      <c r="I50" s="6">
        <f>SUMIF(Source_PL!$A:$A,$A50,Source_PL!I:I)</f>
        <v>4969.2299999999996</v>
      </c>
      <c r="J50" s="6">
        <f>SUMIF(Source_PL!$A:$A,$A50,Source_PL!J:J)</f>
        <v>6184.91</v>
      </c>
      <c r="K50" s="6">
        <f>SUMIF(Source_PL!$A:$A,$A50,Source_PL!K:K)</f>
        <v>4036.66</v>
      </c>
      <c r="L50" s="6">
        <f>SUMIF(Source_PL!$A:$A,$A50,Source_PL!L:L)</f>
        <v>4371.2299999999996</v>
      </c>
      <c r="M50" s="6">
        <f>SUMIF(Source_PL!$A:$A,$A50,Source_PL!M:M)</f>
        <v>3523.19</v>
      </c>
      <c r="O50" s="6">
        <f>SUM(B50:M50)</f>
        <v>59176.19</v>
      </c>
    </row>
    <row r="51" spans="1:15" x14ac:dyDescent="0.25">
      <c r="A51" t="s">
        <v>47</v>
      </c>
      <c r="B51" s="6">
        <f>SUMIF(Source_PL!$A:$A,$A51,Source_PL!B:B)</f>
        <v>5327.62</v>
      </c>
      <c r="C51" s="6">
        <f>SUMIF(Source_PL!$A:$A,$A51,Source_PL!C:C)</f>
        <v>5287.54</v>
      </c>
      <c r="D51" s="6">
        <f>SUMIF(Source_PL!$A:$A,$A51,Source_PL!D:D)</f>
        <v>5067.1099999999997</v>
      </c>
      <c r="E51" s="6">
        <f>SUMIF(Source_PL!$A:$A,$A51,Source_PL!E:E)</f>
        <v>5495.05</v>
      </c>
      <c r="F51" s="6">
        <f>SUMIF(Source_PL!$A:$A,$A51,Source_PL!F:F)</f>
        <v>6161.37</v>
      </c>
      <c r="G51" s="6">
        <f>SUMIF(Source_PL!$A:$A,$A51,Source_PL!G:G)</f>
        <v>5454.97</v>
      </c>
      <c r="H51" s="6">
        <f>SUMIF(Source_PL!$A:$A,$A51,Source_PL!H:H)</f>
        <v>5589.07</v>
      </c>
      <c r="I51" s="6">
        <f>SUMIF(Source_PL!$A:$A,$A51,Source_PL!I:I)</f>
        <v>1926.19</v>
      </c>
      <c r="J51" s="6">
        <f>SUMIF(Source_PL!$A:$A,$A51,Source_PL!J:J)</f>
        <v>2866.18</v>
      </c>
      <c r="K51" s="6">
        <f>SUMIF(Source_PL!$A:$A,$A51,Source_PL!K:K)</f>
        <v>2095.19</v>
      </c>
      <c r="L51" s="6">
        <f>SUMIF(Source_PL!$A:$A,$A51,Source_PL!L:L)</f>
        <v>2437.12</v>
      </c>
      <c r="M51" s="6">
        <f>SUMIF(Source_PL!$A:$A,$A51,Source_PL!M:M)</f>
        <v>3871.62</v>
      </c>
      <c r="O51" s="6">
        <f>SUM(B51:M51)</f>
        <v>51579.030000000006</v>
      </c>
    </row>
    <row r="52" spans="1:15" x14ac:dyDescent="0.25">
      <c r="A52" t="s">
        <v>48</v>
      </c>
      <c r="B52" s="6">
        <f>SUMIF(Source_PL!$A:$A,$A52,Source_PL!B:B)</f>
        <v>0</v>
      </c>
      <c r="C52" s="6">
        <f>SUMIF(Source_PL!$A:$A,$A52,Source_PL!C:C)</f>
        <v>30543.58</v>
      </c>
      <c r="D52" s="6">
        <f>SUMIF(Source_PL!$A:$A,$A52,Source_PL!D:D)</f>
        <v>0</v>
      </c>
      <c r="E52" s="6">
        <f>SUMIF(Source_PL!$A:$A,$A52,Source_PL!E:E)</f>
        <v>0</v>
      </c>
      <c r="F52" s="6">
        <f>SUMIF(Source_PL!$A:$A,$A52,Source_PL!F:F)</f>
        <v>0</v>
      </c>
      <c r="G52" s="6">
        <f>SUMIF(Source_PL!$A:$A,$A52,Source_PL!G:G)</f>
        <v>2804</v>
      </c>
      <c r="H52" s="6">
        <f>SUMIF(Source_PL!$A:$A,$A52,Source_PL!H:H)</f>
        <v>0</v>
      </c>
      <c r="I52" s="6">
        <f>SUMIF(Source_PL!$A:$A,$A52,Source_PL!I:I)</f>
        <v>0</v>
      </c>
      <c r="J52" s="6">
        <f>SUMIF(Source_PL!$A:$A,$A52,Source_PL!J:J)</f>
        <v>0</v>
      </c>
      <c r="K52" s="6">
        <f>SUMIF(Source_PL!$A:$A,$A52,Source_PL!K:K)</f>
        <v>0</v>
      </c>
      <c r="L52" s="6">
        <f>SUMIF(Source_PL!$A:$A,$A52,Source_PL!L:L)</f>
        <v>0</v>
      </c>
      <c r="M52" s="6">
        <f>SUMIF(Source_PL!$A:$A,$A52,Source_PL!M:M)</f>
        <v>0</v>
      </c>
      <c r="O52" s="6">
        <f>SUM(B52:M52)</f>
        <v>33347.58</v>
      </c>
    </row>
    <row r="53" spans="1:15" x14ac:dyDescent="0.25">
      <c r="A53" t="s">
        <v>49</v>
      </c>
      <c r="B53" s="6">
        <f>SUMIF(Source_PL!$A:$A,$A53,Source_PL!B:B)</f>
        <v>334</v>
      </c>
      <c r="C53" s="6">
        <f>SUMIF(Source_PL!$A:$A,$A53,Source_PL!C:C)</f>
        <v>349.81</v>
      </c>
      <c r="D53" s="6">
        <f>SUMIF(Source_PL!$A:$A,$A53,Source_PL!D:D)</f>
        <v>278.35000000000002</v>
      </c>
      <c r="E53" s="6">
        <f>SUMIF(Source_PL!$A:$A,$A53,Source_PL!E:E)</f>
        <v>249</v>
      </c>
      <c r="F53" s="6">
        <f>SUMIF(Source_PL!$A:$A,$A53,Source_PL!F:F)</f>
        <v>249</v>
      </c>
      <c r="G53" s="6">
        <f>SUMIF(Source_PL!$A:$A,$A53,Source_PL!G:G)</f>
        <v>249</v>
      </c>
      <c r="H53" s="6">
        <f>SUMIF(Source_PL!$A:$A,$A53,Source_PL!H:H)</f>
        <v>293.95</v>
      </c>
      <c r="I53" s="6">
        <f>SUMIF(Source_PL!$A:$A,$A53,Source_PL!I:I)</f>
        <v>293.95</v>
      </c>
      <c r="J53" s="6">
        <f>SUMIF(Source_PL!$A:$A,$A53,Source_PL!J:J)</f>
        <v>692.9</v>
      </c>
      <c r="K53" s="6">
        <f>SUMIF(Source_PL!$A:$A,$A53,Source_PL!K:K)</f>
        <v>303.95</v>
      </c>
      <c r="L53" s="6">
        <f>SUMIF(Source_PL!$A:$A,$A53,Source_PL!L:L)</f>
        <v>293.95</v>
      </c>
      <c r="M53" s="6">
        <f>SUMIF(Source_PL!$A:$A,$A53,Source_PL!M:M)</f>
        <v>543.95000000000005</v>
      </c>
      <c r="O53" s="6">
        <f>SUM(B53:M53)</f>
        <v>4131.8099999999995</v>
      </c>
    </row>
    <row r="54" spans="1:15" x14ac:dyDescent="0.25">
      <c r="A54" t="s">
        <v>50</v>
      </c>
      <c r="B54" s="6">
        <f>SUMIF(Source_PL!$A:$A,$A54,Source_PL!B:B)</f>
        <v>0</v>
      </c>
      <c r="C54" s="6">
        <f>SUMIF(Source_PL!$A:$A,$A54,Source_PL!C:C)</f>
        <v>0</v>
      </c>
      <c r="D54" s="6">
        <f>SUMIF(Source_PL!$A:$A,$A54,Source_PL!D:D)</f>
        <v>0</v>
      </c>
      <c r="E54" s="6">
        <f>SUMIF(Source_PL!$A:$A,$A54,Source_PL!E:E)</f>
        <v>0</v>
      </c>
      <c r="F54" s="6">
        <f>SUMIF(Source_PL!$A:$A,$A54,Source_PL!F:F)</f>
        <v>7749</v>
      </c>
      <c r="G54" s="6">
        <f>SUMIF(Source_PL!$A:$A,$A54,Source_PL!G:G)</f>
        <v>-224</v>
      </c>
      <c r="H54" s="6">
        <f>SUMIF(Source_PL!$A:$A,$A54,Source_PL!H:H)</f>
        <v>625</v>
      </c>
      <c r="I54" s="6">
        <f>SUMIF(Source_PL!$A:$A,$A54,Source_PL!I:I)</f>
        <v>42374.61</v>
      </c>
      <c r="J54" s="6">
        <f>SUMIF(Source_PL!$A:$A,$A54,Source_PL!J:J)</f>
        <v>0</v>
      </c>
      <c r="K54" s="6">
        <f>SUMIF(Source_PL!$A:$A,$A54,Source_PL!K:K)</f>
        <v>0</v>
      </c>
      <c r="L54" s="6">
        <f>SUMIF(Source_PL!$A:$A,$A54,Source_PL!L:L)</f>
        <v>31948.82</v>
      </c>
      <c r="M54" s="6">
        <f>SUMIF(Source_PL!$A:$A,$A54,Source_PL!M:M)</f>
        <v>11781</v>
      </c>
      <c r="O54" s="6">
        <f>SUM(B54:M54)</f>
        <v>94254.43</v>
      </c>
    </row>
    <row r="55" spans="1:15" x14ac:dyDescent="0.25">
      <c r="A55" t="s">
        <v>51</v>
      </c>
      <c r="B55" s="6">
        <f>SUMIF(Source_PL!$A:$A,$A55,Source_PL!B:B)</f>
        <v>192.96</v>
      </c>
      <c r="C55" s="6">
        <f>SUMIF(Source_PL!$A:$A,$A55,Source_PL!C:C)</f>
        <v>1903.36</v>
      </c>
      <c r="D55" s="6">
        <f>SUMIF(Source_PL!$A:$A,$A55,Source_PL!D:D)</f>
        <v>1364.57</v>
      </c>
      <c r="E55" s="6">
        <f>SUMIF(Source_PL!$A:$A,$A55,Source_PL!E:E)</f>
        <v>192.96</v>
      </c>
      <c r="F55" s="6">
        <f>SUMIF(Source_PL!$A:$A,$A55,Source_PL!F:F)</f>
        <v>192.96</v>
      </c>
      <c r="G55" s="6">
        <f>SUMIF(Source_PL!$A:$A,$A55,Source_PL!G:G)</f>
        <v>136.18</v>
      </c>
      <c r="H55" s="6">
        <f>SUMIF(Source_PL!$A:$A,$A55,Source_PL!H:H)</f>
        <v>192.96</v>
      </c>
      <c r="I55" s="6">
        <f>SUMIF(Source_PL!$A:$A,$A55,Source_PL!I:I)</f>
        <v>192.96</v>
      </c>
      <c r="J55" s="6">
        <f>SUMIF(Source_PL!$A:$A,$A55,Source_PL!J:J)</f>
        <v>192.96</v>
      </c>
      <c r="K55" s="6">
        <f>SUMIF(Source_PL!$A:$A,$A55,Source_PL!K:K)</f>
        <v>192.96</v>
      </c>
      <c r="L55" s="6">
        <f>SUMIF(Source_PL!$A:$A,$A55,Source_PL!L:L)</f>
        <v>192.96</v>
      </c>
      <c r="M55" s="6">
        <f>SUMIF(Source_PL!$A:$A,$A55,Source_PL!M:M)</f>
        <v>192.96</v>
      </c>
      <c r="O55" s="6">
        <f>SUM(B55:M55)</f>
        <v>5140.7499999999991</v>
      </c>
    </row>
    <row r="56" spans="1:15" x14ac:dyDescent="0.25">
      <c r="A56" t="s">
        <v>52</v>
      </c>
      <c r="B56" s="6">
        <f>SUMIF(Source_PL!$A:$A,$A56,Source_PL!B:B)</f>
        <v>0</v>
      </c>
      <c r="C56" s="6">
        <f>SUMIF(Source_PL!$A:$A,$A56,Source_PL!C:C)</f>
        <v>0</v>
      </c>
      <c r="D56" s="6">
        <f>SUMIF(Source_PL!$A:$A,$A56,Source_PL!D:D)</f>
        <v>0</v>
      </c>
      <c r="E56" s="6">
        <f>SUMIF(Source_PL!$A:$A,$A56,Source_PL!E:E)</f>
        <v>579.42999999999995</v>
      </c>
      <c r="F56" s="6">
        <f>SUMIF(Source_PL!$A:$A,$A56,Source_PL!F:F)</f>
        <v>579.42999999999995</v>
      </c>
      <c r="G56" s="6">
        <f>SUMIF(Source_PL!$A:$A,$A56,Source_PL!G:G)</f>
        <v>554.92999999999995</v>
      </c>
      <c r="H56" s="6">
        <f>SUMIF(Source_PL!$A:$A,$A56,Source_PL!H:H)</f>
        <v>603.92999999999995</v>
      </c>
      <c r="I56" s="6">
        <f>SUMIF(Source_PL!$A:$A,$A56,Source_PL!I:I)</f>
        <v>579.42999999999995</v>
      </c>
      <c r="J56" s="6">
        <f>SUMIF(Source_PL!$A:$A,$A56,Source_PL!J:J)</f>
        <v>579.42999999999995</v>
      </c>
      <c r="K56" s="6">
        <f>SUMIF(Source_PL!$A:$A,$A56,Source_PL!K:K)</f>
        <v>579.42999999999995</v>
      </c>
      <c r="L56" s="6">
        <f>SUMIF(Source_PL!$A:$A,$A56,Source_PL!L:L)</f>
        <v>579.42999999999995</v>
      </c>
      <c r="M56" s="6">
        <f>SUMIF(Source_PL!$A:$A,$A56,Source_PL!M:M)</f>
        <v>603.92999999999995</v>
      </c>
      <c r="O56" s="6">
        <f>SUM(B56:M56)</f>
        <v>5239.37</v>
      </c>
    </row>
    <row r="57" spans="1:15" x14ac:dyDescent="0.25">
      <c r="A57" t="s">
        <v>53</v>
      </c>
      <c r="B57" s="6">
        <f>SUMIF(Source_PL!$A:$A,$A57,Source_PL!B:B)</f>
        <v>0</v>
      </c>
      <c r="C57" s="6">
        <f>SUMIF(Source_PL!$A:$A,$A57,Source_PL!C:C)</f>
        <v>0</v>
      </c>
      <c r="D57" s="6">
        <f>SUMIF(Source_PL!$A:$A,$A57,Source_PL!D:D)</f>
        <v>0</v>
      </c>
      <c r="E57" s="6">
        <f>SUMIF(Source_PL!$A:$A,$A57,Source_PL!E:E)</f>
        <v>493.25</v>
      </c>
      <c r="F57" s="6">
        <f>SUMIF(Source_PL!$A:$A,$A57,Source_PL!F:F)</f>
        <v>519.72</v>
      </c>
      <c r="G57" s="6">
        <f>SUMIF(Source_PL!$A:$A,$A57,Source_PL!G:G)</f>
        <v>493.25</v>
      </c>
      <c r="H57" s="6">
        <f>SUMIF(Source_PL!$A:$A,$A57,Source_PL!H:H)</f>
        <v>539.22</v>
      </c>
      <c r="I57" s="6">
        <f>SUMIF(Source_PL!$A:$A,$A57,Source_PL!I:I)</f>
        <v>519.17999999999995</v>
      </c>
      <c r="J57" s="6">
        <f>SUMIF(Source_PL!$A:$A,$A57,Source_PL!J:J)</f>
        <v>520.95000000000005</v>
      </c>
      <c r="K57" s="6">
        <f>SUMIF(Source_PL!$A:$A,$A57,Source_PL!K:K)</f>
        <v>510.34</v>
      </c>
      <c r="L57" s="6">
        <f>SUMIF(Source_PL!$A:$A,$A57,Source_PL!L:L)</f>
        <v>495.9</v>
      </c>
      <c r="M57" s="6">
        <f>SUMIF(Source_PL!$A:$A,$A57,Source_PL!M:M)</f>
        <v>525.25</v>
      </c>
      <c r="O57" s="6">
        <f>SUM(B57:M57)</f>
        <v>4617.0599999999995</v>
      </c>
    </row>
    <row r="58" spans="1:15" x14ac:dyDescent="0.25">
      <c r="A58" t="s">
        <v>54</v>
      </c>
      <c r="B58" s="6">
        <f>SUMIF(Source_PL!$A:$A,$A58,Source_PL!B:B)</f>
        <v>14320.23</v>
      </c>
      <c r="C58" s="6">
        <f>SUMIF(Source_PL!$A:$A,$A58,Source_PL!C:C)</f>
        <v>12716.16</v>
      </c>
      <c r="D58" s="6">
        <f>SUMIF(Source_PL!$A:$A,$A58,Source_PL!D:D)</f>
        <v>16943.939999999999</v>
      </c>
      <c r="E58" s="6">
        <f>SUMIF(Source_PL!$A:$A,$A58,Source_PL!E:E)</f>
        <v>24151.86</v>
      </c>
      <c r="F58" s="6">
        <f>SUMIF(Source_PL!$A:$A,$A58,Source_PL!F:F)</f>
        <v>4191.66</v>
      </c>
      <c r="G58" s="6">
        <f>SUMIF(Source_PL!$A:$A,$A58,Source_PL!G:G)</f>
        <v>4191.66</v>
      </c>
      <c r="H58" s="6">
        <f>SUMIF(Source_PL!$A:$A,$A58,Source_PL!H:H)</f>
        <v>4657.3999999999996</v>
      </c>
      <c r="I58" s="6">
        <f>SUMIF(Source_PL!$A:$A,$A58,Source_PL!I:I)</f>
        <v>4657.3999999999996</v>
      </c>
      <c r="J58" s="6">
        <f>SUMIF(Source_PL!$A:$A,$A58,Source_PL!J:J)</f>
        <v>4657.3999999999996</v>
      </c>
      <c r="K58" s="6">
        <f>SUMIF(Source_PL!$A:$A,$A58,Source_PL!K:K)</f>
        <v>4036.41</v>
      </c>
      <c r="L58" s="6">
        <f>SUMIF(Source_PL!$A:$A,$A58,Source_PL!L:L)</f>
        <v>4657.3999999999996</v>
      </c>
      <c r="M58" s="6">
        <f>SUMIF(Source_PL!$A:$A,$A58,Source_PL!M:M)</f>
        <v>6327.58</v>
      </c>
      <c r="O58" s="6">
        <f>SUM(B58:M58)</f>
        <v>105509.09999999999</v>
      </c>
    </row>
    <row r="59" spans="1:15" x14ac:dyDescent="0.25">
      <c r="A59" t="s">
        <v>55</v>
      </c>
      <c r="B59" s="6">
        <f>SUMIF(Source_PL!$A:$A,$A59,Source_PL!B:B)</f>
        <v>0</v>
      </c>
      <c r="C59" s="6">
        <f>SUMIF(Source_PL!$A:$A,$A59,Source_PL!C:C)</f>
        <v>0</v>
      </c>
      <c r="D59" s="6">
        <f>SUMIF(Source_PL!$A:$A,$A59,Source_PL!D:D)</f>
        <v>0</v>
      </c>
      <c r="E59" s="6">
        <f>SUMIF(Source_PL!$A:$A,$A59,Source_PL!E:E)</f>
        <v>0</v>
      </c>
      <c r="F59" s="6">
        <f>SUMIF(Source_PL!$A:$A,$A59,Source_PL!F:F)</f>
        <v>10506.12</v>
      </c>
      <c r="G59" s="6">
        <f>SUMIF(Source_PL!$A:$A,$A59,Source_PL!G:G)</f>
        <v>8262.08</v>
      </c>
      <c r="H59" s="6">
        <f>SUMIF(Source_PL!$A:$A,$A59,Source_PL!H:H)</f>
        <v>11239.18</v>
      </c>
      <c r="I59" s="6">
        <f>SUMIF(Source_PL!$A:$A,$A59,Source_PL!I:I)</f>
        <v>7376.23</v>
      </c>
      <c r="J59" s="6">
        <f>SUMIF(Source_PL!$A:$A,$A59,Source_PL!J:J)</f>
        <v>11239.18</v>
      </c>
      <c r="K59" s="6">
        <f>SUMIF(Source_PL!$A:$A,$A59,Source_PL!K:K)</f>
        <v>11326.71</v>
      </c>
      <c r="L59" s="6">
        <f>SUMIF(Source_PL!$A:$A,$A59,Source_PL!L:L)</f>
        <v>10705.72</v>
      </c>
      <c r="M59" s="6">
        <f>SUMIF(Source_PL!$A:$A,$A59,Source_PL!M:M)</f>
        <v>28786.59</v>
      </c>
      <c r="O59" s="6">
        <f>SUM(B59:M59)</f>
        <v>99441.81</v>
      </c>
    </row>
    <row r="60" spans="1:15" x14ac:dyDescent="0.25">
      <c r="A60" t="s">
        <v>56</v>
      </c>
      <c r="B60" s="6">
        <f>SUMIF(Source_PL!$A:$A,$A60,Source_PL!B:B)</f>
        <v>0</v>
      </c>
      <c r="C60" s="6">
        <f>SUMIF(Source_PL!$A:$A,$A60,Source_PL!C:C)</f>
        <v>0</v>
      </c>
      <c r="D60" s="6">
        <f>SUMIF(Source_PL!$A:$A,$A60,Source_PL!D:D)</f>
        <v>0</v>
      </c>
      <c r="E60" s="6">
        <f>SUMIF(Source_PL!$A:$A,$A60,Source_PL!E:E)</f>
        <v>0</v>
      </c>
      <c r="F60" s="6">
        <f>SUMIF(Source_PL!$A:$A,$A60,Source_PL!F:F)</f>
        <v>-2379.7800000000002</v>
      </c>
      <c r="G60" s="6">
        <f>SUMIF(Source_PL!$A:$A,$A60,Source_PL!G:G)</f>
        <v>0</v>
      </c>
      <c r="H60" s="6">
        <f>SUMIF(Source_PL!$A:$A,$A60,Source_PL!H:H)</f>
        <v>2140.11</v>
      </c>
      <c r="I60" s="6">
        <f>SUMIF(Source_PL!$A:$A,$A60,Source_PL!I:I)</f>
        <v>0</v>
      </c>
      <c r="J60" s="6">
        <f>SUMIF(Source_PL!$A:$A,$A60,Source_PL!J:J)</f>
        <v>0</v>
      </c>
      <c r="K60" s="6">
        <f>SUMIF(Source_PL!$A:$A,$A60,Source_PL!K:K)</f>
        <v>-2492.5500000000002</v>
      </c>
      <c r="L60" s="6">
        <f>SUMIF(Source_PL!$A:$A,$A60,Source_PL!L:L)</f>
        <v>985.82</v>
      </c>
      <c r="M60" s="6">
        <f>SUMIF(Source_PL!$A:$A,$A60,Source_PL!M:M)</f>
        <v>3874.12</v>
      </c>
      <c r="O60" s="6">
        <f>SUM(B60:M60)</f>
        <v>2127.7199999999998</v>
      </c>
    </row>
    <row r="61" spans="1:15" x14ac:dyDescent="0.25">
      <c r="A61" t="s">
        <v>57</v>
      </c>
      <c r="B61" s="6">
        <f>SUMIF(Source_PL!$A:$A,$A61,Source_PL!B:B)</f>
        <v>0</v>
      </c>
      <c r="C61" s="6">
        <f>SUMIF(Source_PL!$A:$A,$A61,Source_PL!C:C)</f>
        <v>0</v>
      </c>
      <c r="D61" s="6">
        <f>SUMIF(Source_PL!$A:$A,$A61,Source_PL!D:D)</f>
        <v>0</v>
      </c>
      <c r="E61" s="6">
        <f>SUMIF(Source_PL!$A:$A,$A61,Source_PL!E:E)</f>
        <v>0</v>
      </c>
      <c r="F61" s="6">
        <f>SUMIF(Source_PL!$A:$A,$A61,Source_PL!F:F)</f>
        <v>76.44</v>
      </c>
      <c r="G61" s="6">
        <f>SUMIF(Source_PL!$A:$A,$A61,Source_PL!G:G)</f>
        <v>-160.91</v>
      </c>
      <c r="H61" s="6">
        <f>SUMIF(Source_PL!$A:$A,$A61,Source_PL!H:H)</f>
        <v>437.31</v>
      </c>
      <c r="I61" s="6">
        <f>SUMIF(Source_PL!$A:$A,$A61,Source_PL!I:I)</f>
        <v>-252.28</v>
      </c>
      <c r="J61" s="6">
        <f>SUMIF(Source_PL!$A:$A,$A61,Source_PL!J:J)</f>
        <v>15.45</v>
      </c>
      <c r="K61" s="6">
        <f>SUMIF(Source_PL!$A:$A,$A61,Source_PL!K:K)</f>
        <v>-90.25</v>
      </c>
      <c r="L61" s="6">
        <f>SUMIF(Source_PL!$A:$A,$A61,Source_PL!L:L)</f>
        <v>-86.75</v>
      </c>
      <c r="M61" s="6">
        <f>SUMIF(Source_PL!$A:$A,$A61,Source_PL!M:M)</f>
        <v>155.01</v>
      </c>
      <c r="O61" s="6">
        <f>SUM(B61:M61)</f>
        <v>94.020000000000024</v>
      </c>
    </row>
    <row r="62" spans="1:15" x14ac:dyDescent="0.25">
      <c r="A62" t="s">
        <v>58</v>
      </c>
      <c r="B62" s="6">
        <f>SUMIF(Source_PL!$A:$A,$A62,Source_PL!B:B)</f>
        <v>0</v>
      </c>
      <c r="C62" s="6">
        <f>SUMIF(Source_PL!$A:$A,$A62,Source_PL!C:C)</f>
        <v>0</v>
      </c>
      <c r="D62" s="6">
        <f>SUMIF(Source_PL!$A:$A,$A62,Source_PL!D:D)</f>
        <v>0</v>
      </c>
      <c r="E62" s="6">
        <f>SUMIF(Source_PL!$A:$A,$A62,Source_PL!E:E)</f>
        <v>0</v>
      </c>
      <c r="F62" s="6">
        <f>SUMIF(Source_PL!$A:$A,$A62,Source_PL!F:F)</f>
        <v>0</v>
      </c>
      <c r="G62" s="6">
        <f>SUMIF(Source_PL!$A:$A,$A62,Source_PL!G:G)</f>
        <v>3985.8</v>
      </c>
      <c r="H62" s="6">
        <f>SUMIF(Source_PL!$A:$A,$A62,Source_PL!H:H)</f>
        <v>4131.75</v>
      </c>
      <c r="I62" s="6">
        <f>SUMIF(Source_PL!$A:$A,$A62,Source_PL!I:I)</f>
        <v>4101.75</v>
      </c>
      <c r="J62" s="6">
        <f>SUMIF(Source_PL!$A:$A,$A62,Source_PL!J:J)</f>
        <v>4101.75</v>
      </c>
      <c r="K62" s="6">
        <f>SUMIF(Source_PL!$A:$A,$A62,Source_PL!K:K)</f>
        <v>4353.8100000000004</v>
      </c>
      <c r="L62" s="6">
        <f>SUMIF(Source_PL!$A:$A,$A62,Source_PL!L:L)</f>
        <v>4402.0200000000004</v>
      </c>
      <c r="M62" s="6">
        <f>SUMIF(Source_PL!$A:$A,$A62,Source_PL!M:M)</f>
        <v>4064.17</v>
      </c>
      <c r="O62" s="6">
        <f>SUM(B62:M62)</f>
        <v>29141.050000000003</v>
      </c>
    </row>
    <row r="63" spans="1:15" x14ac:dyDescent="0.25">
      <c r="A63" s="7" t="s">
        <v>59</v>
      </c>
      <c r="B63" s="9">
        <f>SUMIF(Source_PL!$A:$A,$A63,Source_PL!B:B)</f>
        <v>14513.189999999999</v>
      </c>
      <c r="C63" s="9">
        <f>SUMIF(Source_PL!$A:$A,$A63,Source_PL!C:C)</f>
        <v>14619.52</v>
      </c>
      <c r="D63" s="9">
        <f>SUMIF(Source_PL!$A:$A,$A63,Source_PL!D:D)</f>
        <v>18308.509999999998</v>
      </c>
      <c r="E63" s="9">
        <f>SUMIF(Source_PL!$A:$A,$A63,Source_PL!E:E)</f>
        <v>25417.5</v>
      </c>
      <c r="F63" s="9">
        <f>SUMIF(Source_PL!$A:$A,$A63,Source_PL!F:F)</f>
        <v>13686.550000000001</v>
      </c>
      <c r="G63" s="9">
        <f>SUMIF(Source_PL!$A:$A,$A63,Source_PL!G:G)</f>
        <v>17462.989999999998</v>
      </c>
      <c r="H63" s="9">
        <f>SUMIF(Source_PL!$A:$A,$A63,Source_PL!H:H)</f>
        <v>23941.860000000004</v>
      </c>
      <c r="I63" s="9">
        <f>SUMIF(Source_PL!$A:$A,$A63,Source_PL!I:I)</f>
        <v>17174.669999999998</v>
      </c>
      <c r="J63" s="9">
        <f>SUMIF(Source_PL!$A:$A,$A63,Source_PL!J:J)</f>
        <v>21307.119999999999</v>
      </c>
      <c r="K63" s="9">
        <f>SUMIF(Source_PL!$A:$A,$A63,Source_PL!K:K)</f>
        <v>18416.86</v>
      </c>
      <c r="L63" s="9">
        <f>SUMIF(Source_PL!$A:$A,$A63,Source_PL!L:L)</f>
        <v>21932.5</v>
      </c>
      <c r="M63" s="9">
        <f>SUMIF(Source_PL!$A:$A,$A63,Source_PL!M:M)</f>
        <v>44529.61</v>
      </c>
      <c r="N63" s="8"/>
      <c r="O63" s="9">
        <f>SUM(B63:M63)</f>
        <v>251310.88</v>
      </c>
    </row>
    <row r="64" spans="1:15" x14ac:dyDescent="0.25">
      <c r="A64" t="s">
        <v>60</v>
      </c>
      <c r="B64" s="6">
        <f>SUMIF(Source_PL!$A:$A,$A64,Source_PL!B:B)</f>
        <v>5506</v>
      </c>
      <c r="C64" s="6">
        <f>SUMIF(Source_PL!$A:$A,$A64,Source_PL!C:C)</f>
        <v>644</v>
      </c>
      <c r="D64" s="6">
        <f>SUMIF(Source_PL!$A:$A,$A64,Source_PL!D:D)</f>
        <v>834</v>
      </c>
      <c r="E64" s="6">
        <f>SUMIF(Source_PL!$A:$A,$A64,Source_PL!E:E)</f>
        <v>6175</v>
      </c>
      <c r="F64" s="6">
        <f>SUMIF(Source_PL!$A:$A,$A64,Source_PL!F:F)</f>
        <v>2853</v>
      </c>
      <c r="G64" s="6">
        <f>SUMIF(Source_PL!$A:$A,$A64,Source_PL!G:G)</f>
        <v>834</v>
      </c>
      <c r="H64" s="6">
        <f>SUMIF(Source_PL!$A:$A,$A64,Source_PL!H:H)</f>
        <v>13141</v>
      </c>
      <c r="I64" s="6">
        <f>SUMIF(Source_PL!$A:$A,$A64,Source_PL!I:I)</f>
        <v>0</v>
      </c>
      <c r="J64" s="6">
        <f>SUMIF(Source_PL!$A:$A,$A64,Source_PL!J:J)</f>
        <v>2504</v>
      </c>
      <c r="K64" s="6">
        <f>SUMIF(Source_PL!$A:$A,$A64,Source_PL!K:K)</f>
        <v>4398</v>
      </c>
      <c r="L64" s="6">
        <f>SUMIF(Source_PL!$A:$A,$A64,Source_PL!L:L)</f>
        <v>3347</v>
      </c>
      <c r="M64" s="6">
        <f>SUMIF(Source_PL!$A:$A,$A64,Source_PL!M:M)</f>
        <v>834</v>
      </c>
      <c r="O64" s="6">
        <f>SUM(B64:M64)</f>
        <v>41070</v>
      </c>
    </row>
    <row r="65" spans="1:15" x14ac:dyDescent="0.25">
      <c r="A65" t="s">
        <v>61</v>
      </c>
      <c r="B65" s="6">
        <f>SUMIF(Source_PL!$A:$A,$A65,Source_PL!B:B)</f>
        <v>288.41000000000003</v>
      </c>
      <c r="C65" s="6">
        <f>SUMIF(Source_PL!$A:$A,$A65,Source_PL!C:C)</f>
        <v>0</v>
      </c>
      <c r="D65" s="6">
        <f>SUMIF(Source_PL!$A:$A,$A65,Source_PL!D:D)</f>
        <v>0</v>
      </c>
      <c r="E65" s="6">
        <f>SUMIF(Source_PL!$A:$A,$A65,Source_PL!E:E)</f>
        <v>0</v>
      </c>
      <c r="F65" s="6">
        <f>SUMIF(Source_PL!$A:$A,$A65,Source_PL!F:F)</f>
        <v>0</v>
      </c>
      <c r="G65" s="6">
        <f>SUMIF(Source_PL!$A:$A,$A65,Source_PL!G:G)</f>
        <v>0</v>
      </c>
      <c r="H65" s="6">
        <f>SUMIF(Source_PL!$A:$A,$A65,Source_PL!H:H)</f>
        <v>0</v>
      </c>
      <c r="I65" s="6">
        <f>SUMIF(Source_PL!$A:$A,$A65,Source_PL!I:I)</f>
        <v>0</v>
      </c>
      <c r="J65" s="6">
        <f>SUMIF(Source_PL!$A:$A,$A65,Source_PL!J:J)</f>
        <v>0</v>
      </c>
      <c r="K65" s="6">
        <f>SUMIF(Source_PL!$A:$A,$A65,Source_PL!K:K)</f>
        <v>0</v>
      </c>
      <c r="L65" s="6">
        <f>SUMIF(Source_PL!$A:$A,$A65,Source_PL!L:L)</f>
        <v>0</v>
      </c>
      <c r="M65" s="6">
        <f>SUMIF(Source_PL!$A:$A,$A65,Source_PL!M:M)</f>
        <v>0</v>
      </c>
      <c r="O65" s="6">
        <f>SUM(B65:M65)</f>
        <v>288.41000000000003</v>
      </c>
    </row>
    <row r="66" spans="1:15" x14ac:dyDescent="0.25">
      <c r="A66" t="s">
        <v>62</v>
      </c>
      <c r="B66" s="6">
        <f>SUMIF(Source_PL!$A:$A,$A66,Source_PL!B:B)</f>
        <v>0</v>
      </c>
      <c r="C66" s="6">
        <f>SUMIF(Source_PL!$A:$A,$A66,Source_PL!C:C)</f>
        <v>0</v>
      </c>
      <c r="D66" s="6">
        <f>SUMIF(Source_PL!$A:$A,$A66,Source_PL!D:D)</f>
        <v>0</v>
      </c>
      <c r="E66" s="6">
        <f>SUMIF(Source_PL!$A:$A,$A66,Source_PL!E:E)</f>
        <v>0</v>
      </c>
      <c r="F66" s="6">
        <f>SUMIF(Source_PL!$A:$A,$A66,Source_PL!F:F)</f>
        <v>38584.589999999997</v>
      </c>
      <c r="G66" s="6">
        <f>SUMIF(Source_PL!$A:$A,$A66,Source_PL!G:G)</f>
        <v>0</v>
      </c>
      <c r="H66" s="6">
        <f>SUMIF(Source_PL!$A:$A,$A66,Source_PL!H:H)</f>
        <v>0</v>
      </c>
      <c r="I66" s="6">
        <f>SUMIF(Source_PL!$A:$A,$A66,Source_PL!I:I)</f>
        <v>0</v>
      </c>
      <c r="J66" s="6">
        <f>SUMIF(Source_PL!$A:$A,$A66,Source_PL!J:J)</f>
        <v>0</v>
      </c>
      <c r="K66" s="6">
        <f>SUMIF(Source_PL!$A:$A,$A66,Source_PL!K:K)</f>
        <v>0</v>
      </c>
      <c r="L66" s="6">
        <f>SUMIF(Source_PL!$A:$A,$A66,Source_PL!L:L)</f>
        <v>0</v>
      </c>
      <c r="M66" s="6">
        <f>SUMIF(Source_PL!$A:$A,$A66,Source_PL!M:M)</f>
        <v>0</v>
      </c>
      <c r="O66" s="6">
        <f>SUM(B66:M66)</f>
        <v>38584.589999999997</v>
      </c>
    </row>
    <row r="67" spans="1:15" x14ac:dyDescent="0.25">
      <c r="A67" t="s">
        <v>63</v>
      </c>
      <c r="B67" s="6">
        <f>SUMIF(Source_PL!$A:$A,$A67,Source_PL!B:B)</f>
        <v>0</v>
      </c>
      <c r="C67" s="6">
        <f>SUMIF(Source_PL!$A:$A,$A67,Source_PL!C:C)</f>
        <v>0</v>
      </c>
      <c r="D67" s="6">
        <f>SUMIF(Source_PL!$A:$A,$A67,Source_PL!D:D)</f>
        <v>1656.25</v>
      </c>
      <c r="E67" s="6">
        <f>SUMIF(Source_PL!$A:$A,$A67,Source_PL!E:E)</f>
        <v>236</v>
      </c>
      <c r="F67" s="6">
        <f>SUMIF(Source_PL!$A:$A,$A67,Source_PL!F:F)</f>
        <v>0</v>
      </c>
      <c r="G67" s="6">
        <f>SUMIF(Source_PL!$A:$A,$A67,Source_PL!G:G)</f>
        <v>392.5</v>
      </c>
      <c r="H67" s="6">
        <f>SUMIF(Source_PL!$A:$A,$A67,Source_PL!H:H)</f>
        <v>1679.97</v>
      </c>
      <c r="I67" s="6">
        <f>SUMIF(Source_PL!$A:$A,$A67,Source_PL!I:I)</f>
        <v>405</v>
      </c>
      <c r="J67" s="6">
        <f>SUMIF(Source_PL!$A:$A,$A67,Source_PL!J:J)</f>
        <v>824.35</v>
      </c>
      <c r="K67" s="6">
        <f>SUMIF(Source_PL!$A:$A,$A67,Source_PL!K:K)</f>
        <v>33</v>
      </c>
      <c r="L67" s="6">
        <f>SUMIF(Source_PL!$A:$A,$A67,Source_PL!L:L)</f>
        <v>0</v>
      </c>
      <c r="M67" s="6">
        <f>SUMIF(Source_PL!$A:$A,$A67,Source_PL!M:M)</f>
        <v>1850.2</v>
      </c>
      <c r="O67" s="6">
        <f>SUM(B67:M67)</f>
        <v>7077.27</v>
      </c>
    </row>
    <row r="68" spans="1:15" x14ac:dyDescent="0.25">
      <c r="A68" t="s">
        <v>64</v>
      </c>
      <c r="B68" s="6">
        <f>SUMIF(Source_PL!$A:$A,$A68,Source_PL!B:B)</f>
        <v>1641.67</v>
      </c>
      <c r="C68" s="6">
        <f>SUMIF(Source_PL!$A:$A,$A68,Source_PL!C:C)</f>
        <v>865.77</v>
      </c>
      <c r="D68" s="6">
        <f>SUMIF(Source_PL!$A:$A,$A68,Source_PL!D:D)</f>
        <v>710.86</v>
      </c>
      <c r="E68" s="6">
        <f>SUMIF(Source_PL!$A:$A,$A68,Source_PL!E:E)</f>
        <v>1780.1</v>
      </c>
      <c r="F68" s="6">
        <f>SUMIF(Source_PL!$A:$A,$A68,Source_PL!F:F)</f>
        <v>2928.11</v>
      </c>
      <c r="G68" s="6">
        <f>SUMIF(Source_PL!$A:$A,$A68,Source_PL!G:G)</f>
        <v>2405.9899999999998</v>
      </c>
      <c r="H68" s="6">
        <f>SUMIF(Source_PL!$A:$A,$A68,Source_PL!H:H)</f>
        <v>3624.82</v>
      </c>
      <c r="I68" s="6">
        <f>SUMIF(Source_PL!$A:$A,$A68,Source_PL!I:I)</f>
        <v>1408.13</v>
      </c>
      <c r="J68" s="6">
        <f>SUMIF(Source_PL!$A:$A,$A68,Source_PL!J:J)</f>
        <v>3065.94</v>
      </c>
      <c r="K68" s="6">
        <f>SUMIF(Source_PL!$A:$A,$A68,Source_PL!K:K)</f>
        <v>2255.7800000000002</v>
      </c>
      <c r="L68" s="6">
        <f>SUMIF(Source_PL!$A:$A,$A68,Source_PL!L:L)</f>
        <v>2172.0100000000002</v>
      </c>
      <c r="M68" s="6">
        <f>SUMIF(Source_PL!$A:$A,$A68,Source_PL!M:M)</f>
        <v>9523.42</v>
      </c>
      <c r="O68" s="6">
        <f>SUM(B68:M68)</f>
        <v>32382.6</v>
      </c>
    </row>
    <row r="69" spans="1:15" x14ac:dyDescent="0.25">
      <c r="A69" t="s">
        <v>65</v>
      </c>
      <c r="B69" s="6">
        <f>SUMIF(Source_PL!$A:$A,$A69,Source_PL!B:B)</f>
        <v>656.08</v>
      </c>
      <c r="C69" s="6">
        <f>SUMIF(Source_PL!$A:$A,$A69,Source_PL!C:C)</f>
        <v>964.54</v>
      </c>
      <c r="D69" s="6">
        <f>SUMIF(Source_PL!$A:$A,$A69,Source_PL!D:D)</f>
        <v>678.12</v>
      </c>
      <c r="E69" s="6">
        <f>SUMIF(Source_PL!$A:$A,$A69,Source_PL!E:E)</f>
        <v>306.83999999999997</v>
      </c>
      <c r="F69" s="6">
        <f>SUMIF(Source_PL!$A:$A,$A69,Source_PL!F:F)</f>
        <v>227.98</v>
      </c>
      <c r="G69" s="6">
        <f>SUMIF(Source_PL!$A:$A,$A69,Source_PL!G:G)</f>
        <v>286.56</v>
      </c>
      <c r="H69" s="6">
        <f>SUMIF(Source_PL!$A:$A,$A69,Source_PL!H:H)</f>
        <v>88.21</v>
      </c>
      <c r="I69" s="6">
        <f>SUMIF(Source_PL!$A:$A,$A69,Source_PL!I:I)</f>
        <v>270</v>
      </c>
      <c r="J69" s="6">
        <f>SUMIF(Source_PL!$A:$A,$A69,Source_PL!J:J)</f>
        <v>271.77999999999997</v>
      </c>
      <c r="K69" s="6">
        <f>SUMIF(Source_PL!$A:$A,$A69,Source_PL!K:K)</f>
        <v>2091.89</v>
      </c>
      <c r="L69" s="6">
        <f>SUMIF(Source_PL!$A:$A,$A69,Source_PL!L:L)</f>
        <v>5220.9799999999996</v>
      </c>
      <c r="M69" s="6">
        <f>SUMIF(Source_PL!$A:$A,$A69,Source_PL!M:M)</f>
        <v>2102.0700000000002</v>
      </c>
      <c r="O69" s="6">
        <f>SUM(B69:M69)</f>
        <v>13165.05</v>
      </c>
    </row>
    <row r="70" spans="1:15" x14ac:dyDescent="0.25">
      <c r="A70" t="s">
        <v>66</v>
      </c>
      <c r="B70" s="6">
        <f>SUMIF(Source_PL!$A:$A,$A70,Source_PL!B:B)</f>
        <v>641.1</v>
      </c>
      <c r="C70" s="6">
        <f>SUMIF(Source_PL!$A:$A,$A70,Source_PL!C:C)</f>
        <v>0</v>
      </c>
      <c r="D70" s="6">
        <f>SUMIF(Source_PL!$A:$A,$A70,Source_PL!D:D)</f>
        <v>843.21</v>
      </c>
      <c r="E70" s="6">
        <f>SUMIF(Source_PL!$A:$A,$A70,Source_PL!E:E)</f>
        <v>0</v>
      </c>
      <c r="F70" s="6">
        <f>SUMIF(Source_PL!$A:$A,$A70,Source_PL!F:F)</f>
        <v>0</v>
      </c>
      <c r="G70" s="6">
        <f>SUMIF(Source_PL!$A:$A,$A70,Source_PL!G:G)</f>
        <v>0</v>
      </c>
      <c r="H70" s="6">
        <f>SUMIF(Source_PL!$A:$A,$A70,Source_PL!H:H)</f>
        <v>0</v>
      </c>
      <c r="I70" s="6">
        <f>SUMIF(Source_PL!$A:$A,$A70,Source_PL!I:I)</f>
        <v>0</v>
      </c>
      <c r="J70" s="6">
        <f>SUMIF(Source_PL!$A:$A,$A70,Source_PL!J:J)</f>
        <v>0</v>
      </c>
      <c r="K70" s="6">
        <f>SUMIF(Source_PL!$A:$A,$A70,Source_PL!K:K)</f>
        <v>0</v>
      </c>
      <c r="L70" s="6">
        <f>SUMIF(Source_PL!$A:$A,$A70,Source_PL!L:L)</f>
        <v>0</v>
      </c>
      <c r="M70" s="6">
        <f>SUMIF(Source_PL!$A:$A,$A70,Source_PL!M:M)</f>
        <v>20</v>
      </c>
      <c r="O70" s="6">
        <f>SUM(B70:M70)</f>
        <v>1504.31</v>
      </c>
    </row>
    <row r="71" spans="1:15" x14ac:dyDescent="0.25">
      <c r="A71" t="s">
        <v>67</v>
      </c>
      <c r="B71" s="6">
        <f>SUMIF(Source_PL!$A:$A,$A71,Source_PL!B:B)</f>
        <v>15725.77</v>
      </c>
      <c r="C71" s="6">
        <f>SUMIF(Source_PL!$A:$A,$A71,Source_PL!C:C)</f>
        <v>937.61</v>
      </c>
      <c r="D71" s="6">
        <f>SUMIF(Source_PL!$A:$A,$A71,Source_PL!D:D)</f>
        <v>1097.31</v>
      </c>
      <c r="E71" s="6">
        <f>SUMIF(Source_PL!$A:$A,$A71,Source_PL!E:E)</f>
        <v>654.39</v>
      </c>
      <c r="F71" s="6">
        <f>SUMIF(Source_PL!$A:$A,$A71,Source_PL!F:F)</f>
        <v>3017.94</v>
      </c>
      <c r="G71" s="6">
        <f>SUMIF(Source_PL!$A:$A,$A71,Source_PL!G:G)</f>
        <v>213.97</v>
      </c>
      <c r="H71" s="6">
        <f>SUMIF(Source_PL!$A:$A,$A71,Source_PL!H:H)</f>
        <v>261.49</v>
      </c>
      <c r="I71" s="6">
        <f>SUMIF(Source_PL!$A:$A,$A71,Source_PL!I:I)</f>
        <v>1207.03</v>
      </c>
      <c r="J71" s="6">
        <f>SUMIF(Source_PL!$A:$A,$A71,Source_PL!J:J)</f>
        <v>2240.5300000000002</v>
      </c>
      <c r="K71" s="6">
        <f>SUMIF(Source_PL!$A:$A,$A71,Source_PL!K:K)</f>
        <v>1102.08</v>
      </c>
      <c r="L71" s="6">
        <f>SUMIF(Source_PL!$A:$A,$A71,Source_PL!L:L)</f>
        <v>5414.91</v>
      </c>
      <c r="M71" s="6">
        <f>SUMIF(Source_PL!$A:$A,$A71,Source_PL!M:M)</f>
        <v>2612.04</v>
      </c>
      <c r="O71" s="6">
        <f>SUM(B71:M71)</f>
        <v>34485.07</v>
      </c>
    </row>
    <row r="72" spans="1:15" x14ac:dyDescent="0.25">
      <c r="A72" t="s">
        <v>68</v>
      </c>
      <c r="B72" s="6">
        <f>SUMIF(Source_PL!$A:$A,$A72,Source_PL!B:B)</f>
        <v>267.45</v>
      </c>
      <c r="C72" s="6">
        <f>SUMIF(Source_PL!$A:$A,$A72,Source_PL!C:C)</f>
        <v>1.1000000000000001</v>
      </c>
      <c r="D72" s="6">
        <f>SUMIF(Source_PL!$A:$A,$A72,Source_PL!D:D)</f>
        <v>0</v>
      </c>
      <c r="E72" s="6">
        <f>SUMIF(Source_PL!$A:$A,$A72,Source_PL!E:E)</f>
        <v>425.87</v>
      </c>
      <c r="F72" s="6">
        <f>SUMIF(Source_PL!$A:$A,$A72,Source_PL!F:F)</f>
        <v>592.45000000000005</v>
      </c>
      <c r="G72" s="6">
        <f>SUMIF(Source_PL!$A:$A,$A72,Source_PL!G:G)</f>
        <v>4093.02</v>
      </c>
      <c r="H72" s="6">
        <f>SUMIF(Source_PL!$A:$A,$A72,Source_PL!H:H)</f>
        <v>637.09</v>
      </c>
      <c r="I72" s="6">
        <f>SUMIF(Source_PL!$A:$A,$A72,Source_PL!I:I)</f>
        <v>549.01</v>
      </c>
      <c r="J72" s="6">
        <f>SUMIF(Source_PL!$A:$A,$A72,Source_PL!J:J)</f>
        <v>55.12</v>
      </c>
      <c r="K72" s="6">
        <f>SUMIF(Source_PL!$A:$A,$A72,Source_PL!K:K)</f>
        <v>0</v>
      </c>
      <c r="L72" s="6">
        <f>SUMIF(Source_PL!$A:$A,$A72,Source_PL!L:L)</f>
        <v>103.98</v>
      </c>
      <c r="M72" s="6">
        <f>SUMIF(Source_PL!$A:$A,$A72,Source_PL!M:M)</f>
        <v>163.53</v>
      </c>
      <c r="O72" s="6">
        <f>SUM(B72:M72)</f>
        <v>6888.62</v>
      </c>
    </row>
    <row r="73" spans="1:15" x14ac:dyDescent="0.25">
      <c r="A73" t="s">
        <v>69</v>
      </c>
      <c r="B73" s="6">
        <f>SUMIF(Source_PL!$A:$A,$A73,Source_PL!B:B)</f>
        <v>9225</v>
      </c>
      <c r="C73" s="6">
        <f>SUMIF(Source_PL!$A:$A,$A73,Source_PL!C:C)</f>
        <v>5919.2</v>
      </c>
      <c r="D73" s="6">
        <f>SUMIF(Source_PL!$A:$A,$A73,Source_PL!D:D)</f>
        <v>81635.59</v>
      </c>
      <c r="E73" s="6">
        <f>SUMIF(Source_PL!$A:$A,$A73,Source_PL!E:E)</f>
        <v>2620</v>
      </c>
      <c r="F73" s="6">
        <f>SUMIF(Source_PL!$A:$A,$A73,Source_PL!F:F)</f>
        <v>4525.5</v>
      </c>
      <c r="G73" s="6">
        <f>SUMIF(Source_PL!$A:$A,$A73,Source_PL!G:G)</f>
        <v>1650</v>
      </c>
      <c r="H73" s="6">
        <f>SUMIF(Source_PL!$A:$A,$A73,Source_PL!H:H)</f>
        <v>28985.58</v>
      </c>
      <c r="I73" s="6">
        <f>SUMIF(Source_PL!$A:$A,$A73,Source_PL!I:I)</f>
        <v>10843.57</v>
      </c>
      <c r="J73" s="6">
        <f>SUMIF(Source_PL!$A:$A,$A73,Source_PL!J:J)</f>
        <v>40625.730000000003</v>
      </c>
      <c r="K73" s="6">
        <f>SUMIF(Source_PL!$A:$A,$A73,Source_PL!K:K)</f>
        <v>17033.64</v>
      </c>
      <c r="L73" s="6">
        <f>SUMIF(Source_PL!$A:$A,$A73,Source_PL!L:L)</f>
        <v>4711</v>
      </c>
      <c r="M73" s="6">
        <f>SUMIF(Source_PL!$A:$A,$A73,Source_PL!M:M)</f>
        <v>14327.89</v>
      </c>
      <c r="O73" s="6">
        <f>SUM(B73:M73)</f>
        <v>222102.7</v>
      </c>
    </row>
    <row r="74" spans="1:15" x14ac:dyDescent="0.25">
      <c r="A74" t="s">
        <v>70</v>
      </c>
      <c r="B74" s="6">
        <f>SUMIF(Source_PL!$A:$A,$A74,Source_PL!B:B)</f>
        <v>121.27</v>
      </c>
      <c r="C74" s="6">
        <f>SUMIF(Source_PL!$A:$A,$A74,Source_PL!C:C)</f>
        <v>36.46</v>
      </c>
      <c r="D74" s="6">
        <f>SUMIF(Source_PL!$A:$A,$A74,Source_PL!D:D)</f>
        <v>0</v>
      </c>
      <c r="E74" s="6">
        <f>SUMIF(Source_PL!$A:$A,$A74,Source_PL!E:E)</f>
        <v>365.89</v>
      </c>
      <c r="F74" s="6">
        <f>SUMIF(Source_PL!$A:$A,$A74,Source_PL!F:F)</f>
        <v>71.430000000000007</v>
      </c>
      <c r="G74" s="6">
        <f>SUMIF(Source_PL!$A:$A,$A74,Source_PL!G:G)</f>
        <v>1087.76</v>
      </c>
      <c r="H74" s="6">
        <f>SUMIF(Source_PL!$A:$A,$A74,Source_PL!H:H)</f>
        <v>1754.05</v>
      </c>
      <c r="I74" s="6">
        <f>SUMIF(Source_PL!$A:$A,$A74,Source_PL!I:I)</f>
        <v>1835.96</v>
      </c>
      <c r="J74" s="6">
        <f>SUMIF(Source_PL!$A:$A,$A74,Source_PL!J:J)</f>
        <v>367.76</v>
      </c>
      <c r="K74" s="6">
        <f>SUMIF(Source_PL!$A:$A,$A74,Source_PL!K:K)</f>
        <v>855</v>
      </c>
      <c r="L74" s="6">
        <f>SUMIF(Source_PL!$A:$A,$A74,Source_PL!L:L)</f>
        <v>806.41</v>
      </c>
      <c r="M74" s="6">
        <f>SUMIF(Source_PL!$A:$A,$A74,Source_PL!M:M)</f>
        <v>15655.65</v>
      </c>
      <c r="O74" s="6">
        <f>SUM(B74:M74)</f>
        <v>22957.64</v>
      </c>
    </row>
    <row r="75" spans="1:15" x14ac:dyDescent="0.25">
      <c r="A75" t="s">
        <v>71</v>
      </c>
      <c r="B75" s="6">
        <f>SUMIF(Source_PL!$A:$A,$A75,Source_PL!B:B)</f>
        <v>603.44000000000005</v>
      </c>
      <c r="C75" s="6">
        <f>SUMIF(Source_PL!$A:$A,$A75,Source_PL!C:C)</f>
        <v>676.27</v>
      </c>
      <c r="D75" s="6">
        <f>SUMIF(Source_PL!$A:$A,$A75,Source_PL!D:D)</f>
        <v>3504.52</v>
      </c>
      <c r="E75" s="6">
        <f>SUMIF(Source_PL!$A:$A,$A75,Source_PL!E:E)</f>
        <v>169.99</v>
      </c>
      <c r="F75" s="6">
        <f>SUMIF(Source_PL!$A:$A,$A75,Source_PL!F:F)</f>
        <v>169.99</v>
      </c>
      <c r="G75" s="6">
        <f>SUMIF(Source_PL!$A:$A,$A75,Source_PL!G:G)</f>
        <v>0</v>
      </c>
      <c r="H75" s="6">
        <f>SUMIF(Source_PL!$A:$A,$A75,Source_PL!H:H)</f>
        <v>0</v>
      </c>
      <c r="I75" s="6">
        <f>SUMIF(Source_PL!$A:$A,$A75,Source_PL!I:I)</f>
        <v>0</v>
      </c>
      <c r="J75" s="6">
        <f>SUMIF(Source_PL!$A:$A,$A75,Source_PL!J:J)</f>
        <v>579.77</v>
      </c>
      <c r="K75" s="6">
        <f>SUMIF(Source_PL!$A:$A,$A75,Source_PL!K:K)</f>
        <v>7769.56</v>
      </c>
      <c r="L75" s="6">
        <f>SUMIF(Source_PL!$A:$A,$A75,Source_PL!L:L)</f>
        <v>169.99</v>
      </c>
      <c r="M75" s="6">
        <f>SUMIF(Source_PL!$A:$A,$A75,Source_PL!M:M)</f>
        <v>7969.99</v>
      </c>
      <c r="O75" s="6">
        <f>SUM(B75:M75)</f>
        <v>21613.52</v>
      </c>
    </row>
    <row r="76" spans="1:15" x14ac:dyDescent="0.25">
      <c r="A76" t="s">
        <v>72</v>
      </c>
      <c r="B76" s="6">
        <f>SUMIF(Source_PL!$A:$A,$A76,Source_PL!B:B)</f>
        <v>2919.53</v>
      </c>
      <c r="C76" s="6">
        <f>SUMIF(Source_PL!$A:$A,$A76,Source_PL!C:C)</f>
        <v>937.08</v>
      </c>
      <c r="D76" s="6">
        <f>SUMIF(Source_PL!$A:$A,$A76,Source_PL!D:D)</f>
        <v>2723</v>
      </c>
      <c r="E76" s="6">
        <f>SUMIF(Source_PL!$A:$A,$A76,Source_PL!E:E)</f>
        <v>2302</v>
      </c>
      <c r="F76" s="6">
        <f>SUMIF(Source_PL!$A:$A,$A76,Source_PL!F:F)</f>
        <v>6235.06</v>
      </c>
      <c r="G76" s="6">
        <f>SUMIF(Source_PL!$A:$A,$A76,Source_PL!G:G)</f>
        <v>3539.83</v>
      </c>
      <c r="H76" s="6">
        <f>SUMIF(Source_PL!$A:$A,$A76,Source_PL!H:H)</f>
        <v>3677.49</v>
      </c>
      <c r="I76" s="6">
        <f>SUMIF(Source_PL!$A:$A,$A76,Source_PL!I:I)</f>
        <v>3825.56</v>
      </c>
      <c r="J76" s="6">
        <f>SUMIF(Source_PL!$A:$A,$A76,Source_PL!J:J)</f>
        <v>11797.06</v>
      </c>
      <c r="K76" s="6">
        <f>SUMIF(Source_PL!$A:$A,$A76,Source_PL!K:K)</f>
        <v>8848.34</v>
      </c>
      <c r="L76" s="6">
        <f>SUMIF(Source_PL!$A:$A,$A76,Source_PL!L:L)</f>
        <v>11552.67</v>
      </c>
      <c r="M76" s="6">
        <f>SUMIF(Source_PL!$A:$A,$A76,Source_PL!M:M)</f>
        <v>13883.8</v>
      </c>
      <c r="O76" s="6">
        <f>SUM(B76:M76)</f>
        <v>72241.42</v>
      </c>
    </row>
    <row r="77" spans="1:15" x14ac:dyDescent="0.25">
      <c r="A77" t="s">
        <v>73</v>
      </c>
      <c r="B77" s="6">
        <f>SUMIF(Source_PL!$A:$A,$A77,Source_PL!B:B)</f>
        <v>2572.37</v>
      </c>
      <c r="C77" s="6">
        <f>SUMIF(Source_PL!$A:$A,$A77,Source_PL!C:C)</f>
        <v>2622.37</v>
      </c>
      <c r="D77" s="6">
        <f>SUMIF(Source_PL!$A:$A,$A77,Source_PL!D:D)</f>
        <v>4031.22</v>
      </c>
      <c r="E77" s="6">
        <f>SUMIF(Source_PL!$A:$A,$A77,Source_PL!E:E)</f>
        <v>4031.22</v>
      </c>
      <c r="F77" s="6">
        <f>SUMIF(Source_PL!$A:$A,$A77,Source_PL!F:F)</f>
        <v>3931.22</v>
      </c>
      <c r="G77" s="6">
        <f>SUMIF(Source_PL!$A:$A,$A77,Source_PL!G:G)</f>
        <v>3931.22</v>
      </c>
      <c r="H77" s="6">
        <f>SUMIF(Source_PL!$A:$A,$A77,Source_PL!H:H)</f>
        <v>18030.22</v>
      </c>
      <c r="I77" s="6">
        <f>SUMIF(Source_PL!$A:$A,$A77,Source_PL!I:I)</f>
        <v>19458.22</v>
      </c>
      <c r="J77" s="6">
        <f>SUMIF(Source_PL!$A:$A,$A77,Source_PL!J:J)</f>
        <v>23804.240000000002</v>
      </c>
      <c r="K77" s="6">
        <f>SUMIF(Source_PL!$A:$A,$A77,Source_PL!K:K)</f>
        <v>21990.86</v>
      </c>
      <c r="L77" s="6">
        <f>SUMIF(Source_PL!$A:$A,$A77,Source_PL!L:L)</f>
        <v>11160.21</v>
      </c>
      <c r="M77" s="6">
        <f>SUMIF(Source_PL!$A:$A,$A77,Source_PL!M:M)</f>
        <v>39496.93</v>
      </c>
      <c r="O77" s="6">
        <f>SUM(B77:M77)</f>
        <v>155060.29999999999</v>
      </c>
    </row>
    <row r="78" spans="1:15" x14ac:dyDescent="0.25">
      <c r="A78" t="s">
        <v>74</v>
      </c>
      <c r="B78" s="6">
        <f>SUMIF(Source_PL!$A:$A,$A78,Source_PL!B:B)</f>
        <v>8577.7800000000007</v>
      </c>
      <c r="C78" s="6">
        <f>SUMIF(Source_PL!$A:$A,$A78,Source_PL!C:C)</f>
        <v>0</v>
      </c>
      <c r="D78" s="6">
        <f>SUMIF(Source_PL!$A:$A,$A78,Source_PL!D:D)</f>
        <v>6341.99</v>
      </c>
      <c r="E78" s="6">
        <f>SUMIF(Source_PL!$A:$A,$A78,Source_PL!E:E)</f>
        <v>4288.8900000000003</v>
      </c>
      <c r="F78" s="6">
        <f>SUMIF(Source_PL!$A:$A,$A78,Source_PL!F:F)</f>
        <v>614.70000000000005</v>
      </c>
      <c r="G78" s="6">
        <f>SUMIF(Source_PL!$A:$A,$A78,Source_PL!G:G)</f>
        <v>587.96</v>
      </c>
      <c r="H78" s="6">
        <f>SUMIF(Source_PL!$A:$A,$A78,Source_PL!H:H)</f>
        <v>7394.12</v>
      </c>
      <c r="I78" s="6">
        <f>SUMIF(Source_PL!$A:$A,$A78,Source_PL!I:I)</f>
        <v>1491.37</v>
      </c>
      <c r="J78" s="6">
        <f>SUMIF(Source_PL!$A:$A,$A78,Source_PL!J:J)</f>
        <v>5864.13</v>
      </c>
      <c r="K78" s="6">
        <f>SUMIF(Source_PL!$A:$A,$A78,Source_PL!K:K)</f>
        <v>6263.89</v>
      </c>
      <c r="L78" s="6">
        <f>SUMIF(Source_PL!$A:$A,$A78,Source_PL!L:L)</f>
        <v>3515.61</v>
      </c>
      <c r="M78" s="6">
        <f>SUMIF(Source_PL!$A:$A,$A78,Source_PL!M:M)</f>
        <v>0</v>
      </c>
      <c r="O78" s="6">
        <f>SUM(B78:M78)</f>
        <v>44940.439999999995</v>
      </c>
    </row>
    <row r="79" spans="1:15" x14ac:dyDescent="0.25">
      <c r="A79" t="s">
        <v>75</v>
      </c>
      <c r="B79" s="6">
        <f>SUMIF(Source_PL!$A:$A,$A79,Source_PL!B:B)</f>
        <v>51.65</v>
      </c>
      <c r="C79" s="6">
        <f>SUMIF(Source_PL!$A:$A,$A79,Source_PL!C:C)</f>
        <v>0</v>
      </c>
      <c r="D79" s="6">
        <f>SUMIF(Source_PL!$A:$A,$A79,Source_PL!D:D)</f>
        <v>3916</v>
      </c>
      <c r="E79" s="6">
        <f>SUMIF(Source_PL!$A:$A,$A79,Source_PL!E:E)</f>
        <v>272.7</v>
      </c>
      <c r="F79" s="6">
        <f>SUMIF(Source_PL!$A:$A,$A79,Source_PL!F:F)</f>
        <v>0</v>
      </c>
      <c r="G79" s="6">
        <f>SUMIF(Source_PL!$A:$A,$A79,Source_PL!G:G)</f>
        <v>34.71</v>
      </c>
      <c r="H79" s="6">
        <f>SUMIF(Source_PL!$A:$A,$A79,Source_PL!H:H)</f>
        <v>8019.35</v>
      </c>
      <c r="I79" s="6">
        <f>SUMIF(Source_PL!$A:$A,$A79,Source_PL!I:I)</f>
        <v>122.23</v>
      </c>
      <c r="J79" s="6">
        <f>SUMIF(Source_PL!$A:$A,$A79,Source_PL!J:J)</f>
        <v>128.65</v>
      </c>
      <c r="K79" s="6">
        <f>SUMIF(Source_PL!$A:$A,$A79,Source_PL!K:K)</f>
        <v>3428.27</v>
      </c>
      <c r="L79" s="6">
        <f>SUMIF(Source_PL!$A:$A,$A79,Source_PL!L:L)</f>
        <v>220.32</v>
      </c>
      <c r="M79" s="6">
        <f>SUMIF(Source_PL!$A:$A,$A79,Source_PL!M:M)</f>
        <v>5308.3</v>
      </c>
      <c r="O79" s="6">
        <f>SUM(B79:M79)</f>
        <v>21502.18</v>
      </c>
    </row>
    <row r="80" spans="1:15" x14ac:dyDescent="0.25">
      <c r="A80" t="s">
        <v>76</v>
      </c>
      <c r="B80" s="6">
        <f>SUMIF(Source_PL!$A:$A,$A80,Source_PL!B:B)</f>
        <v>17172.59</v>
      </c>
      <c r="C80" s="6">
        <f>SUMIF(Source_PL!$A:$A,$A80,Source_PL!C:C)</f>
        <v>13553.58</v>
      </c>
      <c r="D80" s="6">
        <f>SUMIF(Source_PL!$A:$A,$A80,Source_PL!D:D)</f>
        <v>7027.69</v>
      </c>
      <c r="E80" s="6">
        <f>SUMIF(Source_PL!$A:$A,$A80,Source_PL!E:E)</f>
        <v>4717.04</v>
      </c>
      <c r="F80" s="6">
        <f>SUMIF(Source_PL!$A:$A,$A80,Source_PL!F:F)</f>
        <v>4026.53</v>
      </c>
      <c r="G80" s="6">
        <f>SUMIF(Source_PL!$A:$A,$A80,Source_PL!G:G)</f>
        <v>3899.13</v>
      </c>
      <c r="H80" s="6">
        <f>SUMIF(Source_PL!$A:$A,$A80,Source_PL!H:H)</f>
        <v>2580.23</v>
      </c>
      <c r="I80" s="6">
        <f>SUMIF(Source_PL!$A:$A,$A80,Source_PL!I:I)</f>
        <v>2853.15</v>
      </c>
      <c r="J80" s="6">
        <f>SUMIF(Source_PL!$A:$A,$A80,Source_PL!J:J)</f>
        <v>1293.57</v>
      </c>
      <c r="K80" s="6">
        <f>SUMIF(Source_PL!$A:$A,$A80,Source_PL!K:K)</f>
        <v>5009.01</v>
      </c>
      <c r="L80" s="6">
        <f>SUMIF(Source_PL!$A:$A,$A80,Source_PL!L:L)</f>
        <v>6501.94</v>
      </c>
      <c r="M80" s="6">
        <f>SUMIF(Source_PL!$A:$A,$A80,Source_PL!M:M)</f>
        <v>3451.57</v>
      </c>
      <c r="O80" s="6">
        <f>SUM(B80:M80)</f>
        <v>72086.030000000013</v>
      </c>
    </row>
    <row r="81" spans="1:15" x14ac:dyDescent="0.25">
      <c r="A81" t="s">
        <v>77</v>
      </c>
      <c r="B81" s="6">
        <f>SUMIF(Source_PL!$A:$A,$A81,Source_PL!B:B)</f>
        <v>0</v>
      </c>
      <c r="C81" s="6">
        <f>SUMIF(Source_PL!$A:$A,$A81,Source_PL!C:C)</f>
        <v>0</v>
      </c>
      <c r="D81" s="6">
        <f>SUMIF(Source_PL!$A:$A,$A81,Source_PL!D:D)</f>
        <v>3978</v>
      </c>
      <c r="E81" s="6">
        <f>SUMIF(Source_PL!$A:$A,$A81,Source_PL!E:E)</f>
        <v>0</v>
      </c>
      <c r="F81" s="6">
        <f>SUMIF(Source_PL!$A:$A,$A81,Source_PL!F:F)</f>
        <v>0</v>
      </c>
      <c r="G81" s="6">
        <f>SUMIF(Source_PL!$A:$A,$A81,Source_PL!G:G)</f>
        <v>0</v>
      </c>
      <c r="H81" s="6">
        <f>SUMIF(Source_PL!$A:$A,$A81,Source_PL!H:H)</f>
        <v>0</v>
      </c>
      <c r="I81" s="6">
        <f>SUMIF(Source_PL!$A:$A,$A81,Source_PL!I:I)</f>
        <v>0</v>
      </c>
      <c r="J81" s="6">
        <f>SUMIF(Source_PL!$A:$A,$A81,Source_PL!J:J)</f>
        <v>0</v>
      </c>
      <c r="K81" s="6">
        <f>SUMIF(Source_PL!$A:$A,$A81,Source_PL!K:K)</f>
        <v>0</v>
      </c>
      <c r="L81" s="6">
        <f>SUMIF(Source_PL!$A:$A,$A81,Source_PL!L:L)</f>
        <v>0</v>
      </c>
      <c r="M81" s="6">
        <f>SUMIF(Source_PL!$A:$A,$A81,Source_PL!M:M)</f>
        <v>0</v>
      </c>
      <c r="O81" s="6">
        <f>SUM(B81:M81)</f>
        <v>3978</v>
      </c>
    </row>
    <row r="82" spans="1:15" x14ac:dyDescent="0.25">
      <c r="A82" t="s">
        <v>78</v>
      </c>
      <c r="B82" s="6">
        <f>SUMIF(Source_PL!$A:$A,$A82,Source_PL!B:B)</f>
        <v>6171.78</v>
      </c>
      <c r="C82" s="6">
        <f>SUMIF(Source_PL!$A:$A,$A82,Source_PL!C:C)</f>
        <v>2039.27</v>
      </c>
      <c r="D82" s="6">
        <f>SUMIF(Source_PL!$A:$A,$A82,Source_PL!D:D)</f>
        <v>638.14</v>
      </c>
      <c r="E82" s="6">
        <f>SUMIF(Source_PL!$A:$A,$A82,Source_PL!E:E)</f>
        <v>319.69</v>
      </c>
      <c r="F82" s="6">
        <f>SUMIF(Source_PL!$A:$A,$A82,Source_PL!F:F)</f>
        <v>1799.42</v>
      </c>
      <c r="G82" s="6">
        <f>SUMIF(Source_PL!$A:$A,$A82,Source_PL!G:G)</f>
        <v>1278.69</v>
      </c>
      <c r="H82" s="6">
        <f>SUMIF(Source_PL!$A:$A,$A82,Source_PL!H:H)</f>
        <v>858.36</v>
      </c>
      <c r="I82" s="6">
        <f>SUMIF(Source_PL!$A:$A,$A82,Source_PL!I:I)</f>
        <v>8088.07</v>
      </c>
      <c r="J82" s="6">
        <f>SUMIF(Source_PL!$A:$A,$A82,Source_PL!J:J)</f>
        <v>6961.07</v>
      </c>
      <c r="K82" s="6">
        <f>SUMIF(Source_PL!$A:$A,$A82,Source_PL!K:K)</f>
        <v>3503.73</v>
      </c>
      <c r="L82" s="6">
        <f>SUMIF(Source_PL!$A:$A,$A82,Source_PL!L:L)</f>
        <v>761.91</v>
      </c>
      <c r="M82" s="6">
        <f>SUMIF(Source_PL!$A:$A,$A82,Source_PL!M:M)</f>
        <v>2783.25</v>
      </c>
      <c r="O82" s="6">
        <f>SUM(B82:M82)</f>
        <v>35203.379999999997</v>
      </c>
    </row>
    <row r="83" spans="1:15" x14ac:dyDescent="0.25">
      <c r="A83" t="s">
        <v>79</v>
      </c>
      <c r="B83" s="6">
        <f>SUMIF(Source_PL!$A:$A,$A83,Source_PL!B:B)</f>
        <v>61.01</v>
      </c>
      <c r="C83" s="6">
        <f>SUMIF(Source_PL!$A:$A,$A83,Source_PL!C:C)</f>
        <v>0</v>
      </c>
      <c r="D83" s="6">
        <f>SUMIF(Source_PL!$A:$A,$A83,Source_PL!D:D)</f>
        <v>180.69</v>
      </c>
      <c r="E83" s="6">
        <f>SUMIF(Source_PL!$A:$A,$A83,Source_PL!E:E)</f>
        <v>231.1</v>
      </c>
      <c r="F83" s="6">
        <f>SUMIF(Source_PL!$A:$A,$A83,Source_PL!F:F)</f>
        <v>2875.33</v>
      </c>
      <c r="G83" s="6">
        <f>SUMIF(Source_PL!$A:$A,$A83,Source_PL!G:G)</f>
        <v>550.38</v>
      </c>
      <c r="H83" s="6">
        <f>SUMIF(Source_PL!$A:$A,$A83,Source_PL!H:H)</f>
        <v>667.41</v>
      </c>
      <c r="I83" s="6">
        <f>SUMIF(Source_PL!$A:$A,$A83,Source_PL!I:I)</f>
        <v>1931.76</v>
      </c>
      <c r="J83" s="6">
        <f>SUMIF(Source_PL!$A:$A,$A83,Source_PL!J:J)</f>
        <v>111.24</v>
      </c>
      <c r="K83" s="6">
        <f>SUMIF(Source_PL!$A:$A,$A83,Source_PL!K:K)</f>
        <v>17.91</v>
      </c>
      <c r="L83" s="6">
        <f>SUMIF(Source_PL!$A:$A,$A83,Source_PL!L:L)</f>
        <v>99.12</v>
      </c>
      <c r="M83" s="6">
        <f>SUMIF(Source_PL!$A:$A,$A83,Source_PL!M:M)</f>
        <v>0</v>
      </c>
      <c r="O83" s="6">
        <f>SUM(B83:M83)</f>
        <v>6725.95</v>
      </c>
    </row>
    <row r="84" spans="1:15" x14ac:dyDescent="0.25">
      <c r="A84" t="s">
        <v>80</v>
      </c>
      <c r="B84" s="6">
        <f>SUMIF(Source_PL!$A:$A,$A84,Source_PL!B:B)</f>
        <v>5432.6</v>
      </c>
      <c r="C84" s="6">
        <f>SUMIF(Source_PL!$A:$A,$A84,Source_PL!C:C)</f>
        <v>0</v>
      </c>
      <c r="D84" s="6">
        <f>SUMIF(Source_PL!$A:$A,$A84,Source_PL!D:D)</f>
        <v>382</v>
      </c>
      <c r="E84" s="6">
        <f>SUMIF(Source_PL!$A:$A,$A84,Source_PL!E:E)</f>
        <v>0</v>
      </c>
      <c r="F84" s="6">
        <f>SUMIF(Source_PL!$A:$A,$A84,Source_PL!F:F)</f>
        <v>1998.27</v>
      </c>
      <c r="G84" s="6">
        <f>SUMIF(Source_PL!$A:$A,$A84,Source_PL!G:G)</f>
        <v>273.70999999999998</v>
      </c>
      <c r="H84" s="6">
        <f>SUMIF(Source_PL!$A:$A,$A84,Source_PL!H:H)</f>
        <v>1175.6300000000001</v>
      </c>
      <c r="I84" s="6">
        <f>SUMIF(Source_PL!$A:$A,$A84,Source_PL!I:I)</f>
        <v>2544.7800000000002</v>
      </c>
      <c r="J84" s="6">
        <f>SUMIF(Source_PL!$A:$A,$A84,Source_PL!J:J)</f>
        <v>1466.76</v>
      </c>
      <c r="K84" s="6">
        <f>SUMIF(Source_PL!$A:$A,$A84,Source_PL!K:K)</f>
        <v>2958.28</v>
      </c>
      <c r="L84" s="6">
        <f>SUMIF(Source_PL!$A:$A,$A84,Source_PL!L:L)</f>
        <v>589.1</v>
      </c>
      <c r="M84" s="6">
        <f>SUMIF(Source_PL!$A:$A,$A84,Source_PL!M:M)</f>
        <v>1640.31</v>
      </c>
      <c r="O84" s="6">
        <f>SUM(B84:M84)</f>
        <v>18461.440000000002</v>
      </c>
    </row>
    <row r="85" spans="1:15" x14ac:dyDescent="0.25">
      <c r="A85" t="s">
        <v>81</v>
      </c>
      <c r="B85" s="6">
        <f>SUMIF(Source_PL!$A:$A,$A85,Source_PL!B:B)</f>
        <v>1983.35</v>
      </c>
      <c r="C85" s="6">
        <f>SUMIF(Source_PL!$A:$A,$A85,Source_PL!C:C)</f>
        <v>1058.83</v>
      </c>
      <c r="D85" s="6">
        <f>SUMIF(Source_PL!$A:$A,$A85,Source_PL!D:D)</f>
        <v>2413.37</v>
      </c>
      <c r="E85" s="6">
        <f>SUMIF(Source_PL!$A:$A,$A85,Source_PL!E:E)</f>
        <v>1130.7</v>
      </c>
      <c r="F85" s="6">
        <f>SUMIF(Source_PL!$A:$A,$A85,Source_PL!F:F)</f>
        <v>3254.01</v>
      </c>
      <c r="G85" s="6">
        <f>SUMIF(Source_PL!$A:$A,$A85,Source_PL!G:G)</f>
        <v>3291.29</v>
      </c>
      <c r="H85" s="6">
        <f>SUMIF(Source_PL!$A:$A,$A85,Source_PL!H:H)</f>
        <v>1676.3</v>
      </c>
      <c r="I85" s="6">
        <f>SUMIF(Source_PL!$A:$A,$A85,Source_PL!I:I)</f>
        <v>1348.33</v>
      </c>
      <c r="J85" s="6">
        <f>SUMIF(Source_PL!$A:$A,$A85,Source_PL!J:J)</f>
        <v>1493.69</v>
      </c>
      <c r="K85" s="6">
        <f>SUMIF(Source_PL!$A:$A,$A85,Source_PL!K:K)</f>
        <v>3763.83</v>
      </c>
      <c r="L85" s="6">
        <f>SUMIF(Source_PL!$A:$A,$A85,Source_PL!L:L)</f>
        <v>1592.58</v>
      </c>
      <c r="M85" s="6">
        <f>SUMIF(Source_PL!$A:$A,$A85,Source_PL!M:M)</f>
        <v>4231.29</v>
      </c>
      <c r="O85" s="6">
        <f>SUM(B85:M85)</f>
        <v>27237.57</v>
      </c>
    </row>
    <row r="86" spans="1:15" x14ac:dyDescent="0.25">
      <c r="A86" t="s">
        <v>82</v>
      </c>
      <c r="B86" s="6">
        <f>SUMIF(Source_PL!$A:$A,$A86,Source_PL!B:B)</f>
        <v>0</v>
      </c>
      <c r="C86" s="6">
        <f>SUMIF(Source_PL!$A:$A,$A86,Source_PL!C:C)</f>
        <v>6226.19</v>
      </c>
      <c r="D86" s="6">
        <f>SUMIF(Source_PL!$A:$A,$A86,Source_PL!D:D)</f>
        <v>3727.77</v>
      </c>
      <c r="E86" s="6">
        <f>SUMIF(Source_PL!$A:$A,$A86,Source_PL!E:E)</f>
        <v>2123.2399999999998</v>
      </c>
      <c r="F86" s="6">
        <f>SUMIF(Source_PL!$A:$A,$A86,Source_PL!F:F)</f>
        <v>0</v>
      </c>
      <c r="G86" s="6">
        <f>SUMIF(Source_PL!$A:$A,$A86,Source_PL!G:G)</f>
        <v>0</v>
      </c>
      <c r="H86" s="6">
        <f>SUMIF(Source_PL!$A:$A,$A86,Source_PL!H:H)</f>
        <v>0</v>
      </c>
      <c r="I86" s="6">
        <f>SUMIF(Source_PL!$A:$A,$A86,Source_PL!I:I)</f>
        <v>1.53</v>
      </c>
      <c r="J86" s="6">
        <f>SUMIF(Source_PL!$A:$A,$A86,Source_PL!J:J)</f>
        <v>0</v>
      </c>
      <c r="K86" s="6">
        <f>SUMIF(Source_PL!$A:$A,$A86,Source_PL!K:K)</f>
        <v>8.5</v>
      </c>
      <c r="L86" s="6">
        <f>SUMIF(Source_PL!$A:$A,$A86,Source_PL!L:L)</f>
        <v>7265.59</v>
      </c>
      <c r="M86" s="6">
        <f>SUMIF(Source_PL!$A:$A,$A86,Source_PL!M:M)</f>
        <v>14653.54</v>
      </c>
      <c r="O86" s="6">
        <f>SUM(B86:M86)</f>
        <v>34006.36</v>
      </c>
    </row>
    <row r="87" spans="1:15" x14ac:dyDescent="0.25">
      <c r="A87" t="s">
        <v>83</v>
      </c>
      <c r="B87" s="6">
        <f>SUMIF(Source_PL!$A:$A,$A87,Source_PL!B:B)</f>
        <v>0</v>
      </c>
      <c r="C87" s="6">
        <f>SUMIF(Source_PL!$A:$A,$A87,Source_PL!C:C)</f>
        <v>0</v>
      </c>
      <c r="D87" s="6">
        <f>SUMIF(Source_PL!$A:$A,$A87,Source_PL!D:D)</f>
        <v>0</v>
      </c>
      <c r="E87" s="6">
        <f>SUMIF(Source_PL!$A:$A,$A87,Source_PL!E:E)</f>
        <v>1014.34</v>
      </c>
      <c r="F87" s="6">
        <f>SUMIF(Source_PL!$A:$A,$A87,Source_PL!F:F)</f>
        <v>36.85</v>
      </c>
      <c r="G87" s="6">
        <f>SUMIF(Source_PL!$A:$A,$A87,Source_PL!G:G)</f>
        <v>29</v>
      </c>
      <c r="H87" s="6">
        <f>SUMIF(Source_PL!$A:$A,$A87,Source_PL!H:H)</f>
        <v>759.61</v>
      </c>
      <c r="I87" s="6">
        <f>SUMIF(Source_PL!$A:$A,$A87,Source_PL!I:I)</f>
        <v>350</v>
      </c>
      <c r="J87" s="6">
        <f>SUMIF(Source_PL!$A:$A,$A87,Source_PL!J:J)</f>
        <v>0</v>
      </c>
      <c r="K87" s="6">
        <f>SUMIF(Source_PL!$A:$A,$A87,Source_PL!K:K)</f>
        <v>54.5</v>
      </c>
      <c r="L87" s="6">
        <f>SUMIF(Source_PL!$A:$A,$A87,Source_PL!L:L)</f>
        <v>50</v>
      </c>
      <c r="M87" s="6">
        <f>SUMIF(Source_PL!$A:$A,$A87,Source_PL!M:M)</f>
        <v>0</v>
      </c>
      <c r="O87" s="6">
        <f>SUM(B87:M87)</f>
        <v>2294.3000000000002</v>
      </c>
    </row>
    <row r="88" spans="1:15" x14ac:dyDescent="0.25">
      <c r="A88" t="s">
        <v>84</v>
      </c>
      <c r="B88" s="6">
        <f>SUMIF(Source_PL!$A:$A,$A88,Source_PL!B:B)</f>
        <v>1750.74</v>
      </c>
      <c r="C88" s="6">
        <f>SUMIF(Source_PL!$A:$A,$A88,Source_PL!C:C)</f>
        <v>1971.33</v>
      </c>
      <c r="D88" s="6">
        <f>SUMIF(Source_PL!$A:$A,$A88,Source_PL!D:D)</f>
        <v>1806.76</v>
      </c>
      <c r="E88" s="6">
        <f>SUMIF(Source_PL!$A:$A,$A88,Source_PL!E:E)</f>
        <v>1460.92</v>
      </c>
      <c r="F88" s="6">
        <f>SUMIF(Source_PL!$A:$A,$A88,Source_PL!F:F)</f>
        <v>1748.18</v>
      </c>
      <c r="G88" s="6">
        <f>SUMIF(Source_PL!$A:$A,$A88,Source_PL!G:G)</f>
        <v>1751.14</v>
      </c>
      <c r="H88" s="6">
        <f>SUMIF(Source_PL!$A:$A,$A88,Source_PL!H:H)</f>
        <v>1904.22</v>
      </c>
      <c r="I88" s="6">
        <f>SUMIF(Source_PL!$A:$A,$A88,Source_PL!I:I)</f>
        <v>2075.38</v>
      </c>
      <c r="J88" s="6">
        <f>SUMIF(Source_PL!$A:$A,$A88,Source_PL!J:J)</f>
        <v>2107.65</v>
      </c>
      <c r="K88" s="6">
        <f>SUMIF(Source_PL!$A:$A,$A88,Source_PL!K:K)</f>
        <v>2302</v>
      </c>
      <c r="L88" s="6">
        <f>SUMIF(Source_PL!$A:$A,$A88,Source_PL!L:L)</f>
        <v>3599.22</v>
      </c>
      <c r="M88" s="6">
        <f>SUMIF(Source_PL!$A:$A,$A88,Source_PL!M:M)</f>
        <v>2695.54</v>
      </c>
      <c r="O88" s="6">
        <f>SUM(B88:M88)</f>
        <v>25173.08</v>
      </c>
    </row>
    <row r="89" spans="1:15" x14ac:dyDescent="0.25">
      <c r="A89" t="s">
        <v>85</v>
      </c>
      <c r="B89" s="6">
        <f>SUMIF(Source_PL!$A:$A,$A89,Source_PL!B:B)</f>
        <v>0</v>
      </c>
      <c r="C89" s="6">
        <f>SUMIF(Source_PL!$A:$A,$A89,Source_PL!C:C)</f>
        <v>0</v>
      </c>
      <c r="D89" s="6">
        <f>SUMIF(Source_PL!$A:$A,$A89,Source_PL!D:D)</f>
        <v>0</v>
      </c>
      <c r="E89" s="6">
        <f>SUMIF(Source_PL!$A:$A,$A89,Source_PL!E:E)</f>
        <v>0</v>
      </c>
      <c r="F89" s="6">
        <f>SUMIF(Source_PL!$A:$A,$A89,Source_PL!F:F)</f>
        <v>309</v>
      </c>
      <c r="G89" s="6">
        <f>SUMIF(Source_PL!$A:$A,$A89,Source_PL!G:G)</f>
        <v>0</v>
      </c>
      <c r="H89" s="6">
        <f>SUMIF(Source_PL!$A:$A,$A89,Source_PL!H:H)</f>
        <v>103</v>
      </c>
      <c r="I89" s="6">
        <f>SUMIF(Source_PL!$A:$A,$A89,Source_PL!I:I)</f>
        <v>0</v>
      </c>
      <c r="J89" s="6">
        <f>SUMIF(Source_PL!$A:$A,$A89,Source_PL!J:J)</f>
        <v>0</v>
      </c>
      <c r="K89" s="6">
        <f>SUMIF(Source_PL!$A:$A,$A89,Source_PL!K:K)</f>
        <v>103</v>
      </c>
      <c r="L89" s="6">
        <f>SUMIF(Source_PL!$A:$A,$A89,Source_PL!L:L)</f>
        <v>0</v>
      </c>
      <c r="M89" s="6">
        <f>SUMIF(Source_PL!$A:$A,$A89,Source_PL!M:M)</f>
        <v>0</v>
      </c>
      <c r="O89" s="6">
        <f>SUM(B89:M89)</f>
        <v>515</v>
      </c>
    </row>
    <row r="90" spans="1:15" x14ac:dyDescent="0.25">
      <c r="A90" t="s">
        <v>86</v>
      </c>
      <c r="B90" s="6">
        <f>SUMIF(Source_PL!$A:$A,$A90,Source_PL!B:B)</f>
        <v>9139.86</v>
      </c>
      <c r="C90" s="6">
        <f>SUMIF(Source_PL!$A:$A,$A90,Source_PL!C:C)</f>
        <v>13831.07</v>
      </c>
      <c r="D90" s="6">
        <f>SUMIF(Source_PL!$A:$A,$A90,Source_PL!D:D)</f>
        <v>13806.61</v>
      </c>
      <c r="E90" s="6">
        <f>SUMIF(Source_PL!$A:$A,$A90,Source_PL!E:E)</f>
        <v>12560.45</v>
      </c>
      <c r="F90" s="6">
        <f>SUMIF(Source_PL!$A:$A,$A90,Source_PL!F:F)</f>
        <v>10992.02</v>
      </c>
      <c r="G90" s="6">
        <f>SUMIF(Source_PL!$A:$A,$A90,Source_PL!G:G)</f>
        <v>19017.05</v>
      </c>
      <c r="H90" s="6">
        <f>SUMIF(Source_PL!$A:$A,$A90,Source_PL!H:H)</f>
        <v>11238.54</v>
      </c>
      <c r="I90" s="6">
        <f>SUMIF(Source_PL!$A:$A,$A90,Source_PL!I:I)</f>
        <v>562.54</v>
      </c>
      <c r="J90" s="6">
        <f>SUMIF(Source_PL!$A:$A,$A90,Source_PL!J:J)</f>
        <v>4549.8100000000004</v>
      </c>
      <c r="K90" s="6">
        <f>SUMIF(Source_PL!$A:$A,$A90,Source_PL!K:K)</f>
        <v>4819.1899999999996</v>
      </c>
      <c r="L90" s="6">
        <f>SUMIF(Source_PL!$A:$A,$A90,Source_PL!L:L)</f>
        <v>3239.11</v>
      </c>
      <c r="M90" s="6">
        <f>SUMIF(Source_PL!$A:$A,$A90,Source_PL!M:M)</f>
        <v>3280.01</v>
      </c>
      <c r="O90" s="6">
        <f>SUM(B90:M90)</f>
        <v>107036.26</v>
      </c>
    </row>
    <row r="91" spans="1:15" x14ac:dyDescent="0.25">
      <c r="A91" t="s">
        <v>87</v>
      </c>
      <c r="B91" s="6">
        <f>SUMIF(Source_PL!$A:$A,$A91,Source_PL!B:B)</f>
        <v>1999.17</v>
      </c>
      <c r="C91" s="6">
        <f>SUMIF(Source_PL!$A:$A,$A91,Source_PL!C:C)</f>
        <v>3380.41</v>
      </c>
      <c r="D91" s="6">
        <f>SUMIF(Source_PL!$A:$A,$A91,Source_PL!D:D)</f>
        <v>2303.19</v>
      </c>
      <c r="E91" s="6">
        <f>SUMIF(Source_PL!$A:$A,$A91,Source_PL!E:E)</f>
        <v>3164.59</v>
      </c>
      <c r="F91" s="6">
        <f>SUMIF(Source_PL!$A:$A,$A91,Source_PL!F:F)</f>
        <v>2140.9499999999998</v>
      </c>
      <c r="G91" s="6">
        <f>SUMIF(Source_PL!$A:$A,$A91,Source_PL!G:G)</f>
        <v>2754.84</v>
      </c>
      <c r="H91" s="6">
        <f>SUMIF(Source_PL!$A:$A,$A91,Source_PL!H:H)</f>
        <v>2030.08</v>
      </c>
      <c r="I91" s="6">
        <f>SUMIF(Source_PL!$A:$A,$A91,Source_PL!I:I)</f>
        <v>2229.48</v>
      </c>
      <c r="J91" s="6">
        <f>SUMIF(Source_PL!$A:$A,$A91,Source_PL!J:J)</f>
        <v>2702.57</v>
      </c>
      <c r="K91" s="6">
        <f>SUMIF(Source_PL!$A:$A,$A91,Source_PL!K:K)</f>
        <v>2930.86</v>
      </c>
      <c r="L91" s="6">
        <f>SUMIF(Source_PL!$A:$A,$A91,Source_PL!L:L)</f>
        <v>3582.9</v>
      </c>
      <c r="M91" s="6">
        <f>SUMIF(Source_PL!$A:$A,$A91,Source_PL!M:M)</f>
        <v>6447.98</v>
      </c>
      <c r="O91" s="6">
        <f>SUM(B91:M91)</f>
        <v>35667.020000000004</v>
      </c>
    </row>
    <row r="92" spans="1:15" x14ac:dyDescent="0.25">
      <c r="A92" t="s">
        <v>88</v>
      </c>
      <c r="B92" s="6">
        <f>SUMIF(Source_PL!$A:$A,$A92,Source_PL!B:B)</f>
        <v>2349.3200000000002</v>
      </c>
      <c r="C92" s="6">
        <f>SUMIF(Source_PL!$A:$A,$A92,Source_PL!C:C)</f>
        <v>2183.19</v>
      </c>
      <c r="D92" s="6">
        <f>SUMIF(Source_PL!$A:$A,$A92,Source_PL!D:D)</f>
        <v>1091.4000000000001</v>
      </c>
      <c r="E92" s="6">
        <f>SUMIF(Source_PL!$A:$A,$A92,Source_PL!E:E)</f>
        <v>1944.54</v>
      </c>
      <c r="F92" s="6">
        <f>SUMIF(Source_PL!$A:$A,$A92,Source_PL!F:F)</f>
        <v>1331.97</v>
      </c>
      <c r="G92" s="6">
        <f>SUMIF(Source_PL!$A:$A,$A92,Source_PL!G:G)</f>
        <v>4771.1099999999997</v>
      </c>
      <c r="H92" s="6">
        <f>SUMIF(Source_PL!$A:$A,$A92,Source_PL!H:H)</f>
        <v>2246.25</v>
      </c>
      <c r="I92" s="6">
        <f>SUMIF(Source_PL!$A:$A,$A92,Source_PL!I:I)</f>
        <v>2854.09</v>
      </c>
      <c r="J92" s="6">
        <f>SUMIF(Source_PL!$A:$A,$A92,Source_PL!J:J)</f>
        <v>2860.83</v>
      </c>
      <c r="K92" s="6">
        <f>SUMIF(Source_PL!$A:$A,$A92,Source_PL!K:K)</f>
        <v>2941.16</v>
      </c>
      <c r="L92" s="6">
        <f>SUMIF(Source_PL!$A:$A,$A92,Source_PL!L:L)</f>
        <v>2038.49</v>
      </c>
      <c r="M92" s="6">
        <f>SUMIF(Source_PL!$A:$A,$A92,Source_PL!M:M)</f>
        <v>1828.98</v>
      </c>
      <c r="O92" s="6">
        <f>SUM(B92:M92)</f>
        <v>28441.329999999998</v>
      </c>
    </row>
    <row r="93" spans="1:15" x14ac:dyDescent="0.25">
      <c r="A93" t="s">
        <v>89</v>
      </c>
      <c r="B93" s="6">
        <f>SUMIF(Source_PL!$A:$A,$A93,Source_PL!B:B)</f>
        <v>0</v>
      </c>
      <c r="C93" s="6">
        <f>SUMIF(Source_PL!$A:$A,$A93,Source_PL!C:C)</f>
        <v>0</v>
      </c>
      <c r="D93" s="6">
        <f>SUMIF(Source_PL!$A:$A,$A93,Source_PL!D:D)</f>
        <v>7735</v>
      </c>
      <c r="E93" s="6">
        <f>SUMIF(Source_PL!$A:$A,$A93,Source_PL!E:E)</f>
        <v>0</v>
      </c>
      <c r="F93" s="6">
        <f>SUMIF(Source_PL!$A:$A,$A93,Source_PL!F:F)</f>
        <v>0</v>
      </c>
      <c r="G93" s="6">
        <f>SUMIF(Source_PL!$A:$A,$A93,Source_PL!G:G)</f>
        <v>0</v>
      </c>
      <c r="H93" s="6">
        <f>SUMIF(Source_PL!$A:$A,$A93,Source_PL!H:H)</f>
        <v>0</v>
      </c>
      <c r="I93" s="6">
        <f>SUMIF(Source_PL!$A:$A,$A93,Source_PL!I:I)</f>
        <v>0</v>
      </c>
      <c r="J93" s="6">
        <f>SUMIF(Source_PL!$A:$A,$A93,Source_PL!J:J)</f>
        <v>0</v>
      </c>
      <c r="K93" s="6">
        <f>SUMIF(Source_PL!$A:$A,$A93,Source_PL!K:K)</f>
        <v>0</v>
      </c>
      <c r="L93" s="6">
        <f>SUMIF(Source_PL!$A:$A,$A93,Source_PL!L:L)</f>
        <v>0</v>
      </c>
      <c r="M93" s="6">
        <f>SUMIF(Source_PL!$A:$A,$A93,Source_PL!M:M)</f>
        <v>1515.22</v>
      </c>
      <c r="O93" s="6">
        <f>SUM(B93:M93)</f>
        <v>9250.2199999999993</v>
      </c>
    </row>
    <row r="94" spans="1:15" x14ac:dyDescent="0.25">
      <c r="A94" t="s">
        <v>90</v>
      </c>
      <c r="B94" s="6">
        <f>SUMIF(Source_PL!$A:$A,$A94,Source_PL!B:B)</f>
        <v>0</v>
      </c>
      <c r="C94" s="6">
        <f>SUMIF(Source_PL!$A:$A,$A94,Source_PL!C:C)</f>
        <v>0</v>
      </c>
      <c r="D94" s="6">
        <f>SUMIF(Source_PL!$A:$A,$A94,Source_PL!D:D)</f>
        <v>0</v>
      </c>
      <c r="E94" s="6">
        <f>SUMIF(Source_PL!$A:$A,$A94,Source_PL!E:E)</f>
        <v>0</v>
      </c>
      <c r="F94" s="6">
        <f>SUMIF(Source_PL!$A:$A,$A94,Source_PL!F:F)</f>
        <v>-94.83</v>
      </c>
      <c r="G94" s="6">
        <f>SUMIF(Source_PL!$A:$A,$A94,Source_PL!G:G)</f>
        <v>-1337</v>
      </c>
      <c r="H94" s="6">
        <f>SUMIF(Source_PL!$A:$A,$A94,Source_PL!H:H)</f>
        <v>1431.83</v>
      </c>
      <c r="I94" s="6">
        <f>SUMIF(Source_PL!$A:$A,$A94,Source_PL!I:I)</f>
        <v>1515.22</v>
      </c>
      <c r="J94" s="6">
        <f>SUMIF(Source_PL!$A:$A,$A94,Source_PL!J:J)</f>
        <v>0</v>
      </c>
      <c r="K94" s="6">
        <f>SUMIF(Source_PL!$A:$A,$A94,Source_PL!K:K)</f>
        <v>0</v>
      </c>
      <c r="L94" s="6">
        <f>SUMIF(Source_PL!$A:$A,$A94,Source_PL!L:L)</f>
        <v>0</v>
      </c>
      <c r="M94" s="6">
        <f>SUMIF(Source_PL!$A:$A,$A94,Source_PL!M:M)</f>
        <v>-1465.22</v>
      </c>
      <c r="O94" s="6">
        <f>SUM(B94:M94)</f>
        <v>50</v>
      </c>
    </row>
    <row r="95" spans="1:15" x14ac:dyDescent="0.25">
      <c r="A95" t="s">
        <v>91</v>
      </c>
      <c r="B95" s="6">
        <f>SUMIF(Source_PL!$A:$A,$A95,Source_PL!B:B)</f>
        <v>5088.1400000000003</v>
      </c>
      <c r="C95" s="6">
        <f>SUMIF(Source_PL!$A:$A,$A95,Source_PL!C:C)</f>
        <v>11421.73</v>
      </c>
      <c r="D95" s="6">
        <f>SUMIF(Source_PL!$A:$A,$A95,Source_PL!D:D)</f>
        <v>11097</v>
      </c>
      <c r="E95" s="6">
        <f>SUMIF(Source_PL!$A:$A,$A95,Source_PL!E:E)</f>
        <v>10390.030000000001</v>
      </c>
      <c r="F95" s="6">
        <f>SUMIF(Source_PL!$A:$A,$A95,Source_PL!F:F)</f>
        <v>9624.86</v>
      </c>
      <c r="G95" s="6">
        <f>SUMIF(Source_PL!$A:$A,$A95,Source_PL!G:G)</f>
        <v>8125.67</v>
      </c>
      <c r="H95" s="6">
        <f>SUMIF(Source_PL!$A:$A,$A95,Source_PL!H:H)</f>
        <v>8759.39</v>
      </c>
      <c r="I95" s="6">
        <f>SUMIF(Source_PL!$A:$A,$A95,Source_PL!I:I)</f>
        <v>-6056.77</v>
      </c>
      <c r="J95" s="6">
        <f>SUMIF(Source_PL!$A:$A,$A95,Source_PL!J:J)</f>
        <v>7768.49</v>
      </c>
      <c r="K95" s="6">
        <f>SUMIF(Source_PL!$A:$A,$A95,Source_PL!K:K)</f>
        <v>8443.31</v>
      </c>
      <c r="L95" s="6">
        <f>SUMIF(Source_PL!$A:$A,$A95,Source_PL!L:L)</f>
        <v>6688.87</v>
      </c>
      <c r="M95" s="6">
        <f>SUMIF(Source_PL!$A:$A,$A95,Source_PL!M:M)</f>
        <v>5698.23</v>
      </c>
      <c r="O95" s="6">
        <f>SUM(B95:M95)</f>
        <v>87048.95</v>
      </c>
    </row>
    <row r="96" spans="1:15" x14ac:dyDescent="0.25">
      <c r="A96" s="7" t="s">
        <v>92</v>
      </c>
      <c r="B96" s="9">
        <f>SUMIF(Source_PL!$A:$A,$A96,Source_PL!B:B)</f>
        <v>274944.03999999998</v>
      </c>
      <c r="C96" s="9">
        <f>SUMIF(Source_PL!$A:$A,$A96,Source_PL!C:C)</f>
        <v>253453.25999999992</v>
      </c>
      <c r="D96" s="9">
        <f>SUMIF(Source_PL!$A:$A,$A96,Source_PL!D:D)</f>
        <v>421980.36000000004</v>
      </c>
      <c r="E96" s="9">
        <f>SUMIF(Source_PL!$A:$A,$A96,Source_PL!E:E)</f>
        <v>257236.40000000011</v>
      </c>
      <c r="F96" s="9">
        <f>SUMIF(Source_PL!$A:$A,$A96,Source_PL!F:F)</f>
        <v>283626.78999999998</v>
      </c>
      <c r="G96" s="9">
        <f>SUMIF(Source_PL!$A:$A,$A96,Source_PL!G:G)</f>
        <v>251404.91999999993</v>
      </c>
      <c r="H96" s="9">
        <f>SUMIF(Source_PL!$A:$A,$A96,Source_PL!H:H)</f>
        <v>316493.50999999995</v>
      </c>
      <c r="I96" s="9">
        <f>SUMIF(Source_PL!$A:$A,$A96,Source_PL!I:I)</f>
        <v>348565.39000000013</v>
      </c>
      <c r="J96" s="9">
        <f>SUMIF(Source_PL!$A:$A,$A96,Source_PL!J:J)</f>
        <v>249349.01999999996</v>
      </c>
      <c r="K96" s="9">
        <f>SUMIF(Source_PL!$A:$A,$A96,Source_PL!K:K)</f>
        <v>233275.09000000003</v>
      </c>
      <c r="L96" s="9">
        <f>SUMIF(Source_PL!$A:$A,$A96,Source_PL!L:L)</f>
        <v>298075.75</v>
      </c>
      <c r="M96" s="9">
        <f>SUMIF(Source_PL!$A:$A,$A96,Source_PL!M:M)</f>
        <v>609603.90000000014</v>
      </c>
      <c r="N96" s="8"/>
      <c r="O96" s="9">
        <f>SUM(B96:M96)</f>
        <v>3798008.4299999997</v>
      </c>
    </row>
    <row r="97" spans="1:15" x14ac:dyDescent="0.25">
      <c r="A97" t="s">
        <v>93</v>
      </c>
      <c r="B97" s="6">
        <f>SUMIF(Source_PL!$A:$A,$A97,Source_PL!B:B)</f>
        <v>-541938.17999999993</v>
      </c>
      <c r="C97" s="6">
        <f>SUMIF(Source_PL!$A:$A,$A97,Source_PL!C:C)</f>
        <v>-173718.43999999992</v>
      </c>
      <c r="D97" s="6">
        <f>SUMIF(Source_PL!$A:$A,$A97,Source_PL!D:D)</f>
        <v>239763.25000000006</v>
      </c>
      <c r="E97" s="6">
        <f>SUMIF(Source_PL!$A:$A,$A97,Source_PL!E:E)</f>
        <v>-43761.250000000087</v>
      </c>
      <c r="F97" s="6">
        <f>SUMIF(Source_PL!$A:$A,$A97,Source_PL!F:F)</f>
        <v>74515.73000000004</v>
      </c>
      <c r="G97" s="6">
        <f>SUMIF(Source_PL!$A:$A,$A97,Source_PL!G:G)</f>
        <v>13486.590000000084</v>
      </c>
      <c r="H97" s="6">
        <f>SUMIF(Source_PL!$A:$A,$A97,Source_PL!H:H)</f>
        <v>-4721.8999999999069</v>
      </c>
      <c r="I97" s="6">
        <f>SUMIF(Source_PL!$A:$A,$A97,Source_PL!I:I)</f>
        <v>-82622.280000000144</v>
      </c>
      <c r="J97" s="6">
        <f>SUMIF(Source_PL!$A:$A,$A97,Source_PL!J:J)</f>
        <v>55609.870000000054</v>
      </c>
      <c r="K97" s="6">
        <f>SUMIF(Source_PL!$A:$A,$A97,Source_PL!K:K)</f>
        <v>-100669.09000000003</v>
      </c>
      <c r="L97" s="6">
        <f>SUMIF(Source_PL!$A:$A,$A97,Source_PL!L:L)</f>
        <v>86865.290000000037</v>
      </c>
      <c r="M97" s="6">
        <f>SUMIF(Source_PL!$A:$A,$A97,Source_PL!M:M)</f>
        <v>-118345.68000000017</v>
      </c>
      <c r="O97" s="6">
        <f>SUM(B97:M97)</f>
        <v>-595536.08999999985</v>
      </c>
    </row>
    <row r="98" spans="1:15" x14ac:dyDescent="0.25">
      <c r="A98" t="s">
        <v>94</v>
      </c>
      <c r="B98" s="6">
        <f>SUMIF(Source_PL!$A:$A,$A98,Source_PL!B:B)</f>
        <v>0</v>
      </c>
      <c r="C98" s="6">
        <f>SUMIF(Source_PL!$A:$A,$A98,Source_PL!C:C)</f>
        <v>0</v>
      </c>
      <c r="D98" s="6">
        <f>SUMIF(Source_PL!$A:$A,$A98,Source_PL!D:D)</f>
        <v>0</v>
      </c>
      <c r="E98" s="6">
        <f>SUMIF(Source_PL!$A:$A,$A98,Source_PL!E:E)</f>
        <v>0</v>
      </c>
      <c r="F98" s="6">
        <f>SUMIF(Source_PL!$A:$A,$A98,Source_PL!F:F)</f>
        <v>0</v>
      </c>
      <c r="G98" s="6">
        <f>SUMIF(Source_PL!$A:$A,$A98,Source_PL!G:G)</f>
        <v>0</v>
      </c>
      <c r="H98" s="6">
        <f>SUMIF(Source_PL!$A:$A,$A98,Source_PL!H:H)</f>
        <v>0</v>
      </c>
      <c r="I98" s="6">
        <f>SUMIF(Source_PL!$A:$A,$A98,Source_PL!I:I)</f>
        <v>0</v>
      </c>
      <c r="J98" s="6">
        <f>SUMIF(Source_PL!$A:$A,$A98,Source_PL!J:J)</f>
        <v>0</v>
      </c>
      <c r="K98" s="6">
        <f>SUMIF(Source_PL!$A:$A,$A98,Source_PL!K:K)</f>
        <v>0</v>
      </c>
      <c r="L98" s="6">
        <f>SUMIF(Source_PL!$A:$A,$A98,Source_PL!L:L)</f>
        <v>0</v>
      </c>
      <c r="M98" s="6">
        <f>SUMIF(Source_PL!$A:$A,$A98,Source_PL!M:M)</f>
        <v>0</v>
      </c>
      <c r="O98" s="6">
        <f>SUM(B98:M98)</f>
        <v>0</v>
      </c>
    </row>
    <row r="99" spans="1:15" x14ac:dyDescent="0.25">
      <c r="A99" t="s">
        <v>95</v>
      </c>
      <c r="B99" s="6">
        <f>SUMIF(Source_PL!$A:$A,$A99,Source_PL!B:B)</f>
        <v>1469</v>
      </c>
      <c r="C99" s="6">
        <f>SUMIF(Source_PL!$A:$A,$A99,Source_PL!C:C)</f>
        <v>0</v>
      </c>
      <c r="D99" s="6">
        <f>SUMIF(Source_PL!$A:$A,$A99,Source_PL!D:D)</f>
        <v>0</v>
      </c>
      <c r="E99" s="6">
        <f>SUMIF(Source_PL!$A:$A,$A99,Source_PL!E:E)</f>
        <v>0</v>
      </c>
      <c r="F99" s="6">
        <f>SUMIF(Source_PL!$A:$A,$A99,Source_PL!F:F)</f>
        <v>0</v>
      </c>
      <c r="G99" s="6">
        <f>SUMIF(Source_PL!$A:$A,$A99,Source_PL!G:G)</f>
        <v>0</v>
      </c>
      <c r="H99" s="6">
        <f>SUMIF(Source_PL!$A:$A,$A99,Source_PL!H:H)</f>
        <v>0</v>
      </c>
      <c r="I99" s="6">
        <f>SUMIF(Source_PL!$A:$A,$A99,Source_PL!I:I)</f>
        <v>0</v>
      </c>
      <c r="J99" s="6">
        <f>SUMIF(Source_PL!$A:$A,$A99,Source_PL!J:J)</f>
        <v>0</v>
      </c>
      <c r="K99" s="6">
        <f>SUMIF(Source_PL!$A:$A,$A99,Source_PL!K:K)</f>
        <v>41273.56</v>
      </c>
      <c r="L99" s="6">
        <f>SUMIF(Source_PL!$A:$A,$A99,Source_PL!L:L)</f>
        <v>0</v>
      </c>
      <c r="M99" s="6">
        <f>SUMIF(Source_PL!$A:$A,$A99,Source_PL!M:M)</f>
        <v>0</v>
      </c>
      <c r="O99" s="6">
        <f>SUM(B99:M99)</f>
        <v>42742.559999999998</v>
      </c>
    </row>
    <row r="100" spans="1:15" x14ac:dyDescent="0.25">
      <c r="A100" s="7" t="s">
        <v>96</v>
      </c>
      <c r="B100" s="9">
        <f>SUMIF(Source_PL!$A:$A,$A100,Source_PL!B:B)</f>
        <v>1469</v>
      </c>
      <c r="C100" s="9">
        <f>SUMIF(Source_PL!$A:$A,$A100,Source_PL!C:C)</f>
        <v>0</v>
      </c>
      <c r="D100" s="9">
        <f>SUMIF(Source_PL!$A:$A,$A100,Source_PL!D:D)</f>
        <v>0</v>
      </c>
      <c r="E100" s="9">
        <f>SUMIF(Source_PL!$A:$A,$A100,Source_PL!E:E)</f>
        <v>0</v>
      </c>
      <c r="F100" s="9">
        <f>SUMIF(Source_PL!$A:$A,$A100,Source_PL!F:F)</f>
        <v>0</v>
      </c>
      <c r="G100" s="9">
        <f>SUMIF(Source_PL!$A:$A,$A100,Source_PL!G:G)</f>
        <v>0</v>
      </c>
      <c r="H100" s="9">
        <f>SUMIF(Source_PL!$A:$A,$A100,Source_PL!H:H)</f>
        <v>0</v>
      </c>
      <c r="I100" s="9">
        <f>SUMIF(Source_PL!$A:$A,$A100,Source_PL!I:I)</f>
        <v>0</v>
      </c>
      <c r="J100" s="9">
        <f>SUMIF(Source_PL!$A:$A,$A100,Source_PL!J:J)</f>
        <v>0</v>
      </c>
      <c r="K100" s="9">
        <f>SUMIF(Source_PL!$A:$A,$A100,Source_PL!K:K)</f>
        <v>41273.56</v>
      </c>
      <c r="L100" s="9">
        <f>SUMIF(Source_PL!$A:$A,$A100,Source_PL!L:L)</f>
        <v>0</v>
      </c>
      <c r="M100" s="9">
        <f>SUMIF(Source_PL!$A:$A,$A100,Source_PL!M:M)</f>
        <v>0</v>
      </c>
      <c r="N100" s="8"/>
      <c r="O100" s="9">
        <f>SUM(B100:M100)</f>
        <v>42742.559999999998</v>
      </c>
    </row>
    <row r="101" spans="1:15" x14ac:dyDescent="0.25">
      <c r="A101" t="s">
        <v>97</v>
      </c>
      <c r="B101" s="6">
        <f>SUMIF(Source_PL!$A:$A,$A101,Source_PL!B:B)</f>
        <v>0</v>
      </c>
      <c r="C101" s="6">
        <f>SUMIF(Source_PL!$A:$A,$A101,Source_PL!C:C)</f>
        <v>0</v>
      </c>
      <c r="D101" s="6">
        <f>SUMIF(Source_PL!$A:$A,$A101,Source_PL!D:D)</f>
        <v>0</v>
      </c>
      <c r="E101" s="6">
        <f>SUMIF(Source_PL!$A:$A,$A101,Source_PL!E:E)</f>
        <v>0</v>
      </c>
      <c r="F101" s="6">
        <f>SUMIF(Source_PL!$A:$A,$A101,Source_PL!F:F)</f>
        <v>0</v>
      </c>
      <c r="G101" s="6">
        <f>SUMIF(Source_PL!$A:$A,$A101,Source_PL!G:G)</f>
        <v>0</v>
      </c>
      <c r="H101" s="6">
        <f>SUMIF(Source_PL!$A:$A,$A101,Source_PL!H:H)</f>
        <v>0</v>
      </c>
      <c r="I101" s="6">
        <f>SUMIF(Source_PL!$A:$A,$A101,Source_PL!I:I)</f>
        <v>0</v>
      </c>
      <c r="J101" s="6">
        <f>SUMIF(Source_PL!$A:$A,$A101,Source_PL!J:J)</f>
        <v>0</v>
      </c>
      <c r="K101" s="6">
        <f>SUMIF(Source_PL!$A:$A,$A101,Source_PL!K:K)</f>
        <v>0</v>
      </c>
      <c r="L101" s="6">
        <f>SUMIF(Source_PL!$A:$A,$A101,Source_PL!L:L)</f>
        <v>0</v>
      </c>
      <c r="M101" s="6">
        <f>SUMIF(Source_PL!$A:$A,$A101,Source_PL!M:M)</f>
        <v>0</v>
      </c>
      <c r="O101" s="6">
        <f>SUM(B101:M101)</f>
        <v>0</v>
      </c>
    </row>
    <row r="102" spans="1:15" x14ac:dyDescent="0.25">
      <c r="A102" t="s">
        <v>98</v>
      </c>
      <c r="B102" s="6">
        <f>SUMIF(Source_PL!$A:$A,$A102,Source_PL!B:B)</f>
        <v>0</v>
      </c>
      <c r="C102" s="6">
        <f>SUMIF(Source_PL!$A:$A,$A102,Source_PL!C:C)</f>
        <v>0</v>
      </c>
      <c r="D102" s="6">
        <f>SUMIF(Source_PL!$A:$A,$A102,Source_PL!D:D)</f>
        <v>0</v>
      </c>
      <c r="E102" s="6">
        <f>SUMIF(Source_PL!$A:$A,$A102,Source_PL!E:E)</f>
        <v>0</v>
      </c>
      <c r="F102" s="6">
        <f>SUMIF(Source_PL!$A:$A,$A102,Source_PL!F:F)</f>
        <v>0</v>
      </c>
      <c r="G102" s="6">
        <f>SUMIF(Source_PL!$A:$A,$A102,Source_PL!G:G)</f>
        <v>0</v>
      </c>
      <c r="H102" s="6">
        <f>SUMIF(Source_PL!$A:$A,$A102,Source_PL!H:H)</f>
        <v>0</v>
      </c>
      <c r="I102" s="6">
        <f>SUMIF(Source_PL!$A:$A,$A102,Source_PL!I:I)</f>
        <v>0</v>
      </c>
      <c r="J102" s="6">
        <f>SUMIF(Source_PL!$A:$A,$A102,Source_PL!J:J)</f>
        <v>0</v>
      </c>
      <c r="K102" s="6">
        <f>SUMIF(Source_PL!$A:$A,$A102,Source_PL!K:K)</f>
        <v>0</v>
      </c>
      <c r="L102" s="6">
        <f>SUMIF(Source_PL!$A:$A,$A102,Source_PL!L:L)</f>
        <v>0</v>
      </c>
      <c r="M102" s="6">
        <f>SUMIF(Source_PL!$A:$A,$A102,Source_PL!M:M)</f>
        <v>71836.210000000006</v>
      </c>
      <c r="O102" s="6">
        <f>SUM(B102:M102)</f>
        <v>71836.210000000006</v>
      </c>
    </row>
    <row r="103" spans="1:15" x14ac:dyDescent="0.25">
      <c r="A103" s="7" t="s">
        <v>99</v>
      </c>
      <c r="B103" s="9">
        <f>SUMIF(Source_PL!$A:$A,$A103,Source_PL!B:B)</f>
        <v>0</v>
      </c>
      <c r="C103" s="9">
        <f>SUMIF(Source_PL!$A:$A,$A103,Source_PL!C:C)</f>
        <v>0</v>
      </c>
      <c r="D103" s="9">
        <f>SUMIF(Source_PL!$A:$A,$A103,Source_PL!D:D)</f>
        <v>0</v>
      </c>
      <c r="E103" s="9">
        <f>SUMIF(Source_PL!$A:$A,$A103,Source_PL!E:E)</f>
        <v>0</v>
      </c>
      <c r="F103" s="9">
        <f>SUMIF(Source_PL!$A:$A,$A103,Source_PL!F:F)</f>
        <v>0</v>
      </c>
      <c r="G103" s="9">
        <f>SUMIF(Source_PL!$A:$A,$A103,Source_PL!G:G)</f>
        <v>0</v>
      </c>
      <c r="H103" s="9">
        <f>SUMIF(Source_PL!$A:$A,$A103,Source_PL!H:H)</f>
        <v>0</v>
      </c>
      <c r="I103" s="9">
        <f>SUMIF(Source_PL!$A:$A,$A103,Source_PL!I:I)</f>
        <v>0</v>
      </c>
      <c r="J103" s="9">
        <f>SUMIF(Source_PL!$A:$A,$A103,Source_PL!J:J)</f>
        <v>0</v>
      </c>
      <c r="K103" s="9">
        <f>SUMIF(Source_PL!$A:$A,$A103,Source_PL!K:K)</f>
        <v>0</v>
      </c>
      <c r="L103" s="9">
        <f>SUMIF(Source_PL!$A:$A,$A103,Source_PL!L:L)</f>
        <v>0</v>
      </c>
      <c r="M103" s="9">
        <f>SUMIF(Source_PL!$A:$A,$A103,Source_PL!M:M)</f>
        <v>71836.210000000006</v>
      </c>
      <c r="N103" s="8"/>
      <c r="O103" s="9">
        <f>SUM(B103:M103)</f>
        <v>71836.210000000006</v>
      </c>
    </row>
    <row r="104" spans="1:15" x14ac:dyDescent="0.25">
      <c r="A104" t="s">
        <v>100</v>
      </c>
      <c r="B104" s="6">
        <f>SUMIF(Source_PL!$A:$A,$A104,Source_PL!B:B)</f>
        <v>1469</v>
      </c>
      <c r="C104" s="6">
        <f>SUMIF(Source_PL!$A:$A,$A104,Source_PL!C:C)</f>
        <v>0</v>
      </c>
      <c r="D104" s="6">
        <f>SUMIF(Source_PL!$A:$A,$A104,Source_PL!D:D)</f>
        <v>0</v>
      </c>
      <c r="E104" s="6">
        <f>SUMIF(Source_PL!$A:$A,$A104,Source_PL!E:E)</f>
        <v>0</v>
      </c>
      <c r="F104" s="6">
        <f>SUMIF(Source_PL!$A:$A,$A104,Source_PL!F:F)</f>
        <v>0</v>
      </c>
      <c r="G104" s="6">
        <f>SUMIF(Source_PL!$A:$A,$A104,Source_PL!G:G)</f>
        <v>0</v>
      </c>
      <c r="H104" s="6">
        <f>SUMIF(Source_PL!$A:$A,$A104,Source_PL!H:H)</f>
        <v>0</v>
      </c>
      <c r="I104" s="6">
        <f>SUMIF(Source_PL!$A:$A,$A104,Source_PL!I:I)</f>
        <v>0</v>
      </c>
      <c r="J104" s="6">
        <f>SUMIF(Source_PL!$A:$A,$A104,Source_PL!J:J)</f>
        <v>0</v>
      </c>
      <c r="K104" s="6">
        <f>SUMIF(Source_PL!$A:$A,$A104,Source_PL!K:K)</f>
        <v>41273.56</v>
      </c>
      <c r="L104" s="6">
        <f>SUMIF(Source_PL!$A:$A,$A104,Source_PL!L:L)</f>
        <v>0</v>
      </c>
      <c r="M104" s="6">
        <f>SUMIF(Source_PL!$A:$A,$A104,Source_PL!M:M)</f>
        <v>-71836.210000000006</v>
      </c>
      <c r="O104" s="6">
        <f>SUM(B104:M104)</f>
        <v>-29093.650000000009</v>
      </c>
    </row>
    <row r="105" spans="1:15" x14ac:dyDescent="0.25">
      <c r="A105" s="7" t="s">
        <v>101</v>
      </c>
      <c r="B105" s="9">
        <f>SUMIF(Source_PL!$A:$A,$A105,Source_PL!B:B)</f>
        <v>-540469.17999999993</v>
      </c>
      <c r="C105" s="9">
        <f>SUMIF(Source_PL!$A:$A,$A105,Source_PL!C:C)</f>
        <v>-173718.43999999992</v>
      </c>
      <c r="D105" s="9">
        <f>SUMIF(Source_PL!$A:$A,$A105,Source_PL!D:D)</f>
        <v>239763.25000000006</v>
      </c>
      <c r="E105" s="9">
        <f>SUMIF(Source_PL!$A:$A,$A105,Source_PL!E:E)</f>
        <v>-43761.250000000087</v>
      </c>
      <c r="F105" s="9">
        <f>SUMIF(Source_PL!$A:$A,$A105,Source_PL!F:F)</f>
        <v>74515.73000000004</v>
      </c>
      <c r="G105" s="9">
        <f>SUMIF(Source_PL!$A:$A,$A105,Source_PL!G:G)</f>
        <v>13486.590000000084</v>
      </c>
      <c r="H105" s="9">
        <f>SUMIF(Source_PL!$A:$A,$A105,Source_PL!H:H)</f>
        <v>-4721.8999999999069</v>
      </c>
      <c r="I105" s="9">
        <f>SUMIF(Source_PL!$A:$A,$A105,Source_PL!I:I)</f>
        <v>-82622.280000000144</v>
      </c>
      <c r="J105" s="9">
        <f>SUMIF(Source_PL!$A:$A,$A105,Source_PL!J:J)</f>
        <v>55609.870000000054</v>
      </c>
      <c r="K105" s="9">
        <f>SUMIF(Source_PL!$A:$A,$A105,Source_PL!K:K)</f>
        <v>-59395.530000000028</v>
      </c>
      <c r="L105" s="9">
        <f>SUMIF(Source_PL!$A:$A,$A105,Source_PL!L:L)</f>
        <v>86865.290000000037</v>
      </c>
      <c r="M105" s="9">
        <f>SUMIF(Source_PL!$A:$A,$A105,Source_PL!M:M)</f>
        <v>-190181.89000000019</v>
      </c>
      <c r="N105" s="8"/>
      <c r="O105" s="9">
        <f>SUM(B105:M105)</f>
        <v>-624629.74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E4DE3-1350-41C2-A3B9-1258AA11A203}">
  <sheetPr codeName="Sheet5"/>
  <dimension ref="A1:M122"/>
  <sheetViews>
    <sheetView workbookViewId="0"/>
  </sheetViews>
  <sheetFormatPr defaultRowHeight="15" x14ac:dyDescent="0.25"/>
  <cols>
    <col min="1" max="1" width="69.42578125" bestFit="1" customWidth="1"/>
    <col min="2" max="12" width="9.85546875" bestFit="1" customWidth="1"/>
  </cols>
  <sheetData>
    <row r="1" spans="1:13" ht="18.75" x14ac:dyDescent="0.3">
      <c r="A1" s="3" t="s">
        <v>219</v>
      </c>
    </row>
    <row r="2" spans="1:13" x14ac:dyDescent="0.25">
      <c r="A2" s="4" t="s">
        <v>222</v>
      </c>
    </row>
    <row r="4" spans="1:13" x14ac:dyDescent="0.25">
      <c r="A4" s="4" t="s">
        <v>0</v>
      </c>
      <c r="B4" s="5">
        <v>45292</v>
      </c>
      <c r="C4" s="5">
        <v>45323</v>
      </c>
      <c r="D4" s="5">
        <v>45352</v>
      </c>
      <c r="E4" s="5">
        <v>45383</v>
      </c>
      <c r="F4" s="5">
        <v>45413</v>
      </c>
      <c r="G4" s="5">
        <v>45444</v>
      </c>
      <c r="H4" s="5">
        <v>45474</v>
      </c>
      <c r="I4" s="5">
        <v>45505</v>
      </c>
      <c r="J4" s="5">
        <v>45536</v>
      </c>
      <c r="K4" s="5">
        <v>45566</v>
      </c>
      <c r="L4" s="5">
        <v>45597</v>
      </c>
      <c r="M4" s="5">
        <v>45627</v>
      </c>
    </row>
    <row r="5" spans="1:13" x14ac:dyDescent="0.25">
      <c r="A5" t="s">
        <v>102</v>
      </c>
      <c r="B5" s="6">
        <f>SUMIF(Source_BS!$A:$A,$A5,Source_BS!B:B)</f>
        <v>0</v>
      </c>
      <c r="C5" s="6">
        <f>SUMIF(Source_BS!$A:$A,$A5,Source_BS!C:C)</f>
        <v>0</v>
      </c>
      <c r="D5" s="6">
        <f>SUMIF(Source_BS!$A:$A,$A5,Source_BS!D:D)</f>
        <v>0</v>
      </c>
      <c r="E5" s="6">
        <f>SUMIF(Source_BS!$A:$A,$A5,Source_BS!E:E)</f>
        <v>0</v>
      </c>
      <c r="F5" s="6">
        <f>SUMIF(Source_BS!$A:$A,$A5,Source_BS!F:F)</f>
        <v>0</v>
      </c>
      <c r="G5" s="6">
        <f>SUMIF(Source_BS!$A:$A,$A5,Source_BS!G:G)</f>
        <v>0</v>
      </c>
      <c r="H5" s="6">
        <f>SUMIF(Source_BS!$A:$A,$A5,Source_BS!H:H)</f>
        <v>0</v>
      </c>
      <c r="I5" s="6">
        <f>SUMIF(Source_BS!$A:$A,$A5,Source_BS!I:I)</f>
        <v>0</v>
      </c>
      <c r="J5" s="6">
        <f>SUMIF(Source_BS!$A:$A,$A5,Source_BS!J:J)</f>
        <v>0</v>
      </c>
      <c r="K5" s="6">
        <f>SUMIF(Source_BS!$A:$A,$A5,Source_BS!K:K)</f>
        <v>0</v>
      </c>
      <c r="L5" s="6">
        <f>SUMIF(Source_BS!$A:$A,$A5,Source_BS!L:L)</f>
        <v>0</v>
      </c>
      <c r="M5" s="6">
        <f>SUMIF(Source_BS!$A:$A,$A5,Source_BS!M:M)</f>
        <v>0</v>
      </c>
    </row>
    <row r="6" spans="1:13" x14ac:dyDescent="0.25">
      <c r="A6" t="s">
        <v>103</v>
      </c>
      <c r="B6" s="6">
        <f>SUMIF(Source_BS!$A:$A,$A6,Source_BS!B:B)</f>
        <v>0</v>
      </c>
      <c r="C6" s="6">
        <f>SUMIF(Source_BS!$A:$A,$A6,Source_BS!C:C)</f>
        <v>0</v>
      </c>
      <c r="D6" s="6">
        <f>SUMIF(Source_BS!$A:$A,$A6,Source_BS!D:D)</f>
        <v>0</v>
      </c>
      <c r="E6" s="6">
        <f>SUMIF(Source_BS!$A:$A,$A6,Source_BS!E:E)</f>
        <v>0</v>
      </c>
      <c r="F6" s="6">
        <f>SUMIF(Source_BS!$A:$A,$A6,Source_BS!F:F)</f>
        <v>0</v>
      </c>
      <c r="G6" s="6">
        <f>SUMIF(Source_BS!$A:$A,$A6,Source_BS!G:G)</f>
        <v>0</v>
      </c>
      <c r="H6" s="6">
        <f>SUMIF(Source_BS!$A:$A,$A6,Source_BS!H:H)</f>
        <v>0</v>
      </c>
      <c r="I6" s="6">
        <f>SUMIF(Source_BS!$A:$A,$A6,Source_BS!I:I)</f>
        <v>0</v>
      </c>
      <c r="J6" s="6">
        <f>SUMIF(Source_BS!$A:$A,$A6,Source_BS!J:J)</f>
        <v>0</v>
      </c>
      <c r="K6" s="6">
        <f>SUMIF(Source_BS!$A:$A,$A6,Source_BS!K:K)</f>
        <v>0</v>
      </c>
      <c r="L6" s="6">
        <f>SUMIF(Source_BS!$A:$A,$A6,Source_BS!L:L)</f>
        <v>0</v>
      </c>
      <c r="M6" s="6">
        <f>SUMIF(Source_BS!$A:$A,$A6,Source_BS!M:M)</f>
        <v>0</v>
      </c>
    </row>
    <row r="7" spans="1:13" x14ac:dyDescent="0.25">
      <c r="A7" t="s">
        <v>104</v>
      </c>
      <c r="B7" s="6">
        <f>SUMIF(Source_BS!$A:$A,$A7,Source_BS!B:B)</f>
        <v>0</v>
      </c>
      <c r="C7" s="6">
        <f>SUMIF(Source_BS!$A:$A,$A7,Source_BS!C:C)</f>
        <v>0</v>
      </c>
      <c r="D7" s="6">
        <f>SUMIF(Source_BS!$A:$A,$A7,Source_BS!D:D)</f>
        <v>0</v>
      </c>
      <c r="E7" s="6">
        <f>SUMIF(Source_BS!$A:$A,$A7,Source_BS!E:E)</f>
        <v>0</v>
      </c>
      <c r="F7" s="6">
        <f>SUMIF(Source_BS!$A:$A,$A7,Source_BS!F:F)</f>
        <v>0</v>
      </c>
      <c r="G7" s="6">
        <f>SUMIF(Source_BS!$A:$A,$A7,Source_BS!G:G)</f>
        <v>0</v>
      </c>
      <c r="H7" s="6">
        <f>SUMIF(Source_BS!$A:$A,$A7,Source_BS!H:H)</f>
        <v>0</v>
      </c>
      <c r="I7" s="6">
        <f>SUMIF(Source_BS!$A:$A,$A7,Source_BS!I:I)</f>
        <v>0</v>
      </c>
      <c r="J7" s="6">
        <f>SUMIF(Source_BS!$A:$A,$A7,Source_BS!J:J)</f>
        <v>0</v>
      </c>
      <c r="K7" s="6">
        <f>SUMIF(Source_BS!$A:$A,$A7,Source_BS!K:K)</f>
        <v>0</v>
      </c>
      <c r="L7" s="6">
        <f>SUMIF(Source_BS!$A:$A,$A7,Source_BS!L:L)</f>
        <v>0</v>
      </c>
      <c r="M7" s="6">
        <f>SUMIF(Source_BS!$A:$A,$A7,Source_BS!M:M)</f>
        <v>0</v>
      </c>
    </row>
    <row r="8" spans="1:13" x14ac:dyDescent="0.25">
      <c r="A8" t="s">
        <v>105</v>
      </c>
      <c r="B8" s="6">
        <f>SUMIF(Source_BS!$A:$A,$A8,Source_BS!B:B)</f>
        <v>170906.45</v>
      </c>
      <c r="C8" s="6">
        <f>SUMIF(Source_BS!$A:$A,$A8,Source_BS!C:C)</f>
        <v>38882.110000000015</v>
      </c>
      <c r="D8" s="6">
        <f>SUMIF(Source_BS!$A:$A,$A8,Source_BS!D:D)</f>
        <v>266297.2</v>
      </c>
      <c r="E8" s="6">
        <f>SUMIF(Source_BS!$A:$A,$A8,Source_BS!E:E)</f>
        <v>199553.96000000002</v>
      </c>
      <c r="F8" s="6">
        <f>SUMIF(Source_BS!$A:$A,$A8,Source_BS!F:F)</f>
        <v>85836.180000000022</v>
      </c>
      <c r="G8" s="6">
        <f>SUMIF(Source_BS!$A:$A,$A8,Source_BS!G:G)</f>
        <v>95201.500000000029</v>
      </c>
      <c r="H8" s="6">
        <f>SUMIF(Source_BS!$A:$A,$A8,Source_BS!H:H)</f>
        <v>130676.08000000003</v>
      </c>
      <c r="I8" s="6">
        <f>SUMIF(Source_BS!$A:$A,$A8,Source_BS!I:I)</f>
        <v>119943.55000000003</v>
      </c>
      <c r="J8" s="6">
        <f>SUMIF(Source_BS!$A:$A,$A8,Source_BS!J:J)</f>
        <v>46425.340000000026</v>
      </c>
      <c r="K8" s="6">
        <f>SUMIF(Source_BS!$A:$A,$A8,Source_BS!K:K)</f>
        <v>-8497.9399999999732</v>
      </c>
      <c r="L8" s="6">
        <f>SUMIF(Source_BS!$A:$A,$A8,Source_BS!L:L)</f>
        <v>81723.61000000003</v>
      </c>
      <c r="M8" s="6">
        <f>SUMIF(Source_BS!$A:$A,$A8,Source_BS!M:M)</f>
        <v>88856.630000000034</v>
      </c>
    </row>
    <row r="9" spans="1:13" x14ac:dyDescent="0.25">
      <c r="A9" t="s">
        <v>106</v>
      </c>
      <c r="B9" s="6">
        <f>SUMIF(Source_BS!$A:$A,$A9,Source_BS!B:B)</f>
        <v>67327.539999999994</v>
      </c>
      <c r="C9" s="6">
        <f>SUMIF(Source_BS!$A:$A,$A9,Source_BS!C:C)</f>
        <v>111570.9</v>
      </c>
      <c r="D9" s="6">
        <f>SUMIF(Source_BS!$A:$A,$A9,Source_BS!D:D)</f>
        <v>44014.39</v>
      </c>
      <c r="E9" s="6">
        <f>SUMIF(Source_BS!$A:$A,$A9,Source_BS!E:E)</f>
        <v>27414.66</v>
      </c>
      <c r="F9" s="6">
        <f>SUMIF(Source_BS!$A:$A,$A9,Source_BS!F:F)</f>
        <v>19608.72</v>
      </c>
      <c r="G9" s="6">
        <f>SUMIF(Source_BS!$A:$A,$A9,Source_BS!G:G)</f>
        <v>30857.88</v>
      </c>
      <c r="H9" s="6">
        <f>SUMIF(Source_BS!$A:$A,$A9,Source_BS!H:H)</f>
        <v>40649.64</v>
      </c>
      <c r="I9" s="6">
        <f>SUMIF(Source_BS!$A:$A,$A9,Source_BS!I:I)</f>
        <v>74883.38</v>
      </c>
      <c r="J9" s="6">
        <f>SUMIF(Source_BS!$A:$A,$A9,Source_BS!J:J)</f>
        <v>85720.77</v>
      </c>
      <c r="K9" s="6">
        <f>SUMIF(Source_BS!$A:$A,$A9,Source_BS!K:K)</f>
        <v>71650.02</v>
      </c>
      <c r="L9" s="6">
        <f>SUMIF(Source_BS!$A:$A,$A9,Source_BS!L:L)</f>
        <v>84307.650000000009</v>
      </c>
      <c r="M9" s="6">
        <f>SUMIF(Source_BS!$A:$A,$A9,Source_BS!M:M)</f>
        <v>220900.89</v>
      </c>
    </row>
    <row r="10" spans="1:13" x14ac:dyDescent="0.25">
      <c r="A10" t="s">
        <v>107</v>
      </c>
      <c r="B10" s="6">
        <f>SUMIF(Source_BS!$A:$A,$A10,Source_BS!B:B)</f>
        <v>576.74000000001979</v>
      </c>
      <c r="C10" s="6">
        <f>SUMIF(Source_BS!$A:$A,$A10,Source_BS!C:C)</f>
        <v>576.74000000001979</v>
      </c>
      <c r="D10" s="6">
        <f>SUMIF(Source_BS!$A:$A,$A10,Source_BS!D:D)</f>
        <v>576.74000000001979</v>
      </c>
      <c r="E10" s="6">
        <f>SUMIF(Source_BS!$A:$A,$A10,Source_BS!E:E)</f>
        <v>576.74000000001979</v>
      </c>
      <c r="F10" s="6">
        <f>SUMIF(Source_BS!$A:$A,$A10,Source_BS!F:F)</f>
        <v>152576.74000000002</v>
      </c>
      <c r="G10" s="6">
        <f>SUMIF(Source_BS!$A:$A,$A10,Source_BS!G:G)</f>
        <v>576.74000000001979</v>
      </c>
      <c r="H10" s="6">
        <f>SUMIF(Source_BS!$A:$A,$A10,Source_BS!H:H)</f>
        <v>576.74000000001979</v>
      </c>
      <c r="I10" s="6">
        <f>SUMIF(Source_BS!$A:$A,$A10,Source_BS!I:I)</f>
        <v>576.74000000001979</v>
      </c>
      <c r="J10" s="6">
        <f>SUMIF(Source_BS!$A:$A,$A10,Source_BS!J:J)</f>
        <v>576.74000000001979</v>
      </c>
      <c r="K10" s="6">
        <f>SUMIF(Source_BS!$A:$A,$A10,Source_BS!K:K)</f>
        <v>576.74000000001979</v>
      </c>
      <c r="L10" s="6">
        <f>SUMIF(Source_BS!$A:$A,$A10,Source_BS!L:L)</f>
        <v>576.74000000001979</v>
      </c>
      <c r="M10" s="6">
        <f>SUMIF(Source_BS!$A:$A,$A10,Source_BS!M:M)</f>
        <v>576.74000000001979</v>
      </c>
    </row>
    <row r="11" spans="1:13" x14ac:dyDescent="0.25">
      <c r="A11" t="s">
        <v>108</v>
      </c>
      <c r="B11" s="6">
        <f>SUMIF(Source_BS!$A:$A,$A11,Source_BS!B:B)</f>
        <v>184.52</v>
      </c>
      <c r="C11" s="6">
        <f>SUMIF(Source_BS!$A:$A,$A11,Source_BS!C:C)</f>
        <v>184.52</v>
      </c>
      <c r="D11" s="6">
        <f>SUMIF(Source_BS!$A:$A,$A11,Source_BS!D:D)</f>
        <v>184.52</v>
      </c>
      <c r="E11" s="6">
        <f>SUMIF(Source_BS!$A:$A,$A11,Source_BS!E:E)</f>
        <v>184.52</v>
      </c>
      <c r="F11" s="6">
        <f>SUMIF(Source_BS!$A:$A,$A11,Source_BS!F:F)</f>
        <v>184.52</v>
      </c>
      <c r="G11" s="6">
        <f>SUMIF(Source_BS!$A:$A,$A11,Source_BS!G:G)</f>
        <v>8278.9500000000007</v>
      </c>
      <c r="H11" s="6">
        <f>SUMIF(Source_BS!$A:$A,$A11,Source_BS!H:H)</f>
        <v>8278.9500000000007</v>
      </c>
      <c r="I11" s="6">
        <f>SUMIF(Source_BS!$A:$A,$A11,Source_BS!I:I)</f>
        <v>184.52000000000044</v>
      </c>
      <c r="J11" s="6">
        <f>SUMIF(Source_BS!$A:$A,$A11,Source_BS!J:J)</f>
        <v>184.52000000000044</v>
      </c>
      <c r="K11" s="6">
        <f>SUMIF(Source_BS!$A:$A,$A11,Source_BS!K:K)</f>
        <v>184.52000000000044</v>
      </c>
      <c r="L11" s="6">
        <f>SUMIF(Source_BS!$A:$A,$A11,Source_BS!L:L)</f>
        <v>184.52000000000044</v>
      </c>
      <c r="M11" s="6">
        <f>SUMIF(Source_BS!$A:$A,$A11,Source_BS!M:M)</f>
        <v>4.2632564145606011E-13</v>
      </c>
    </row>
    <row r="12" spans="1:13" x14ac:dyDescent="0.25">
      <c r="A12" t="s">
        <v>109</v>
      </c>
      <c r="B12" s="6">
        <f>SUMIF(Source_BS!$A:$A,$A12,Source_BS!B:B)</f>
        <v>74408.73</v>
      </c>
      <c r="C12" s="6">
        <f>SUMIF(Source_BS!$A:$A,$A12,Source_BS!C:C)</f>
        <v>44635.659999999996</v>
      </c>
      <c r="D12" s="6">
        <f>SUMIF(Source_BS!$A:$A,$A12,Source_BS!D:D)</f>
        <v>80738.679999999993</v>
      </c>
      <c r="E12" s="6">
        <f>SUMIF(Source_BS!$A:$A,$A12,Source_BS!E:E)</f>
        <v>66160.7</v>
      </c>
      <c r="F12" s="6">
        <f>SUMIF(Source_BS!$A:$A,$A12,Source_BS!F:F)</f>
        <v>61137.03</v>
      </c>
      <c r="G12" s="6">
        <f>SUMIF(Source_BS!$A:$A,$A12,Source_BS!G:G)</f>
        <v>61137.03</v>
      </c>
      <c r="H12" s="6">
        <f>SUMIF(Source_BS!$A:$A,$A12,Source_BS!H:H)</f>
        <v>74852.399999999994</v>
      </c>
      <c r="I12" s="6">
        <f>SUMIF(Source_BS!$A:$A,$A12,Source_BS!I:I)</f>
        <v>33815.409999999996</v>
      </c>
      <c r="J12" s="6">
        <f>SUMIF(Source_BS!$A:$A,$A12,Source_BS!J:J)</f>
        <v>185099.48</v>
      </c>
      <c r="K12" s="6">
        <f>SUMIF(Source_BS!$A:$A,$A12,Source_BS!K:K)</f>
        <v>134696.97</v>
      </c>
      <c r="L12" s="6">
        <f>SUMIF(Source_BS!$A:$A,$A12,Source_BS!L:L)</f>
        <v>105320.82</v>
      </c>
      <c r="M12" s="6">
        <f>SUMIF(Source_BS!$A:$A,$A12,Source_BS!M:M)</f>
        <v>111902.34000000001</v>
      </c>
    </row>
    <row r="13" spans="1:13" x14ac:dyDescent="0.25">
      <c r="A13" t="s">
        <v>110</v>
      </c>
      <c r="B13" s="6">
        <f>SUMIF(Source_BS!$A:$A,$A13,Source_BS!B:B)</f>
        <v>0</v>
      </c>
      <c r="C13" s="6">
        <f>SUMIF(Source_BS!$A:$A,$A13,Source_BS!C:C)</f>
        <v>0</v>
      </c>
      <c r="D13" s="6">
        <f>SUMIF(Source_BS!$A:$A,$A13,Source_BS!D:D)</f>
        <v>0</v>
      </c>
      <c r="E13" s="6">
        <f>SUMIF(Source_BS!$A:$A,$A13,Source_BS!E:E)</f>
        <v>0</v>
      </c>
      <c r="F13" s="6">
        <f>SUMIF(Source_BS!$A:$A,$A13,Source_BS!F:F)</f>
        <v>0</v>
      </c>
      <c r="G13" s="6">
        <f>SUMIF(Source_BS!$A:$A,$A13,Source_BS!G:G)</f>
        <v>0</v>
      </c>
      <c r="H13" s="6">
        <f>SUMIF(Source_BS!$A:$A,$A13,Source_BS!H:H)</f>
        <v>0</v>
      </c>
      <c r="I13" s="6">
        <f>SUMIF(Source_BS!$A:$A,$A13,Source_BS!I:I)</f>
        <v>0</v>
      </c>
      <c r="J13" s="6">
        <f>SUMIF(Source_BS!$A:$A,$A13,Source_BS!J:J)</f>
        <v>0</v>
      </c>
      <c r="K13" s="6">
        <f>SUMIF(Source_BS!$A:$A,$A13,Source_BS!K:K)</f>
        <v>0</v>
      </c>
      <c r="L13" s="6">
        <f>SUMIF(Source_BS!$A:$A,$A13,Source_BS!L:L)</f>
        <v>0</v>
      </c>
      <c r="M13" s="6">
        <f>SUMIF(Source_BS!$A:$A,$A13,Source_BS!M:M)</f>
        <v>0</v>
      </c>
    </row>
    <row r="14" spans="1:13" x14ac:dyDescent="0.25">
      <c r="A14" t="s">
        <v>111</v>
      </c>
      <c r="B14" s="6">
        <f>SUMIF(Source_BS!$A:$A,$A14,Source_BS!B:B)</f>
        <v>0</v>
      </c>
      <c r="C14" s="6">
        <f>SUMIF(Source_BS!$A:$A,$A14,Source_BS!C:C)</f>
        <v>0</v>
      </c>
      <c r="D14" s="6">
        <f>SUMIF(Source_BS!$A:$A,$A14,Source_BS!D:D)</f>
        <v>0</v>
      </c>
      <c r="E14" s="6">
        <f>SUMIF(Source_BS!$A:$A,$A14,Source_BS!E:E)</f>
        <v>-555</v>
      </c>
      <c r="F14" s="6">
        <f>SUMIF(Source_BS!$A:$A,$A14,Source_BS!F:F)</f>
        <v>1431.83</v>
      </c>
      <c r="G14" s="6">
        <f>SUMIF(Source_BS!$A:$A,$A14,Source_BS!G:G)</f>
        <v>1431.83</v>
      </c>
      <c r="H14" s="6">
        <f>SUMIF(Source_BS!$A:$A,$A14,Source_BS!H:H)</f>
        <v>5520.76</v>
      </c>
      <c r="I14" s="6">
        <f>SUMIF(Source_BS!$A:$A,$A14,Source_BS!I:I)</f>
        <v>0</v>
      </c>
      <c r="J14" s="6">
        <f>SUMIF(Source_BS!$A:$A,$A14,Source_BS!J:J)</f>
        <v>0</v>
      </c>
      <c r="K14" s="6">
        <f>SUMIF(Source_BS!$A:$A,$A14,Source_BS!K:K)</f>
        <v>0</v>
      </c>
      <c r="L14" s="6">
        <f>SUMIF(Source_BS!$A:$A,$A14,Source_BS!L:L)</f>
        <v>0</v>
      </c>
      <c r="M14" s="6">
        <f>SUMIF(Source_BS!$A:$A,$A14,Source_BS!M:M)</f>
        <v>0</v>
      </c>
    </row>
    <row r="15" spans="1:13" x14ac:dyDescent="0.25">
      <c r="A15" s="7" t="s">
        <v>112</v>
      </c>
      <c r="B15" s="9">
        <f>SUMIF(Source_BS!$A:$A,$A15,Source_BS!B:B)</f>
        <v>313403.98</v>
      </c>
      <c r="C15" s="9">
        <f>SUMIF(Source_BS!$A:$A,$A15,Source_BS!C:C)</f>
        <v>195849.93000000002</v>
      </c>
      <c r="D15" s="9">
        <f>SUMIF(Source_BS!$A:$A,$A15,Source_BS!D:D)</f>
        <v>391811.53000000009</v>
      </c>
      <c r="E15" s="9">
        <f>SUMIF(Source_BS!$A:$A,$A15,Source_BS!E:E)</f>
        <v>293335.58</v>
      </c>
      <c r="F15" s="9">
        <f>SUMIF(Source_BS!$A:$A,$A15,Source_BS!F:F)</f>
        <v>320775.02000000008</v>
      </c>
      <c r="G15" s="9">
        <f>SUMIF(Source_BS!$A:$A,$A15,Source_BS!G:G)</f>
        <v>197483.93000000005</v>
      </c>
      <c r="H15" s="9">
        <f>SUMIF(Source_BS!$A:$A,$A15,Source_BS!H:H)</f>
        <v>260554.57000000007</v>
      </c>
      <c r="I15" s="9">
        <f>SUMIF(Source_BS!$A:$A,$A15,Source_BS!I:I)</f>
        <v>229403.60000000006</v>
      </c>
      <c r="J15" s="9">
        <f>SUMIF(Source_BS!$A:$A,$A15,Source_BS!J:J)</f>
        <v>318006.85000000009</v>
      </c>
      <c r="K15" s="9">
        <f>SUMIF(Source_BS!$A:$A,$A15,Source_BS!K:K)</f>
        <v>198610.31000000006</v>
      </c>
      <c r="L15" s="9">
        <f>SUMIF(Source_BS!$A:$A,$A15,Source_BS!L:L)</f>
        <v>272113.34000000008</v>
      </c>
      <c r="M15" s="9">
        <f>SUMIF(Source_BS!$A:$A,$A15,Source_BS!M:M)</f>
        <v>422236.60000000003</v>
      </c>
    </row>
    <row r="16" spans="1:13" x14ac:dyDescent="0.25">
      <c r="A16" t="s">
        <v>113</v>
      </c>
      <c r="B16" s="6">
        <f>SUMIF(Source_BS!$A:$A,$A16,Source_BS!B:B)</f>
        <v>0</v>
      </c>
      <c r="C16" s="6">
        <f>SUMIF(Source_BS!$A:$A,$A16,Source_BS!C:C)</f>
        <v>0</v>
      </c>
      <c r="D16" s="6">
        <f>SUMIF(Source_BS!$A:$A,$A16,Source_BS!D:D)</f>
        <v>0</v>
      </c>
      <c r="E16" s="6">
        <f>SUMIF(Source_BS!$A:$A,$A16,Source_BS!E:E)</f>
        <v>0</v>
      </c>
      <c r="F16" s="6">
        <f>SUMIF(Source_BS!$A:$A,$A16,Source_BS!F:F)</f>
        <v>0</v>
      </c>
      <c r="G16" s="6">
        <f>SUMIF(Source_BS!$A:$A,$A16,Source_BS!G:G)</f>
        <v>0</v>
      </c>
      <c r="H16" s="6">
        <f>SUMIF(Source_BS!$A:$A,$A16,Source_BS!H:H)</f>
        <v>0</v>
      </c>
      <c r="I16" s="6">
        <f>SUMIF(Source_BS!$A:$A,$A16,Source_BS!I:I)</f>
        <v>0</v>
      </c>
      <c r="J16" s="6">
        <f>SUMIF(Source_BS!$A:$A,$A16,Source_BS!J:J)</f>
        <v>0</v>
      </c>
      <c r="K16" s="6">
        <f>SUMIF(Source_BS!$A:$A,$A16,Source_BS!K:K)</f>
        <v>0</v>
      </c>
      <c r="L16" s="6">
        <f>SUMIF(Source_BS!$A:$A,$A16,Source_BS!L:L)</f>
        <v>0</v>
      </c>
      <c r="M16" s="6">
        <f>SUMIF(Source_BS!$A:$A,$A16,Source_BS!M:M)</f>
        <v>0</v>
      </c>
    </row>
    <row r="17" spans="1:13" x14ac:dyDescent="0.25">
      <c r="A17" t="s">
        <v>114</v>
      </c>
      <c r="B17" s="6">
        <f>SUMIF(Source_BS!$A:$A,$A17,Source_BS!B:B)</f>
        <v>0</v>
      </c>
      <c r="C17" s="6">
        <f>SUMIF(Source_BS!$A:$A,$A17,Source_BS!C:C)</f>
        <v>0</v>
      </c>
      <c r="D17" s="6">
        <f>SUMIF(Source_BS!$A:$A,$A17,Source_BS!D:D)</f>
        <v>0</v>
      </c>
      <c r="E17" s="6">
        <f>SUMIF(Source_BS!$A:$A,$A17,Source_BS!E:E)</f>
        <v>0</v>
      </c>
      <c r="F17" s="6">
        <f>SUMIF(Source_BS!$A:$A,$A17,Source_BS!F:F)</f>
        <v>0</v>
      </c>
      <c r="G17" s="6">
        <f>SUMIF(Source_BS!$A:$A,$A17,Source_BS!G:G)</f>
        <v>0</v>
      </c>
      <c r="H17" s="6">
        <f>SUMIF(Source_BS!$A:$A,$A17,Source_BS!H:H)</f>
        <v>0</v>
      </c>
      <c r="I17" s="6">
        <f>SUMIF(Source_BS!$A:$A,$A17,Source_BS!I:I)</f>
        <v>0</v>
      </c>
      <c r="J17" s="6">
        <f>SUMIF(Source_BS!$A:$A,$A17,Source_BS!J:J)</f>
        <v>0</v>
      </c>
      <c r="K17" s="6">
        <f>SUMIF(Source_BS!$A:$A,$A17,Source_BS!K:K)</f>
        <v>0</v>
      </c>
      <c r="L17" s="6">
        <f>SUMIF(Source_BS!$A:$A,$A17,Source_BS!L:L)</f>
        <v>0</v>
      </c>
      <c r="M17" s="6">
        <f>SUMIF(Source_BS!$A:$A,$A17,Source_BS!M:M)</f>
        <v>0</v>
      </c>
    </row>
    <row r="18" spans="1:13" x14ac:dyDescent="0.25">
      <c r="A18" s="7" t="s">
        <v>115</v>
      </c>
      <c r="B18" s="9">
        <f>SUMIF(Source_BS!$A:$A,$A18,Source_BS!B:B)</f>
        <v>0</v>
      </c>
      <c r="C18" s="9">
        <f>SUMIF(Source_BS!$A:$A,$A18,Source_BS!C:C)</f>
        <v>0</v>
      </c>
      <c r="D18" s="9">
        <f>SUMIF(Source_BS!$A:$A,$A18,Source_BS!D:D)</f>
        <v>0</v>
      </c>
      <c r="E18" s="9">
        <f>SUMIF(Source_BS!$A:$A,$A18,Source_BS!E:E)</f>
        <v>0</v>
      </c>
      <c r="F18" s="9">
        <f>SUMIF(Source_BS!$A:$A,$A18,Source_BS!F:F)</f>
        <v>0</v>
      </c>
      <c r="G18" s="9">
        <f>SUMIF(Source_BS!$A:$A,$A18,Source_BS!G:G)</f>
        <v>0</v>
      </c>
      <c r="H18" s="9">
        <f>SUMIF(Source_BS!$A:$A,$A18,Source_BS!H:H)</f>
        <v>0</v>
      </c>
      <c r="I18" s="9">
        <f>SUMIF(Source_BS!$A:$A,$A18,Source_BS!I:I)</f>
        <v>0</v>
      </c>
      <c r="J18" s="9">
        <f>SUMIF(Source_BS!$A:$A,$A18,Source_BS!J:J)</f>
        <v>0</v>
      </c>
      <c r="K18" s="9">
        <f>SUMIF(Source_BS!$A:$A,$A18,Source_BS!K:K)</f>
        <v>0</v>
      </c>
      <c r="L18" s="9">
        <f>SUMIF(Source_BS!$A:$A,$A18,Source_BS!L:L)</f>
        <v>0</v>
      </c>
      <c r="M18" s="9">
        <f>SUMIF(Source_BS!$A:$A,$A18,Source_BS!M:M)</f>
        <v>0</v>
      </c>
    </row>
    <row r="19" spans="1:13" x14ac:dyDescent="0.25">
      <c r="A19" t="s">
        <v>116</v>
      </c>
      <c r="B19" s="6">
        <f>SUMIF(Source_BS!$A:$A,$A19,Source_BS!B:B)</f>
        <v>0</v>
      </c>
      <c r="C19" s="6">
        <f>SUMIF(Source_BS!$A:$A,$A19,Source_BS!C:C)</f>
        <v>0</v>
      </c>
      <c r="D19" s="6">
        <f>SUMIF(Source_BS!$A:$A,$A19,Source_BS!D:D)</f>
        <v>0</v>
      </c>
      <c r="E19" s="6">
        <f>SUMIF(Source_BS!$A:$A,$A19,Source_BS!E:E)</f>
        <v>0</v>
      </c>
      <c r="F19" s="6">
        <f>SUMIF(Source_BS!$A:$A,$A19,Source_BS!F:F)</f>
        <v>0</v>
      </c>
      <c r="G19" s="6">
        <f>SUMIF(Source_BS!$A:$A,$A19,Source_BS!G:G)</f>
        <v>0</v>
      </c>
      <c r="H19" s="6">
        <f>SUMIF(Source_BS!$A:$A,$A19,Source_BS!H:H)</f>
        <v>0</v>
      </c>
      <c r="I19" s="6">
        <f>SUMIF(Source_BS!$A:$A,$A19,Source_BS!I:I)</f>
        <v>0</v>
      </c>
      <c r="J19" s="6">
        <f>SUMIF(Source_BS!$A:$A,$A19,Source_BS!J:J)</f>
        <v>0</v>
      </c>
      <c r="K19" s="6">
        <f>SUMIF(Source_BS!$A:$A,$A19,Source_BS!K:K)</f>
        <v>0</v>
      </c>
      <c r="L19" s="6">
        <f>SUMIF(Source_BS!$A:$A,$A19,Source_BS!L:L)</f>
        <v>0</v>
      </c>
      <c r="M19" s="6">
        <f>SUMIF(Source_BS!$A:$A,$A19,Source_BS!M:M)</f>
        <v>0</v>
      </c>
    </row>
    <row r="20" spans="1:13" x14ac:dyDescent="0.25">
      <c r="A20" t="s">
        <v>117</v>
      </c>
      <c r="B20" s="6">
        <f>SUMIF(Source_BS!$A:$A,$A20,Source_BS!B:B)</f>
        <v>0</v>
      </c>
      <c r="C20" s="6">
        <f>SUMIF(Source_BS!$A:$A,$A20,Source_BS!C:C)</f>
        <v>0</v>
      </c>
      <c r="D20" s="6">
        <f>SUMIF(Source_BS!$A:$A,$A20,Source_BS!D:D)</f>
        <v>0</v>
      </c>
      <c r="E20" s="6">
        <f>SUMIF(Source_BS!$A:$A,$A20,Source_BS!E:E)</f>
        <v>0</v>
      </c>
      <c r="F20" s="6">
        <f>SUMIF(Source_BS!$A:$A,$A20,Source_BS!F:F)</f>
        <v>1846</v>
      </c>
      <c r="G20" s="6">
        <f>SUMIF(Source_BS!$A:$A,$A20,Source_BS!G:G)</f>
        <v>0</v>
      </c>
      <c r="H20" s="6">
        <f>SUMIF(Source_BS!$A:$A,$A20,Source_BS!H:H)</f>
        <v>0</v>
      </c>
      <c r="I20" s="6">
        <f>SUMIF(Source_BS!$A:$A,$A20,Source_BS!I:I)</f>
        <v>0</v>
      </c>
      <c r="J20" s="6">
        <f>SUMIF(Source_BS!$A:$A,$A20,Source_BS!J:J)</f>
        <v>0</v>
      </c>
      <c r="K20" s="6">
        <f>SUMIF(Source_BS!$A:$A,$A20,Source_BS!K:K)</f>
        <v>0</v>
      </c>
      <c r="L20" s="6">
        <f>SUMIF(Source_BS!$A:$A,$A20,Source_BS!L:L)</f>
        <v>0</v>
      </c>
      <c r="M20" s="6">
        <f>SUMIF(Source_BS!$A:$A,$A20,Source_BS!M:M)</f>
        <v>0</v>
      </c>
    </row>
    <row r="21" spans="1:13" x14ac:dyDescent="0.25">
      <c r="A21" t="s">
        <v>118</v>
      </c>
      <c r="B21" s="6">
        <f>SUMIF(Source_BS!$A:$A,$A21,Source_BS!B:B)</f>
        <v>747.38</v>
      </c>
      <c r="C21" s="6">
        <f>SUMIF(Source_BS!$A:$A,$A21,Source_BS!C:C)</f>
        <v>747.38</v>
      </c>
      <c r="D21" s="6">
        <f>SUMIF(Source_BS!$A:$A,$A21,Source_BS!D:D)</f>
        <v>19358.440000000002</v>
      </c>
      <c r="E21" s="6">
        <f>SUMIF(Source_BS!$A:$A,$A21,Source_BS!E:E)</f>
        <v>28221.74</v>
      </c>
      <c r="F21" s="6">
        <f>SUMIF(Source_BS!$A:$A,$A21,Source_BS!F:F)</f>
        <v>25189.74</v>
      </c>
      <c r="G21" s="6">
        <f>SUMIF(Source_BS!$A:$A,$A21,Source_BS!G:G)</f>
        <v>30189.74</v>
      </c>
      <c r="H21" s="6">
        <f>SUMIF(Source_BS!$A:$A,$A21,Source_BS!H:H)</f>
        <v>30189.74</v>
      </c>
      <c r="I21" s="6">
        <f>SUMIF(Source_BS!$A:$A,$A21,Source_BS!I:I)</f>
        <v>28003.050000000003</v>
      </c>
      <c r="J21" s="6">
        <f>SUMIF(Source_BS!$A:$A,$A21,Source_BS!J:J)</f>
        <v>28003.050000000003</v>
      </c>
      <c r="K21" s="6">
        <f>SUMIF(Source_BS!$A:$A,$A21,Source_BS!K:K)</f>
        <v>28003.050000000003</v>
      </c>
      <c r="L21" s="6">
        <f>SUMIF(Source_BS!$A:$A,$A21,Source_BS!L:L)</f>
        <v>28003.050000000003</v>
      </c>
      <c r="M21" s="6">
        <f>SUMIF(Source_BS!$A:$A,$A21,Source_BS!M:M)</f>
        <v>28187.570000000003</v>
      </c>
    </row>
    <row r="22" spans="1:13" x14ac:dyDescent="0.25">
      <c r="A22" t="s">
        <v>119</v>
      </c>
      <c r="B22" s="6">
        <f>SUMIF(Source_BS!$A:$A,$A22,Source_BS!B:B)</f>
        <v>0</v>
      </c>
      <c r="C22" s="6">
        <f>SUMIF(Source_BS!$A:$A,$A22,Source_BS!C:C)</f>
        <v>0</v>
      </c>
      <c r="D22" s="6">
        <f>SUMIF(Source_BS!$A:$A,$A22,Source_BS!D:D)</f>
        <v>0</v>
      </c>
      <c r="E22" s="6">
        <f>SUMIF(Source_BS!$A:$A,$A22,Source_BS!E:E)</f>
        <v>0</v>
      </c>
      <c r="F22" s="6">
        <f>SUMIF(Source_BS!$A:$A,$A22,Source_BS!F:F)</f>
        <v>11849</v>
      </c>
      <c r="G22" s="6">
        <f>SUMIF(Source_BS!$A:$A,$A22,Source_BS!G:G)</f>
        <v>11849</v>
      </c>
      <c r="H22" s="6">
        <f>SUMIF(Source_BS!$A:$A,$A22,Source_BS!H:H)</f>
        <v>11849</v>
      </c>
      <c r="I22" s="6">
        <f>SUMIF(Source_BS!$A:$A,$A22,Source_BS!I:I)</f>
        <v>11849</v>
      </c>
      <c r="J22" s="6">
        <f>SUMIF(Source_BS!$A:$A,$A22,Source_BS!J:J)</f>
        <v>11849</v>
      </c>
      <c r="K22" s="6">
        <f>SUMIF(Source_BS!$A:$A,$A22,Source_BS!K:K)</f>
        <v>11849</v>
      </c>
      <c r="L22" s="6">
        <f>SUMIF(Source_BS!$A:$A,$A22,Source_BS!L:L)</f>
        <v>11849</v>
      </c>
      <c r="M22" s="6">
        <f>SUMIF(Source_BS!$A:$A,$A22,Source_BS!M:M)</f>
        <v>11849</v>
      </c>
    </row>
    <row r="23" spans="1:13" x14ac:dyDescent="0.25">
      <c r="A23" t="s">
        <v>120</v>
      </c>
      <c r="B23" s="6">
        <f>SUMIF(Source_BS!$A:$A,$A23,Source_BS!B:B)</f>
        <v>0</v>
      </c>
      <c r="C23" s="6">
        <f>SUMIF(Source_BS!$A:$A,$A23,Source_BS!C:C)</f>
        <v>0</v>
      </c>
      <c r="D23" s="6">
        <f>SUMIF(Source_BS!$A:$A,$A23,Source_BS!D:D)</f>
        <v>0</v>
      </c>
      <c r="E23" s="6">
        <f>SUMIF(Source_BS!$A:$A,$A23,Source_BS!E:E)</f>
        <v>0</v>
      </c>
      <c r="F23" s="6">
        <f>SUMIF(Source_BS!$A:$A,$A23,Source_BS!F:F)</f>
        <v>0</v>
      </c>
      <c r="G23" s="6">
        <f>SUMIF(Source_BS!$A:$A,$A23,Source_BS!G:G)</f>
        <v>0</v>
      </c>
      <c r="H23" s="6">
        <f>SUMIF(Source_BS!$A:$A,$A23,Source_BS!H:H)</f>
        <v>0</v>
      </c>
      <c r="I23" s="6">
        <f>SUMIF(Source_BS!$A:$A,$A23,Source_BS!I:I)</f>
        <v>0</v>
      </c>
      <c r="J23" s="6">
        <f>SUMIF(Source_BS!$A:$A,$A23,Source_BS!J:J)</f>
        <v>0</v>
      </c>
      <c r="K23" s="6">
        <f>SUMIF(Source_BS!$A:$A,$A23,Source_BS!K:K)</f>
        <v>0</v>
      </c>
      <c r="L23" s="6">
        <f>SUMIF(Source_BS!$A:$A,$A23,Source_BS!L:L)</f>
        <v>0</v>
      </c>
      <c r="M23" s="6">
        <f>SUMIF(Source_BS!$A:$A,$A23,Source_BS!M:M)</f>
        <v>0</v>
      </c>
    </row>
    <row r="24" spans="1:13" x14ac:dyDescent="0.25">
      <c r="A24" t="s">
        <v>121</v>
      </c>
      <c r="B24" s="6">
        <f>SUMIF(Source_BS!$A:$A,$A24,Source_BS!B:B)</f>
        <v>0</v>
      </c>
      <c r="C24" s="6">
        <f>SUMIF(Source_BS!$A:$A,$A24,Source_BS!C:C)</f>
        <v>0</v>
      </c>
      <c r="D24" s="6">
        <f>SUMIF(Source_BS!$A:$A,$A24,Source_BS!D:D)</f>
        <v>0</v>
      </c>
      <c r="E24" s="6">
        <f>SUMIF(Source_BS!$A:$A,$A24,Source_BS!E:E)</f>
        <v>0</v>
      </c>
      <c r="F24" s="6">
        <f>SUMIF(Source_BS!$A:$A,$A24,Source_BS!F:F)</f>
        <v>0</v>
      </c>
      <c r="G24" s="6">
        <f>SUMIF(Source_BS!$A:$A,$A24,Source_BS!G:G)</f>
        <v>0</v>
      </c>
      <c r="H24" s="6">
        <f>SUMIF(Source_BS!$A:$A,$A24,Source_BS!H:H)</f>
        <v>0</v>
      </c>
      <c r="I24" s="6">
        <f>SUMIF(Source_BS!$A:$A,$A24,Source_BS!I:I)</f>
        <v>0</v>
      </c>
      <c r="J24" s="6">
        <f>SUMIF(Source_BS!$A:$A,$A24,Source_BS!J:J)</f>
        <v>0</v>
      </c>
      <c r="K24" s="6">
        <f>SUMIF(Source_BS!$A:$A,$A24,Source_BS!K:K)</f>
        <v>0</v>
      </c>
      <c r="L24" s="6">
        <f>SUMIF(Source_BS!$A:$A,$A24,Source_BS!L:L)</f>
        <v>0</v>
      </c>
      <c r="M24" s="6">
        <f>SUMIF(Source_BS!$A:$A,$A24,Source_BS!M:M)</f>
        <v>0</v>
      </c>
    </row>
    <row r="25" spans="1:13" x14ac:dyDescent="0.25">
      <c r="A25" s="7" t="s">
        <v>122</v>
      </c>
      <c r="B25" s="9">
        <f>SUMIF(Source_BS!$A:$A,$A25,Source_BS!B:B)</f>
        <v>747.38</v>
      </c>
      <c r="C25" s="9">
        <f>SUMIF(Source_BS!$A:$A,$A25,Source_BS!C:C)</f>
        <v>747.38</v>
      </c>
      <c r="D25" s="9">
        <f>SUMIF(Source_BS!$A:$A,$A25,Source_BS!D:D)</f>
        <v>19358.440000000002</v>
      </c>
      <c r="E25" s="9">
        <f>SUMIF(Source_BS!$A:$A,$A25,Source_BS!E:E)</f>
        <v>28221.74</v>
      </c>
      <c r="F25" s="9">
        <f>SUMIF(Source_BS!$A:$A,$A25,Source_BS!F:F)</f>
        <v>38884.740000000005</v>
      </c>
      <c r="G25" s="9">
        <f>SUMIF(Source_BS!$A:$A,$A25,Source_BS!G:G)</f>
        <v>42038.740000000005</v>
      </c>
      <c r="H25" s="9">
        <f>SUMIF(Source_BS!$A:$A,$A25,Source_BS!H:H)</f>
        <v>42038.740000000005</v>
      </c>
      <c r="I25" s="9">
        <f>SUMIF(Source_BS!$A:$A,$A25,Source_BS!I:I)</f>
        <v>39852.050000000003</v>
      </c>
      <c r="J25" s="9">
        <f>SUMIF(Source_BS!$A:$A,$A25,Source_BS!J:J)</f>
        <v>39852.050000000003</v>
      </c>
      <c r="K25" s="9">
        <f>SUMIF(Source_BS!$A:$A,$A25,Source_BS!K:K)</f>
        <v>39852.050000000003</v>
      </c>
      <c r="L25" s="9">
        <f>SUMIF(Source_BS!$A:$A,$A25,Source_BS!L:L)</f>
        <v>39852.050000000003</v>
      </c>
      <c r="M25" s="9">
        <f>SUMIF(Source_BS!$A:$A,$A25,Source_BS!M:M)</f>
        <v>40036.570000000007</v>
      </c>
    </row>
    <row r="26" spans="1:13" x14ac:dyDescent="0.25">
      <c r="A26" s="7" t="s">
        <v>123</v>
      </c>
      <c r="B26" s="9">
        <f>SUMIF(Source_BS!$A:$A,$A26,Source_BS!B:B)</f>
        <v>314151.36</v>
      </c>
      <c r="C26" s="9">
        <f>SUMIF(Source_BS!$A:$A,$A26,Source_BS!C:C)</f>
        <v>196597.31000000003</v>
      </c>
      <c r="D26" s="9">
        <f>SUMIF(Source_BS!$A:$A,$A26,Source_BS!D:D)</f>
        <v>411169.97000000009</v>
      </c>
      <c r="E26" s="9">
        <f>SUMIF(Source_BS!$A:$A,$A26,Source_BS!E:E)</f>
        <v>321557.32</v>
      </c>
      <c r="F26" s="9">
        <f>SUMIF(Source_BS!$A:$A,$A26,Source_BS!F:F)</f>
        <v>359659.76000000007</v>
      </c>
      <c r="G26" s="9">
        <f>SUMIF(Source_BS!$A:$A,$A26,Source_BS!G:G)</f>
        <v>239522.67000000004</v>
      </c>
      <c r="H26" s="9">
        <f>SUMIF(Source_BS!$A:$A,$A26,Source_BS!H:H)</f>
        <v>302593.31000000006</v>
      </c>
      <c r="I26" s="9">
        <f>SUMIF(Source_BS!$A:$A,$A26,Source_BS!I:I)</f>
        <v>269255.65000000008</v>
      </c>
      <c r="J26" s="9">
        <f>SUMIF(Source_BS!$A:$A,$A26,Source_BS!J:J)</f>
        <v>357858.90000000008</v>
      </c>
      <c r="K26" s="9">
        <f>SUMIF(Source_BS!$A:$A,$A26,Source_BS!K:K)</f>
        <v>238462.36000000004</v>
      </c>
      <c r="L26" s="9">
        <f>SUMIF(Source_BS!$A:$A,$A26,Source_BS!L:L)</f>
        <v>311965.39000000007</v>
      </c>
      <c r="M26" s="9">
        <f>SUMIF(Source_BS!$A:$A,$A26,Source_BS!M:M)</f>
        <v>462273.17000000004</v>
      </c>
    </row>
    <row r="27" spans="1:13" x14ac:dyDescent="0.25">
      <c r="A27" t="s">
        <v>124</v>
      </c>
      <c r="B27" s="6">
        <f>SUMIF(Source_BS!$A:$A,$A27,Source_BS!B:B)</f>
        <v>0</v>
      </c>
      <c r="C27" s="6">
        <f>SUMIF(Source_BS!$A:$A,$A27,Source_BS!C:C)</f>
        <v>0</v>
      </c>
      <c r="D27" s="6">
        <f>SUMIF(Source_BS!$A:$A,$A27,Source_BS!D:D)</f>
        <v>0</v>
      </c>
      <c r="E27" s="6">
        <f>SUMIF(Source_BS!$A:$A,$A27,Source_BS!E:E)</f>
        <v>0</v>
      </c>
      <c r="F27" s="6">
        <f>SUMIF(Source_BS!$A:$A,$A27,Source_BS!F:F)</f>
        <v>0</v>
      </c>
      <c r="G27" s="6">
        <f>SUMIF(Source_BS!$A:$A,$A27,Source_BS!G:G)</f>
        <v>0</v>
      </c>
      <c r="H27" s="6">
        <f>SUMIF(Source_BS!$A:$A,$A27,Source_BS!H:H)</f>
        <v>0</v>
      </c>
      <c r="I27" s="6">
        <f>SUMIF(Source_BS!$A:$A,$A27,Source_BS!I:I)</f>
        <v>0</v>
      </c>
      <c r="J27" s="6">
        <f>SUMIF(Source_BS!$A:$A,$A27,Source_BS!J:J)</f>
        <v>0</v>
      </c>
      <c r="K27" s="6">
        <f>SUMIF(Source_BS!$A:$A,$A27,Source_BS!K:K)</f>
        <v>0</v>
      </c>
      <c r="L27" s="6">
        <f>SUMIF(Source_BS!$A:$A,$A27,Source_BS!L:L)</f>
        <v>0</v>
      </c>
      <c r="M27" s="6">
        <f>SUMIF(Source_BS!$A:$A,$A27,Source_BS!M:M)</f>
        <v>0</v>
      </c>
    </row>
    <row r="28" spans="1:13" x14ac:dyDescent="0.25">
      <c r="A28" t="s">
        <v>125</v>
      </c>
      <c r="B28" s="6">
        <f>SUMIF(Source_BS!$A:$A,$A28,Source_BS!B:B)</f>
        <v>0</v>
      </c>
      <c r="C28" s="6">
        <f>SUMIF(Source_BS!$A:$A,$A28,Source_BS!C:C)</f>
        <v>0</v>
      </c>
      <c r="D28" s="6">
        <f>SUMIF(Source_BS!$A:$A,$A28,Source_BS!D:D)</f>
        <v>0</v>
      </c>
      <c r="E28" s="6">
        <f>SUMIF(Source_BS!$A:$A,$A28,Source_BS!E:E)</f>
        <v>0</v>
      </c>
      <c r="F28" s="6">
        <f>SUMIF(Source_BS!$A:$A,$A28,Source_BS!F:F)</f>
        <v>0</v>
      </c>
      <c r="G28" s="6">
        <f>SUMIF(Source_BS!$A:$A,$A28,Source_BS!G:G)</f>
        <v>0</v>
      </c>
      <c r="H28" s="6">
        <f>SUMIF(Source_BS!$A:$A,$A28,Source_BS!H:H)</f>
        <v>0</v>
      </c>
      <c r="I28" s="6">
        <f>SUMIF(Source_BS!$A:$A,$A28,Source_BS!I:I)</f>
        <v>0</v>
      </c>
      <c r="J28" s="6">
        <f>SUMIF(Source_BS!$A:$A,$A28,Source_BS!J:J)</f>
        <v>0</v>
      </c>
      <c r="K28" s="6">
        <f>SUMIF(Source_BS!$A:$A,$A28,Source_BS!K:K)</f>
        <v>0</v>
      </c>
      <c r="L28" s="6">
        <f>SUMIF(Source_BS!$A:$A,$A28,Source_BS!L:L)</f>
        <v>0</v>
      </c>
      <c r="M28" s="6">
        <f>SUMIF(Source_BS!$A:$A,$A28,Source_BS!M:M)</f>
        <v>0</v>
      </c>
    </row>
    <row r="29" spans="1:13" x14ac:dyDescent="0.25">
      <c r="A29" t="s">
        <v>126</v>
      </c>
      <c r="B29" s="6">
        <f>SUMIF(Source_BS!$A:$A,$A29,Source_BS!B:B)</f>
        <v>887944.59</v>
      </c>
      <c r="C29" s="6">
        <f>SUMIF(Source_BS!$A:$A,$A29,Source_BS!C:C)</f>
        <v>887944.59</v>
      </c>
      <c r="D29" s="6">
        <f>SUMIF(Source_BS!$A:$A,$A29,Source_BS!D:D)</f>
        <v>887944.59</v>
      </c>
      <c r="E29" s="6">
        <f>SUMIF(Source_BS!$A:$A,$A29,Source_BS!E:E)</f>
        <v>887944.59</v>
      </c>
      <c r="F29" s="6">
        <f>SUMIF(Source_BS!$A:$A,$A29,Source_BS!F:F)</f>
        <v>887944.59</v>
      </c>
      <c r="G29" s="6">
        <f>SUMIF(Source_BS!$A:$A,$A29,Source_BS!G:G)</f>
        <v>887944.59</v>
      </c>
      <c r="H29" s="6">
        <f>SUMIF(Source_BS!$A:$A,$A29,Source_BS!H:H)</f>
        <v>887944.59</v>
      </c>
      <c r="I29" s="6">
        <f>SUMIF(Source_BS!$A:$A,$A29,Source_BS!I:I)</f>
        <v>887944.59</v>
      </c>
      <c r="J29" s="6">
        <f>SUMIF(Source_BS!$A:$A,$A29,Source_BS!J:J)</f>
        <v>979155.2</v>
      </c>
      <c r="K29" s="6">
        <f>SUMIF(Source_BS!$A:$A,$A29,Source_BS!K:K)</f>
        <v>1007973.58</v>
      </c>
      <c r="L29" s="6">
        <f>SUMIF(Source_BS!$A:$A,$A29,Source_BS!L:L)</f>
        <v>1007973.58</v>
      </c>
      <c r="M29" s="6">
        <f>SUMIF(Source_BS!$A:$A,$A29,Source_BS!M:M)</f>
        <v>798927.54999999993</v>
      </c>
    </row>
    <row r="30" spans="1:13" x14ac:dyDescent="0.25">
      <c r="A30" t="s">
        <v>127</v>
      </c>
      <c r="B30" s="6">
        <f>SUMIF(Source_BS!$A:$A,$A30,Source_BS!B:B)</f>
        <v>23657.119999999999</v>
      </c>
      <c r="C30" s="6">
        <f>SUMIF(Source_BS!$A:$A,$A30,Source_BS!C:C)</f>
        <v>23657.119999999999</v>
      </c>
      <c r="D30" s="6">
        <f>SUMIF(Source_BS!$A:$A,$A30,Source_BS!D:D)</f>
        <v>23657.119999999999</v>
      </c>
      <c r="E30" s="6">
        <f>SUMIF(Source_BS!$A:$A,$A30,Source_BS!E:E)</f>
        <v>23657.119999999999</v>
      </c>
      <c r="F30" s="6">
        <f>SUMIF(Source_BS!$A:$A,$A30,Source_BS!F:F)</f>
        <v>23657.119999999999</v>
      </c>
      <c r="G30" s="6">
        <f>SUMIF(Source_BS!$A:$A,$A30,Source_BS!G:G)</f>
        <v>23657.119999999999</v>
      </c>
      <c r="H30" s="6">
        <f>SUMIF(Source_BS!$A:$A,$A30,Source_BS!H:H)</f>
        <v>23657.119999999999</v>
      </c>
      <c r="I30" s="6">
        <f>SUMIF(Source_BS!$A:$A,$A30,Source_BS!I:I)</f>
        <v>23657.119999999999</v>
      </c>
      <c r="J30" s="6">
        <f>SUMIF(Source_BS!$A:$A,$A30,Source_BS!J:J)</f>
        <v>23657.119999999999</v>
      </c>
      <c r="K30" s="6">
        <f>SUMIF(Source_BS!$A:$A,$A30,Source_BS!K:K)</f>
        <v>23657.119999999999</v>
      </c>
      <c r="L30" s="6">
        <f>SUMIF(Source_BS!$A:$A,$A30,Source_BS!L:L)</f>
        <v>23657.119999999999</v>
      </c>
      <c r="M30" s="6">
        <f>SUMIF(Source_BS!$A:$A,$A30,Source_BS!M:M)</f>
        <v>4995.4500000000007</v>
      </c>
    </row>
    <row r="31" spans="1:13" x14ac:dyDescent="0.25">
      <c r="A31" t="s">
        <v>128</v>
      </c>
      <c r="B31" s="6">
        <f>SUMIF(Source_BS!$A:$A,$A31,Source_BS!B:B)</f>
        <v>0</v>
      </c>
      <c r="C31" s="6">
        <f>SUMIF(Source_BS!$A:$A,$A31,Source_BS!C:C)</f>
        <v>0</v>
      </c>
      <c r="D31" s="6">
        <f>SUMIF(Source_BS!$A:$A,$A31,Source_BS!D:D)</f>
        <v>0</v>
      </c>
      <c r="E31" s="6">
        <f>SUMIF(Source_BS!$A:$A,$A31,Source_BS!E:E)</f>
        <v>0</v>
      </c>
      <c r="F31" s="6">
        <f>SUMIF(Source_BS!$A:$A,$A31,Source_BS!F:F)</f>
        <v>0</v>
      </c>
      <c r="G31" s="6">
        <f>SUMIF(Source_BS!$A:$A,$A31,Source_BS!G:G)</f>
        <v>0</v>
      </c>
      <c r="H31" s="6">
        <f>SUMIF(Source_BS!$A:$A,$A31,Source_BS!H:H)</f>
        <v>0</v>
      </c>
      <c r="I31" s="6">
        <f>SUMIF(Source_BS!$A:$A,$A31,Source_BS!I:I)</f>
        <v>0</v>
      </c>
      <c r="J31" s="6">
        <f>SUMIF(Source_BS!$A:$A,$A31,Source_BS!J:J)</f>
        <v>0</v>
      </c>
      <c r="K31" s="6">
        <f>SUMIF(Source_BS!$A:$A,$A31,Source_BS!K:K)</f>
        <v>0</v>
      </c>
      <c r="L31" s="6">
        <f>SUMIF(Source_BS!$A:$A,$A31,Source_BS!L:L)</f>
        <v>0</v>
      </c>
      <c r="M31" s="6">
        <f>SUMIF(Source_BS!$A:$A,$A31,Source_BS!M:M)</f>
        <v>0</v>
      </c>
    </row>
    <row r="32" spans="1:13" x14ac:dyDescent="0.25">
      <c r="A32" t="s">
        <v>129</v>
      </c>
      <c r="B32" s="6">
        <f>SUMIF(Source_BS!$A:$A,$A32,Source_BS!B:B)</f>
        <v>54871.06</v>
      </c>
      <c r="C32" s="6">
        <f>SUMIF(Source_BS!$A:$A,$A32,Source_BS!C:C)</f>
        <v>54871.06</v>
      </c>
      <c r="D32" s="6">
        <f>SUMIF(Source_BS!$A:$A,$A32,Source_BS!D:D)</f>
        <v>54871.06</v>
      </c>
      <c r="E32" s="6">
        <f>SUMIF(Source_BS!$A:$A,$A32,Source_BS!E:E)</f>
        <v>54871.06</v>
      </c>
      <c r="F32" s="6">
        <f>SUMIF(Source_BS!$A:$A,$A32,Source_BS!F:F)</f>
        <v>54871.06</v>
      </c>
      <c r="G32" s="6">
        <f>SUMIF(Source_BS!$A:$A,$A32,Source_BS!G:G)</f>
        <v>54871.06</v>
      </c>
      <c r="H32" s="6">
        <f>SUMIF(Source_BS!$A:$A,$A32,Source_BS!H:H)</f>
        <v>54871.06</v>
      </c>
      <c r="I32" s="6">
        <f>SUMIF(Source_BS!$A:$A,$A32,Source_BS!I:I)</f>
        <v>54871.06</v>
      </c>
      <c r="J32" s="6">
        <f>SUMIF(Source_BS!$A:$A,$A32,Source_BS!J:J)</f>
        <v>54871.06</v>
      </c>
      <c r="K32" s="6">
        <f>SUMIF(Source_BS!$A:$A,$A32,Source_BS!K:K)</f>
        <v>54871.06</v>
      </c>
      <c r="L32" s="6">
        <f>SUMIF(Source_BS!$A:$A,$A32,Source_BS!L:L)</f>
        <v>54871.06</v>
      </c>
      <c r="M32" s="6">
        <f>SUMIF(Source_BS!$A:$A,$A32,Source_BS!M:M)</f>
        <v>0</v>
      </c>
    </row>
    <row r="33" spans="1:13" x14ac:dyDescent="0.25">
      <c r="A33" t="s">
        <v>130</v>
      </c>
      <c r="B33" s="6">
        <f>SUMIF(Source_BS!$A:$A,$A33,Source_BS!B:B)</f>
        <v>18384.43</v>
      </c>
      <c r="C33" s="6">
        <f>SUMIF(Source_BS!$A:$A,$A33,Source_BS!C:C)</f>
        <v>18384.43</v>
      </c>
      <c r="D33" s="6">
        <f>SUMIF(Source_BS!$A:$A,$A33,Source_BS!D:D)</f>
        <v>18384.43</v>
      </c>
      <c r="E33" s="6">
        <f>SUMIF(Source_BS!$A:$A,$A33,Source_BS!E:E)</f>
        <v>18384.43</v>
      </c>
      <c r="F33" s="6">
        <f>SUMIF(Source_BS!$A:$A,$A33,Source_BS!F:F)</f>
        <v>18384.43</v>
      </c>
      <c r="G33" s="6">
        <f>SUMIF(Source_BS!$A:$A,$A33,Source_BS!G:G)</f>
        <v>18384.43</v>
      </c>
      <c r="H33" s="6">
        <f>SUMIF(Source_BS!$A:$A,$A33,Source_BS!H:H)</f>
        <v>18384.43</v>
      </c>
      <c r="I33" s="6">
        <f>SUMIF(Source_BS!$A:$A,$A33,Source_BS!I:I)</f>
        <v>18384.43</v>
      </c>
      <c r="J33" s="6">
        <f>SUMIF(Source_BS!$A:$A,$A33,Source_BS!J:J)</f>
        <v>18384.43</v>
      </c>
      <c r="K33" s="6">
        <f>SUMIF(Source_BS!$A:$A,$A33,Source_BS!K:K)</f>
        <v>18384.43</v>
      </c>
      <c r="L33" s="6">
        <f>SUMIF(Source_BS!$A:$A,$A33,Source_BS!L:L)</f>
        <v>18384.43</v>
      </c>
      <c r="M33" s="6">
        <f>SUMIF(Source_BS!$A:$A,$A33,Source_BS!M:M)</f>
        <v>0</v>
      </c>
    </row>
    <row r="34" spans="1:13" x14ac:dyDescent="0.25">
      <c r="A34" t="s">
        <v>131</v>
      </c>
      <c r="B34" s="6">
        <f>SUMIF(Source_BS!$A:$A,$A34,Source_BS!B:B)</f>
        <v>103275.77</v>
      </c>
      <c r="C34" s="6">
        <f>SUMIF(Source_BS!$A:$A,$A34,Source_BS!C:C)</f>
        <v>172805.96000000002</v>
      </c>
      <c r="D34" s="6">
        <f>SUMIF(Source_BS!$A:$A,$A34,Source_BS!D:D)</f>
        <v>172805.96000000002</v>
      </c>
      <c r="E34" s="6">
        <f>SUMIF(Source_BS!$A:$A,$A34,Source_BS!E:E)</f>
        <v>172805.96000000002</v>
      </c>
      <c r="F34" s="6">
        <f>SUMIF(Source_BS!$A:$A,$A34,Source_BS!F:F)</f>
        <v>172805.96000000002</v>
      </c>
      <c r="G34" s="6">
        <f>SUMIF(Source_BS!$A:$A,$A34,Source_BS!G:G)</f>
        <v>172805.96000000002</v>
      </c>
      <c r="H34" s="6">
        <f>SUMIF(Source_BS!$A:$A,$A34,Source_BS!H:H)</f>
        <v>172805.96000000002</v>
      </c>
      <c r="I34" s="6">
        <f>SUMIF(Source_BS!$A:$A,$A34,Source_BS!I:I)</f>
        <v>172805.96000000002</v>
      </c>
      <c r="J34" s="6">
        <f>SUMIF(Source_BS!$A:$A,$A34,Source_BS!J:J)</f>
        <v>172805.96000000002</v>
      </c>
      <c r="K34" s="6">
        <f>SUMIF(Source_BS!$A:$A,$A34,Source_BS!K:K)</f>
        <v>193555.96000000002</v>
      </c>
      <c r="L34" s="6">
        <f>SUMIF(Source_BS!$A:$A,$A34,Source_BS!L:L)</f>
        <v>193555.96000000002</v>
      </c>
      <c r="M34" s="6">
        <f>SUMIF(Source_BS!$A:$A,$A34,Source_BS!M:M)</f>
        <v>193555.96000000002</v>
      </c>
    </row>
    <row r="35" spans="1:13" x14ac:dyDescent="0.25">
      <c r="A35" s="7" t="s">
        <v>132</v>
      </c>
      <c r="B35" s="9">
        <f>SUMIF(Source_BS!$A:$A,$A35,Source_BS!B:B)</f>
        <v>176531.26</v>
      </c>
      <c r="C35" s="9">
        <f>SUMIF(Source_BS!$A:$A,$A35,Source_BS!C:C)</f>
        <v>246061.45</v>
      </c>
      <c r="D35" s="9">
        <f>SUMIF(Source_BS!$A:$A,$A35,Source_BS!D:D)</f>
        <v>246061.45</v>
      </c>
      <c r="E35" s="9">
        <f>SUMIF(Source_BS!$A:$A,$A35,Source_BS!E:E)</f>
        <v>246061.45</v>
      </c>
      <c r="F35" s="9">
        <f>SUMIF(Source_BS!$A:$A,$A35,Source_BS!F:F)</f>
        <v>246061.45</v>
      </c>
      <c r="G35" s="9">
        <f>SUMIF(Source_BS!$A:$A,$A35,Source_BS!G:G)</f>
        <v>246061.45</v>
      </c>
      <c r="H35" s="9">
        <f>SUMIF(Source_BS!$A:$A,$A35,Source_BS!H:H)</f>
        <v>246061.45</v>
      </c>
      <c r="I35" s="9">
        <f>SUMIF(Source_BS!$A:$A,$A35,Source_BS!I:I)</f>
        <v>246061.45</v>
      </c>
      <c r="J35" s="9">
        <f>SUMIF(Source_BS!$A:$A,$A35,Source_BS!J:J)</f>
        <v>246061.45</v>
      </c>
      <c r="K35" s="9">
        <f>SUMIF(Source_BS!$A:$A,$A35,Source_BS!K:K)</f>
        <v>266811.45</v>
      </c>
      <c r="L35" s="9">
        <f>SUMIF(Source_BS!$A:$A,$A35,Source_BS!L:L)</f>
        <v>266811.45</v>
      </c>
      <c r="M35" s="9">
        <f>SUMIF(Source_BS!$A:$A,$A35,Source_BS!M:M)</f>
        <v>193555.96000000002</v>
      </c>
    </row>
    <row r="36" spans="1:13" x14ac:dyDescent="0.25">
      <c r="A36" t="s">
        <v>133</v>
      </c>
      <c r="B36" s="6">
        <f>SUMIF(Source_BS!$A:$A,$A36,Source_BS!B:B)</f>
        <v>33286.22</v>
      </c>
      <c r="C36" s="6">
        <f>SUMIF(Source_BS!$A:$A,$A36,Source_BS!C:C)</f>
        <v>33286.22</v>
      </c>
      <c r="D36" s="6">
        <f>SUMIF(Source_BS!$A:$A,$A36,Source_BS!D:D)</f>
        <v>33286.22</v>
      </c>
      <c r="E36" s="6">
        <f>SUMIF(Source_BS!$A:$A,$A36,Source_BS!E:E)</f>
        <v>33286.22</v>
      </c>
      <c r="F36" s="6">
        <f>SUMIF(Source_BS!$A:$A,$A36,Source_BS!F:F)</f>
        <v>33286.22</v>
      </c>
      <c r="G36" s="6">
        <f>SUMIF(Source_BS!$A:$A,$A36,Source_BS!G:G)</f>
        <v>33286.22</v>
      </c>
      <c r="H36" s="6">
        <f>SUMIF(Source_BS!$A:$A,$A36,Source_BS!H:H)</f>
        <v>33286.22</v>
      </c>
      <c r="I36" s="6">
        <f>SUMIF(Source_BS!$A:$A,$A36,Source_BS!I:I)</f>
        <v>33286.22</v>
      </c>
      <c r="J36" s="6">
        <f>SUMIF(Source_BS!$A:$A,$A36,Source_BS!J:J)</f>
        <v>33286.22</v>
      </c>
      <c r="K36" s="6">
        <f>SUMIF(Source_BS!$A:$A,$A36,Source_BS!K:K)</f>
        <v>38358.300000000003</v>
      </c>
      <c r="L36" s="6">
        <f>SUMIF(Source_BS!$A:$A,$A36,Source_BS!L:L)</f>
        <v>47272.060000000005</v>
      </c>
      <c r="M36" s="6">
        <f>SUMIF(Source_BS!$A:$A,$A36,Source_BS!M:M)</f>
        <v>41549.47</v>
      </c>
    </row>
    <row r="37" spans="1:13" x14ac:dyDescent="0.25">
      <c r="A37" t="s">
        <v>134</v>
      </c>
      <c r="B37" s="6">
        <f>SUMIF(Source_BS!$A:$A,$A37,Source_BS!B:B)</f>
        <v>761069.27</v>
      </c>
      <c r="C37" s="6">
        <f>SUMIF(Source_BS!$A:$A,$A37,Source_BS!C:C)</f>
        <v>761069.27</v>
      </c>
      <c r="D37" s="6">
        <f>SUMIF(Source_BS!$A:$A,$A37,Source_BS!D:D)</f>
        <v>761069.27</v>
      </c>
      <c r="E37" s="6">
        <f>SUMIF(Source_BS!$A:$A,$A37,Source_BS!E:E)</f>
        <v>761069.27</v>
      </c>
      <c r="F37" s="6">
        <f>SUMIF(Source_BS!$A:$A,$A37,Source_BS!F:F)</f>
        <v>811454.27</v>
      </c>
      <c r="G37" s="6">
        <f>SUMIF(Source_BS!$A:$A,$A37,Source_BS!G:G)</f>
        <v>932344.27</v>
      </c>
      <c r="H37" s="6">
        <f>SUMIF(Source_BS!$A:$A,$A37,Source_BS!H:H)</f>
        <v>932344.27</v>
      </c>
      <c r="I37" s="6">
        <f>SUMIF(Source_BS!$A:$A,$A37,Source_BS!I:I)</f>
        <v>932344.27</v>
      </c>
      <c r="J37" s="6">
        <f>SUMIF(Source_BS!$A:$A,$A37,Source_BS!J:J)</f>
        <v>932344.27</v>
      </c>
      <c r="K37" s="6">
        <f>SUMIF(Source_BS!$A:$A,$A37,Source_BS!K:K)</f>
        <v>932344.27</v>
      </c>
      <c r="L37" s="6">
        <f>SUMIF(Source_BS!$A:$A,$A37,Source_BS!L:L)</f>
        <v>932344.27</v>
      </c>
      <c r="M37" s="6">
        <f>SUMIF(Source_BS!$A:$A,$A37,Source_BS!M:M)</f>
        <v>916024.9</v>
      </c>
    </row>
    <row r="38" spans="1:13" x14ac:dyDescent="0.25">
      <c r="A38" t="s">
        <v>135</v>
      </c>
      <c r="B38" s="6">
        <f>SUMIF(Source_BS!$A:$A,$A38,Source_BS!B:B)</f>
        <v>48500</v>
      </c>
      <c r="C38" s="6">
        <f>SUMIF(Source_BS!$A:$A,$A38,Source_BS!C:C)</f>
        <v>48500</v>
      </c>
      <c r="D38" s="6">
        <f>SUMIF(Source_BS!$A:$A,$A38,Source_BS!D:D)</f>
        <v>48500</v>
      </c>
      <c r="E38" s="6">
        <f>SUMIF(Source_BS!$A:$A,$A38,Source_BS!E:E)</f>
        <v>48500</v>
      </c>
      <c r="F38" s="6">
        <f>SUMIF(Source_BS!$A:$A,$A38,Source_BS!F:F)</f>
        <v>48500</v>
      </c>
      <c r="G38" s="6">
        <f>SUMIF(Source_BS!$A:$A,$A38,Source_BS!G:G)</f>
        <v>48500</v>
      </c>
      <c r="H38" s="6">
        <f>SUMIF(Source_BS!$A:$A,$A38,Source_BS!H:H)</f>
        <v>48500</v>
      </c>
      <c r="I38" s="6">
        <f>SUMIF(Source_BS!$A:$A,$A38,Source_BS!I:I)</f>
        <v>48500</v>
      </c>
      <c r="J38" s="6">
        <f>SUMIF(Source_BS!$A:$A,$A38,Source_BS!J:J)</f>
        <v>48500</v>
      </c>
      <c r="K38" s="6">
        <f>SUMIF(Source_BS!$A:$A,$A38,Source_BS!K:K)</f>
        <v>48500</v>
      </c>
      <c r="L38" s="6">
        <f>SUMIF(Source_BS!$A:$A,$A38,Source_BS!L:L)</f>
        <v>48500</v>
      </c>
      <c r="M38" s="6">
        <f>SUMIF(Source_BS!$A:$A,$A38,Source_BS!M:M)</f>
        <v>48500</v>
      </c>
    </row>
    <row r="39" spans="1:13" x14ac:dyDescent="0.25">
      <c r="A39" t="s">
        <v>136</v>
      </c>
      <c r="B39" s="6">
        <f>SUMIF(Source_BS!$A:$A,$A39,Source_BS!B:B)</f>
        <v>70555.56</v>
      </c>
      <c r="C39" s="6">
        <f>SUMIF(Source_BS!$A:$A,$A39,Source_BS!C:C)</f>
        <v>70555.56</v>
      </c>
      <c r="D39" s="6">
        <f>SUMIF(Source_BS!$A:$A,$A39,Source_BS!D:D)</f>
        <v>70555.56</v>
      </c>
      <c r="E39" s="6">
        <f>SUMIF(Source_BS!$A:$A,$A39,Source_BS!E:E)</f>
        <v>70555.56</v>
      </c>
      <c r="F39" s="6">
        <f>SUMIF(Source_BS!$A:$A,$A39,Source_BS!F:F)</f>
        <v>70555.56</v>
      </c>
      <c r="G39" s="6">
        <f>SUMIF(Source_BS!$A:$A,$A39,Source_BS!G:G)</f>
        <v>70555.56</v>
      </c>
      <c r="H39" s="6">
        <f>SUMIF(Source_BS!$A:$A,$A39,Source_BS!H:H)</f>
        <v>70555.56</v>
      </c>
      <c r="I39" s="6">
        <f>SUMIF(Source_BS!$A:$A,$A39,Source_BS!I:I)</f>
        <v>70555.56</v>
      </c>
      <c r="J39" s="6">
        <f>SUMIF(Source_BS!$A:$A,$A39,Source_BS!J:J)</f>
        <v>70555.56</v>
      </c>
      <c r="K39" s="6">
        <f>SUMIF(Source_BS!$A:$A,$A39,Source_BS!K:K)</f>
        <v>70555.56</v>
      </c>
      <c r="L39" s="6">
        <f>SUMIF(Source_BS!$A:$A,$A39,Source_BS!L:L)</f>
        <v>70555.56</v>
      </c>
      <c r="M39" s="6">
        <f>SUMIF(Source_BS!$A:$A,$A39,Source_BS!M:M)</f>
        <v>70555.56</v>
      </c>
    </row>
    <row r="40" spans="1:13" x14ac:dyDescent="0.25">
      <c r="A40" s="7" t="s">
        <v>137</v>
      </c>
      <c r="B40" s="9">
        <f>SUMIF(Source_BS!$A:$A,$A40,Source_BS!B:B)</f>
        <v>880124.83000000007</v>
      </c>
      <c r="C40" s="9">
        <f>SUMIF(Source_BS!$A:$A,$A40,Source_BS!C:C)</f>
        <v>880124.83000000007</v>
      </c>
      <c r="D40" s="9">
        <f>SUMIF(Source_BS!$A:$A,$A40,Source_BS!D:D)</f>
        <v>880124.83000000007</v>
      </c>
      <c r="E40" s="9">
        <f>SUMIF(Source_BS!$A:$A,$A40,Source_BS!E:E)</f>
        <v>880124.83000000007</v>
      </c>
      <c r="F40" s="9">
        <f>SUMIF(Source_BS!$A:$A,$A40,Source_BS!F:F)</f>
        <v>930509.83000000007</v>
      </c>
      <c r="G40" s="9">
        <f>SUMIF(Source_BS!$A:$A,$A40,Source_BS!G:G)</f>
        <v>1051399.83</v>
      </c>
      <c r="H40" s="9">
        <f>SUMIF(Source_BS!$A:$A,$A40,Source_BS!H:H)</f>
        <v>1051399.83</v>
      </c>
      <c r="I40" s="9">
        <f>SUMIF(Source_BS!$A:$A,$A40,Source_BS!I:I)</f>
        <v>1051399.83</v>
      </c>
      <c r="J40" s="9">
        <f>SUMIF(Source_BS!$A:$A,$A40,Source_BS!J:J)</f>
        <v>1051399.83</v>
      </c>
      <c r="K40" s="9">
        <f>SUMIF(Source_BS!$A:$A,$A40,Source_BS!K:K)</f>
        <v>1051399.83</v>
      </c>
      <c r="L40" s="9">
        <f>SUMIF(Source_BS!$A:$A,$A40,Source_BS!L:L)</f>
        <v>1051399.83</v>
      </c>
      <c r="M40" s="9">
        <f>SUMIF(Source_BS!$A:$A,$A40,Source_BS!M:M)</f>
        <v>1035080.46</v>
      </c>
    </row>
    <row r="41" spans="1:13" x14ac:dyDescent="0.25">
      <c r="A41" t="s">
        <v>138</v>
      </c>
      <c r="B41" s="6">
        <f>SUMIF(Source_BS!$A:$A,$A41,Source_BS!B:B)</f>
        <v>-1047115.16</v>
      </c>
      <c r="C41" s="6">
        <f>SUMIF(Source_BS!$A:$A,$A41,Source_BS!C:C)</f>
        <v>-1047115.16</v>
      </c>
      <c r="D41" s="6">
        <f>SUMIF(Source_BS!$A:$A,$A41,Source_BS!D:D)</f>
        <v>-1047115.16</v>
      </c>
      <c r="E41" s="6">
        <f>SUMIF(Source_BS!$A:$A,$A41,Source_BS!E:E)</f>
        <v>-1047115.16</v>
      </c>
      <c r="F41" s="6">
        <f>SUMIF(Source_BS!$A:$A,$A41,Source_BS!F:F)</f>
        <v>-1047115.16</v>
      </c>
      <c r="G41" s="6">
        <f>SUMIF(Source_BS!$A:$A,$A41,Source_BS!G:G)</f>
        <v>-1047115.16</v>
      </c>
      <c r="H41" s="6">
        <f>SUMIF(Source_BS!$A:$A,$A41,Source_BS!H:H)</f>
        <v>-1047115.16</v>
      </c>
      <c r="I41" s="6">
        <f>SUMIF(Source_BS!$A:$A,$A41,Source_BS!I:I)</f>
        <v>-1047115.16</v>
      </c>
      <c r="J41" s="6">
        <f>SUMIF(Source_BS!$A:$A,$A41,Source_BS!J:J)</f>
        <v>-1047115.16</v>
      </c>
      <c r="K41" s="6">
        <f>SUMIF(Source_BS!$A:$A,$A41,Source_BS!K:K)</f>
        <v>-1047115.16</v>
      </c>
      <c r="L41" s="6">
        <f>SUMIF(Source_BS!$A:$A,$A41,Source_BS!L:L)</f>
        <v>-1047115.16</v>
      </c>
      <c r="M41" s="6">
        <f>SUMIF(Source_BS!$A:$A,$A41,Source_BS!M:M)</f>
        <v>-991109.9</v>
      </c>
    </row>
    <row r="42" spans="1:13" x14ac:dyDescent="0.25">
      <c r="A42" s="7" t="s">
        <v>139</v>
      </c>
      <c r="B42" s="9">
        <f>SUMIF(Source_BS!$A:$A,$A42,Source_BS!B:B)</f>
        <v>954428.86</v>
      </c>
      <c r="C42" s="9">
        <f>SUMIF(Source_BS!$A:$A,$A42,Source_BS!C:C)</f>
        <v>1023959.0499999999</v>
      </c>
      <c r="D42" s="9">
        <f>SUMIF(Source_BS!$A:$A,$A42,Source_BS!D:D)</f>
        <v>1023959.0499999999</v>
      </c>
      <c r="E42" s="9">
        <f>SUMIF(Source_BS!$A:$A,$A42,Source_BS!E:E)</f>
        <v>1023959.0499999999</v>
      </c>
      <c r="F42" s="9">
        <f>SUMIF(Source_BS!$A:$A,$A42,Source_BS!F:F)</f>
        <v>1074344.0499999998</v>
      </c>
      <c r="G42" s="9">
        <f>SUMIF(Source_BS!$A:$A,$A42,Source_BS!G:G)</f>
        <v>1195234.0499999998</v>
      </c>
      <c r="H42" s="9">
        <f>SUMIF(Source_BS!$A:$A,$A42,Source_BS!H:H)</f>
        <v>1195234.0499999998</v>
      </c>
      <c r="I42" s="9">
        <f>SUMIF(Source_BS!$A:$A,$A42,Source_BS!I:I)</f>
        <v>1195234.0499999998</v>
      </c>
      <c r="J42" s="9">
        <f>SUMIF(Source_BS!$A:$A,$A42,Source_BS!J:J)</f>
        <v>1286444.6600000001</v>
      </c>
      <c r="K42" s="9">
        <f>SUMIF(Source_BS!$A:$A,$A42,Source_BS!K:K)</f>
        <v>1341085.1200000001</v>
      </c>
      <c r="L42" s="9">
        <f>SUMIF(Source_BS!$A:$A,$A42,Source_BS!L:L)</f>
        <v>1349998.88</v>
      </c>
      <c r="M42" s="9">
        <f>SUMIF(Source_BS!$A:$A,$A42,Source_BS!M:M)</f>
        <v>1082998.9899999998</v>
      </c>
    </row>
    <row r="43" spans="1:13" x14ac:dyDescent="0.25">
      <c r="A43" s="7" t="s">
        <v>140</v>
      </c>
      <c r="B43" s="9">
        <f>SUMIF(Source_BS!$A:$A,$A43,Source_BS!B:B)</f>
        <v>954428.86</v>
      </c>
      <c r="C43" s="9">
        <f>SUMIF(Source_BS!$A:$A,$A43,Source_BS!C:C)</f>
        <v>1023959.0499999999</v>
      </c>
      <c r="D43" s="9">
        <f>SUMIF(Source_BS!$A:$A,$A43,Source_BS!D:D)</f>
        <v>1023959.0499999999</v>
      </c>
      <c r="E43" s="9">
        <f>SUMIF(Source_BS!$A:$A,$A43,Source_BS!E:E)</f>
        <v>1023959.0499999999</v>
      </c>
      <c r="F43" s="9">
        <f>SUMIF(Source_BS!$A:$A,$A43,Source_BS!F:F)</f>
        <v>1074344.0499999998</v>
      </c>
      <c r="G43" s="9">
        <f>SUMIF(Source_BS!$A:$A,$A43,Source_BS!G:G)</f>
        <v>1195234.0499999998</v>
      </c>
      <c r="H43" s="9">
        <f>SUMIF(Source_BS!$A:$A,$A43,Source_BS!H:H)</f>
        <v>1195234.0499999998</v>
      </c>
      <c r="I43" s="9">
        <f>SUMIF(Source_BS!$A:$A,$A43,Source_BS!I:I)</f>
        <v>1195234.0499999998</v>
      </c>
      <c r="J43" s="9">
        <f>SUMIF(Source_BS!$A:$A,$A43,Source_BS!J:J)</f>
        <v>1286444.6600000001</v>
      </c>
      <c r="K43" s="9">
        <f>SUMIF(Source_BS!$A:$A,$A43,Source_BS!K:K)</f>
        <v>1341085.1200000001</v>
      </c>
      <c r="L43" s="9">
        <f>SUMIF(Source_BS!$A:$A,$A43,Source_BS!L:L)</f>
        <v>1349998.88</v>
      </c>
      <c r="M43" s="9">
        <f>SUMIF(Source_BS!$A:$A,$A43,Source_BS!M:M)</f>
        <v>1082998.9899999998</v>
      </c>
    </row>
    <row r="44" spans="1:13" x14ac:dyDescent="0.25">
      <c r="A44" t="s">
        <v>141</v>
      </c>
      <c r="B44" s="6">
        <f>SUMIF(Source_BS!$A:$A,$A44,Source_BS!B:B)</f>
        <v>0</v>
      </c>
      <c r="C44" s="6">
        <f>SUMIF(Source_BS!$A:$A,$A44,Source_BS!C:C)</f>
        <v>0</v>
      </c>
      <c r="D44" s="6">
        <f>SUMIF(Source_BS!$A:$A,$A44,Source_BS!D:D)</f>
        <v>0</v>
      </c>
      <c r="E44" s="6">
        <f>SUMIF(Source_BS!$A:$A,$A44,Source_BS!E:E)</f>
        <v>0</v>
      </c>
      <c r="F44" s="6">
        <f>SUMIF(Source_BS!$A:$A,$A44,Source_BS!F:F)</f>
        <v>0</v>
      </c>
      <c r="G44" s="6">
        <f>SUMIF(Source_BS!$A:$A,$A44,Source_BS!G:G)</f>
        <v>0</v>
      </c>
      <c r="H44" s="6">
        <f>SUMIF(Source_BS!$A:$A,$A44,Source_BS!H:H)</f>
        <v>0</v>
      </c>
      <c r="I44" s="6">
        <f>SUMIF(Source_BS!$A:$A,$A44,Source_BS!I:I)</f>
        <v>0</v>
      </c>
      <c r="J44" s="6">
        <f>SUMIF(Source_BS!$A:$A,$A44,Source_BS!J:J)</f>
        <v>0</v>
      </c>
      <c r="K44" s="6">
        <f>SUMIF(Source_BS!$A:$A,$A44,Source_BS!K:K)</f>
        <v>0</v>
      </c>
      <c r="L44" s="6">
        <f>SUMIF(Source_BS!$A:$A,$A44,Source_BS!L:L)</f>
        <v>0</v>
      </c>
      <c r="M44" s="6">
        <f>SUMIF(Source_BS!$A:$A,$A44,Source_BS!M:M)</f>
        <v>0</v>
      </c>
    </row>
    <row r="45" spans="1:13" x14ac:dyDescent="0.25">
      <c r="A45" t="s">
        <v>142</v>
      </c>
      <c r="B45" s="6">
        <f>SUMIF(Source_BS!$A:$A,$A45,Source_BS!B:B)</f>
        <v>824</v>
      </c>
      <c r="C45" s="6">
        <f>SUMIF(Source_BS!$A:$A,$A45,Source_BS!C:C)</f>
        <v>824</v>
      </c>
      <c r="D45" s="6">
        <f>SUMIF(Source_BS!$A:$A,$A45,Source_BS!D:D)</f>
        <v>824</v>
      </c>
      <c r="E45" s="6">
        <f>SUMIF(Source_BS!$A:$A,$A45,Source_BS!E:E)</f>
        <v>824</v>
      </c>
      <c r="F45" s="6">
        <f>SUMIF(Source_BS!$A:$A,$A45,Source_BS!F:F)</f>
        <v>824</v>
      </c>
      <c r="G45" s="6">
        <f>SUMIF(Source_BS!$A:$A,$A45,Source_BS!G:G)</f>
        <v>824</v>
      </c>
      <c r="H45" s="6">
        <f>SUMIF(Source_BS!$A:$A,$A45,Source_BS!H:H)</f>
        <v>824</v>
      </c>
      <c r="I45" s="6">
        <f>SUMIF(Source_BS!$A:$A,$A45,Source_BS!I:I)</f>
        <v>824</v>
      </c>
      <c r="J45" s="6">
        <f>SUMIF(Source_BS!$A:$A,$A45,Source_BS!J:J)</f>
        <v>824</v>
      </c>
      <c r="K45" s="6">
        <f>SUMIF(Source_BS!$A:$A,$A45,Source_BS!K:K)</f>
        <v>824</v>
      </c>
      <c r="L45" s="6">
        <f>SUMIF(Source_BS!$A:$A,$A45,Source_BS!L:L)</f>
        <v>824</v>
      </c>
      <c r="M45" s="6">
        <f>SUMIF(Source_BS!$A:$A,$A45,Source_BS!M:M)</f>
        <v>0</v>
      </c>
    </row>
    <row r="46" spans="1:13" x14ac:dyDescent="0.25">
      <c r="A46" t="s">
        <v>143</v>
      </c>
      <c r="B46" s="6">
        <f>SUMIF(Source_BS!$A:$A,$A46,Source_BS!B:B)</f>
        <v>0</v>
      </c>
      <c r="C46" s="6">
        <f>SUMIF(Source_BS!$A:$A,$A46,Source_BS!C:C)</f>
        <v>0</v>
      </c>
      <c r="D46" s="6">
        <f>SUMIF(Source_BS!$A:$A,$A46,Source_BS!D:D)</f>
        <v>0</v>
      </c>
      <c r="E46" s="6">
        <f>SUMIF(Source_BS!$A:$A,$A46,Source_BS!E:E)</f>
        <v>700</v>
      </c>
      <c r="F46" s="6">
        <f>SUMIF(Source_BS!$A:$A,$A46,Source_BS!F:F)</f>
        <v>700</v>
      </c>
      <c r="G46" s="6">
        <f>SUMIF(Source_BS!$A:$A,$A46,Source_BS!G:G)</f>
        <v>700</v>
      </c>
      <c r="H46" s="6">
        <f>SUMIF(Source_BS!$A:$A,$A46,Source_BS!H:H)</f>
        <v>700</v>
      </c>
      <c r="I46" s="6">
        <f>SUMIF(Source_BS!$A:$A,$A46,Source_BS!I:I)</f>
        <v>700</v>
      </c>
      <c r="J46" s="6">
        <f>SUMIF(Source_BS!$A:$A,$A46,Source_BS!J:J)</f>
        <v>700</v>
      </c>
      <c r="K46" s="6">
        <f>SUMIF(Source_BS!$A:$A,$A46,Source_BS!K:K)</f>
        <v>700</v>
      </c>
      <c r="L46" s="6">
        <f>SUMIF(Source_BS!$A:$A,$A46,Source_BS!L:L)</f>
        <v>700</v>
      </c>
      <c r="M46" s="6">
        <f>SUMIF(Source_BS!$A:$A,$A46,Source_BS!M:M)</f>
        <v>700</v>
      </c>
    </row>
    <row r="47" spans="1:13" x14ac:dyDescent="0.25">
      <c r="A47" s="7" t="s">
        <v>144</v>
      </c>
      <c r="B47" s="9">
        <f>SUMIF(Source_BS!$A:$A,$A47,Source_BS!B:B)</f>
        <v>824</v>
      </c>
      <c r="C47" s="9">
        <f>SUMIF(Source_BS!$A:$A,$A47,Source_BS!C:C)</f>
        <v>824</v>
      </c>
      <c r="D47" s="9">
        <f>SUMIF(Source_BS!$A:$A,$A47,Source_BS!D:D)</f>
        <v>824</v>
      </c>
      <c r="E47" s="9">
        <f>SUMIF(Source_BS!$A:$A,$A47,Source_BS!E:E)</f>
        <v>1524</v>
      </c>
      <c r="F47" s="9">
        <f>SUMIF(Source_BS!$A:$A,$A47,Source_BS!F:F)</f>
        <v>1524</v>
      </c>
      <c r="G47" s="9">
        <f>SUMIF(Source_BS!$A:$A,$A47,Source_BS!G:G)</f>
        <v>1524</v>
      </c>
      <c r="H47" s="9">
        <f>SUMIF(Source_BS!$A:$A,$A47,Source_BS!H:H)</f>
        <v>1524</v>
      </c>
      <c r="I47" s="9">
        <f>SUMIF(Source_BS!$A:$A,$A47,Source_BS!I:I)</f>
        <v>1524</v>
      </c>
      <c r="J47" s="9">
        <f>SUMIF(Source_BS!$A:$A,$A47,Source_BS!J:J)</f>
        <v>1524</v>
      </c>
      <c r="K47" s="9">
        <f>SUMIF(Source_BS!$A:$A,$A47,Source_BS!K:K)</f>
        <v>1524</v>
      </c>
      <c r="L47" s="9">
        <f>SUMIF(Source_BS!$A:$A,$A47,Source_BS!L:L)</f>
        <v>1524</v>
      </c>
      <c r="M47" s="9">
        <f>SUMIF(Source_BS!$A:$A,$A47,Source_BS!M:M)</f>
        <v>700</v>
      </c>
    </row>
    <row r="48" spans="1:13" x14ac:dyDescent="0.25">
      <c r="A48" s="7" t="s">
        <v>145</v>
      </c>
      <c r="B48" s="9">
        <f>SUMIF(Source_BS!$A:$A,$A48,Source_BS!B:B)</f>
        <v>1269404.22</v>
      </c>
      <c r="C48" s="9">
        <f>SUMIF(Source_BS!$A:$A,$A48,Source_BS!C:C)</f>
        <v>1221380.3599999999</v>
      </c>
      <c r="D48" s="9">
        <f>SUMIF(Source_BS!$A:$A,$A48,Source_BS!D:D)</f>
        <v>1435953.02</v>
      </c>
      <c r="E48" s="9">
        <f>SUMIF(Source_BS!$A:$A,$A48,Source_BS!E:E)</f>
        <v>1347040.3699999999</v>
      </c>
      <c r="F48" s="9">
        <f>SUMIF(Source_BS!$A:$A,$A48,Source_BS!F:F)</f>
        <v>1435527.8099999998</v>
      </c>
      <c r="G48" s="9">
        <f>SUMIF(Source_BS!$A:$A,$A48,Source_BS!G:G)</f>
        <v>1436280.7199999997</v>
      </c>
      <c r="H48" s="9">
        <f>SUMIF(Source_BS!$A:$A,$A48,Source_BS!H:H)</f>
        <v>1499351.3599999999</v>
      </c>
      <c r="I48" s="9">
        <f>SUMIF(Source_BS!$A:$A,$A48,Source_BS!I:I)</f>
        <v>1466013.7</v>
      </c>
      <c r="J48" s="9">
        <f>SUMIF(Source_BS!$A:$A,$A48,Source_BS!J:J)</f>
        <v>1645827.5600000003</v>
      </c>
      <c r="K48" s="9">
        <f>SUMIF(Source_BS!$A:$A,$A48,Source_BS!K:K)</f>
        <v>1581071.4800000002</v>
      </c>
      <c r="L48" s="9">
        <f>SUMIF(Source_BS!$A:$A,$A48,Source_BS!L:L)</f>
        <v>1663488.27</v>
      </c>
      <c r="M48" s="9">
        <f>SUMIF(Source_BS!$A:$A,$A48,Source_BS!M:M)</f>
        <v>1545972.1599999997</v>
      </c>
    </row>
    <row r="49" spans="1:13" x14ac:dyDescent="0.25">
      <c r="A49" t="s">
        <v>146</v>
      </c>
      <c r="B49" s="6">
        <f>SUMIF(Source_BS!$A:$A,$A49,Source_BS!B:B)</f>
        <v>0</v>
      </c>
      <c r="C49" s="6">
        <f>SUMIF(Source_BS!$A:$A,$A49,Source_BS!C:C)</f>
        <v>0</v>
      </c>
      <c r="D49" s="6">
        <f>SUMIF(Source_BS!$A:$A,$A49,Source_BS!D:D)</f>
        <v>0</v>
      </c>
      <c r="E49" s="6">
        <f>SUMIF(Source_BS!$A:$A,$A49,Source_BS!E:E)</f>
        <v>0</v>
      </c>
      <c r="F49" s="6">
        <f>SUMIF(Source_BS!$A:$A,$A49,Source_BS!F:F)</f>
        <v>0</v>
      </c>
      <c r="G49" s="6">
        <f>SUMIF(Source_BS!$A:$A,$A49,Source_BS!G:G)</f>
        <v>0</v>
      </c>
      <c r="H49" s="6">
        <f>SUMIF(Source_BS!$A:$A,$A49,Source_BS!H:H)</f>
        <v>0</v>
      </c>
      <c r="I49" s="6">
        <f>SUMIF(Source_BS!$A:$A,$A49,Source_BS!I:I)</f>
        <v>0</v>
      </c>
      <c r="J49" s="6">
        <f>SUMIF(Source_BS!$A:$A,$A49,Source_BS!J:J)</f>
        <v>0</v>
      </c>
      <c r="K49" s="6">
        <f>SUMIF(Source_BS!$A:$A,$A49,Source_BS!K:K)</f>
        <v>0</v>
      </c>
      <c r="L49" s="6">
        <f>SUMIF(Source_BS!$A:$A,$A49,Source_BS!L:L)</f>
        <v>0</v>
      </c>
      <c r="M49" s="6">
        <f>SUMIF(Source_BS!$A:$A,$A49,Source_BS!M:M)</f>
        <v>0</v>
      </c>
    </row>
    <row r="50" spans="1:13" x14ac:dyDescent="0.25">
      <c r="A50" t="s">
        <v>147</v>
      </c>
      <c r="B50" s="6">
        <f>SUMIF(Source_BS!$A:$A,$A50,Source_BS!B:B)</f>
        <v>0</v>
      </c>
      <c r="C50" s="6">
        <f>SUMIF(Source_BS!$A:$A,$A50,Source_BS!C:C)</f>
        <v>0</v>
      </c>
      <c r="D50" s="6">
        <f>SUMIF(Source_BS!$A:$A,$A50,Source_BS!D:D)</f>
        <v>0</v>
      </c>
      <c r="E50" s="6">
        <f>SUMIF(Source_BS!$A:$A,$A50,Source_BS!E:E)</f>
        <v>0</v>
      </c>
      <c r="F50" s="6">
        <f>SUMIF(Source_BS!$A:$A,$A50,Source_BS!F:F)</f>
        <v>0</v>
      </c>
      <c r="G50" s="6">
        <f>SUMIF(Source_BS!$A:$A,$A50,Source_BS!G:G)</f>
        <v>0</v>
      </c>
      <c r="H50" s="6">
        <f>SUMIF(Source_BS!$A:$A,$A50,Source_BS!H:H)</f>
        <v>0</v>
      </c>
      <c r="I50" s="6">
        <f>SUMIF(Source_BS!$A:$A,$A50,Source_BS!I:I)</f>
        <v>0</v>
      </c>
      <c r="J50" s="6">
        <f>SUMIF(Source_BS!$A:$A,$A50,Source_BS!J:J)</f>
        <v>0</v>
      </c>
      <c r="K50" s="6">
        <f>SUMIF(Source_BS!$A:$A,$A50,Source_BS!K:K)</f>
        <v>0</v>
      </c>
      <c r="L50" s="6">
        <f>SUMIF(Source_BS!$A:$A,$A50,Source_BS!L:L)</f>
        <v>0</v>
      </c>
      <c r="M50" s="6">
        <f>SUMIF(Source_BS!$A:$A,$A50,Source_BS!M:M)</f>
        <v>0</v>
      </c>
    </row>
    <row r="51" spans="1:13" x14ac:dyDescent="0.25">
      <c r="A51" t="s">
        <v>148</v>
      </c>
      <c r="B51" s="6">
        <f>SUMIF(Source_BS!$A:$A,$A51,Source_BS!B:B)</f>
        <v>0</v>
      </c>
      <c r="C51" s="6">
        <f>SUMIF(Source_BS!$A:$A,$A51,Source_BS!C:C)</f>
        <v>0</v>
      </c>
      <c r="D51" s="6">
        <f>SUMIF(Source_BS!$A:$A,$A51,Source_BS!D:D)</f>
        <v>0</v>
      </c>
      <c r="E51" s="6">
        <f>SUMIF(Source_BS!$A:$A,$A51,Source_BS!E:E)</f>
        <v>0</v>
      </c>
      <c r="F51" s="6">
        <f>SUMIF(Source_BS!$A:$A,$A51,Source_BS!F:F)</f>
        <v>0</v>
      </c>
      <c r="G51" s="6">
        <f>SUMIF(Source_BS!$A:$A,$A51,Source_BS!G:G)</f>
        <v>0</v>
      </c>
      <c r="H51" s="6">
        <f>SUMIF(Source_BS!$A:$A,$A51,Source_BS!H:H)</f>
        <v>0</v>
      </c>
      <c r="I51" s="6">
        <f>SUMIF(Source_BS!$A:$A,$A51,Source_BS!I:I)</f>
        <v>0</v>
      </c>
      <c r="J51" s="6">
        <f>SUMIF(Source_BS!$A:$A,$A51,Source_BS!J:J)</f>
        <v>0</v>
      </c>
      <c r="K51" s="6">
        <f>SUMIF(Source_BS!$A:$A,$A51,Source_BS!K:K)</f>
        <v>0</v>
      </c>
      <c r="L51" s="6">
        <f>SUMIF(Source_BS!$A:$A,$A51,Source_BS!L:L)</f>
        <v>0</v>
      </c>
      <c r="M51" s="6">
        <f>SUMIF(Source_BS!$A:$A,$A51,Source_BS!M:M)</f>
        <v>0</v>
      </c>
    </row>
    <row r="52" spans="1:13" x14ac:dyDescent="0.25">
      <c r="A52" t="s">
        <v>149</v>
      </c>
      <c r="B52" s="6">
        <f>SUMIF(Source_BS!$A:$A,$A52,Source_BS!B:B)</f>
        <v>0</v>
      </c>
      <c r="C52" s="6">
        <f>SUMIF(Source_BS!$A:$A,$A52,Source_BS!C:C)</f>
        <v>0</v>
      </c>
      <c r="D52" s="6">
        <f>SUMIF(Source_BS!$A:$A,$A52,Source_BS!D:D)</f>
        <v>0</v>
      </c>
      <c r="E52" s="6">
        <f>SUMIF(Source_BS!$A:$A,$A52,Source_BS!E:E)</f>
        <v>0</v>
      </c>
      <c r="F52" s="6">
        <f>SUMIF(Source_BS!$A:$A,$A52,Source_BS!F:F)</f>
        <v>0</v>
      </c>
      <c r="G52" s="6">
        <f>SUMIF(Source_BS!$A:$A,$A52,Source_BS!G:G)</f>
        <v>0</v>
      </c>
      <c r="H52" s="6">
        <f>SUMIF(Source_BS!$A:$A,$A52,Source_BS!H:H)</f>
        <v>0</v>
      </c>
      <c r="I52" s="6">
        <f>SUMIF(Source_BS!$A:$A,$A52,Source_BS!I:I)</f>
        <v>0</v>
      </c>
      <c r="J52" s="6">
        <f>SUMIF(Source_BS!$A:$A,$A52,Source_BS!J:J)</f>
        <v>0</v>
      </c>
      <c r="K52" s="6">
        <f>SUMIF(Source_BS!$A:$A,$A52,Source_BS!K:K)</f>
        <v>0</v>
      </c>
      <c r="L52" s="6">
        <f>SUMIF(Source_BS!$A:$A,$A52,Source_BS!L:L)</f>
        <v>0</v>
      </c>
      <c r="M52" s="6">
        <f>SUMIF(Source_BS!$A:$A,$A52,Source_BS!M:M)</f>
        <v>0</v>
      </c>
    </row>
    <row r="53" spans="1:13" x14ac:dyDescent="0.25">
      <c r="A53" t="s">
        <v>150</v>
      </c>
      <c r="B53" s="6">
        <f>SUMIF(Source_BS!$A:$A,$A53,Source_BS!B:B)</f>
        <v>0</v>
      </c>
      <c r="C53" s="6">
        <f>SUMIF(Source_BS!$A:$A,$A53,Source_BS!C:C)</f>
        <v>0</v>
      </c>
      <c r="D53" s="6">
        <f>SUMIF(Source_BS!$A:$A,$A53,Source_BS!D:D)</f>
        <v>0</v>
      </c>
      <c r="E53" s="6">
        <f>SUMIF(Source_BS!$A:$A,$A53,Source_BS!E:E)</f>
        <v>0</v>
      </c>
      <c r="F53" s="6">
        <f>SUMIF(Source_BS!$A:$A,$A53,Source_BS!F:F)</f>
        <v>0</v>
      </c>
      <c r="G53" s="6">
        <f>SUMIF(Source_BS!$A:$A,$A53,Source_BS!G:G)</f>
        <v>0</v>
      </c>
      <c r="H53" s="6">
        <f>SUMIF(Source_BS!$A:$A,$A53,Source_BS!H:H)</f>
        <v>0</v>
      </c>
      <c r="I53" s="6">
        <f>SUMIF(Source_BS!$A:$A,$A53,Source_BS!I:I)</f>
        <v>0</v>
      </c>
      <c r="J53" s="6">
        <f>SUMIF(Source_BS!$A:$A,$A53,Source_BS!J:J)</f>
        <v>0</v>
      </c>
      <c r="K53" s="6">
        <f>SUMIF(Source_BS!$A:$A,$A53,Source_BS!K:K)</f>
        <v>0</v>
      </c>
      <c r="L53" s="6">
        <f>SUMIF(Source_BS!$A:$A,$A53,Source_BS!L:L)</f>
        <v>0</v>
      </c>
      <c r="M53" s="6">
        <f>SUMIF(Source_BS!$A:$A,$A53,Source_BS!M:M)</f>
        <v>0</v>
      </c>
    </row>
    <row r="54" spans="1:13" x14ac:dyDescent="0.25">
      <c r="A54" t="s">
        <v>151</v>
      </c>
      <c r="B54" s="6">
        <f>SUMIF(Source_BS!$A:$A,$A54,Source_BS!B:B)</f>
        <v>15476.72</v>
      </c>
      <c r="C54" s="6">
        <f>SUMIF(Source_BS!$A:$A,$A54,Source_BS!C:C)</f>
        <v>7848.3399999999992</v>
      </c>
      <c r="D54" s="6">
        <f>SUMIF(Source_BS!$A:$A,$A54,Source_BS!D:D)</f>
        <v>6781.2199999999993</v>
      </c>
      <c r="E54" s="6">
        <f>SUMIF(Source_BS!$A:$A,$A54,Source_BS!E:E)</f>
        <v>8776.119999999999</v>
      </c>
      <c r="F54" s="6">
        <f>SUMIF(Source_BS!$A:$A,$A54,Source_BS!F:F)</f>
        <v>6202.9399999999987</v>
      </c>
      <c r="G54" s="6">
        <f>SUMIF(Source_BS!$A:$A,$A54,Source_BS!G:G)</f>
        <v>11732.259999999998</v>
      </c>
      <c r="H54" s="6">
        <f>SUMIF(Source_BS!$A:$A,$A54,Source_BS!H:H)</f>
        <v>15515.469999999998</v>
      </c>
      <c r="I54" s="6">
        <f>SUMIF(Source_BS!$A:$A,$A54,Source_BS!I:I)</f>
        <v>8655.9099999999962</v>
      </c>
      <c r="J54" s="6">
        <f>SUMIF(Source_BS!$A:$A,$A54,Source_BS!J:J)</f>
        <v>9312.8799999999956</v>
      </c>
      <c r="K54" s="6">
        <f>SUMIF(Source_BS!$A:$A,$A54,Source_BS!K:K)</f>
        <v>3059.9199999999955</v>
      </c>
      <c r="L54" s="6">
        <f>SUMIF(Source_BS!$A:$A,$A54,Source_BS!L:L)</f>
        <v>19646.339999999993</v>
      </c>
      <c r="M54" s="6">
        <f>SUMIF(Source_BS!$A:$A,$A54,Source_BS!M:M)</f>
        <v>17417.709999999992</v>
      </c>
    </row>
    <row r="55" spans="1:13" x14ac:dyDescent="0.25">
      <c r="A55" t="s">
        <v>152</v>
      </c>
      <c r="B55" s="6">
        <f>SUMIF(Source_BS!$A:$A,$A55,Source_BS!B:B)</f>
        <v>32621.91</v>
      </c>
      <c r="C55" s="6">
        <f>SUMIF(Source_BS!$A:$A,$A55,Source_BS!C:C)</f>
        <v>23081.52</v>
      </c>
      <c r="D55" s="6">
        <f>SUMIF(Source_BS!$A:$A,$A55,Source_BS!D:D)</f>
        <v>76.290000000000873</v>
      </c>
      <c r="E55" s="6">
        <f>SUMIF(Source_BS!$A:$A,$A55,Source_BS!E:E)</f>
        <v>4558.5400000000009</v>
      </c>
      <c r="F55" s="6">
        <f>SUMIF(Source_BS!$A:$A,$A55,Source_BS!F:F)</f>
        <v>3321.2400000000007</v>
      </c>
      <c r="G55" s="6">
        <f>SUMIF(Source_BS!$A:$A,$A55,Source_BS!G:G)</f>
        <v>5889.4900000000007</v>
      </c>
      <c r="H55" s="6">
        <f>SUMIF(Source_BS!$A:$A,$A55,Source_BS!H:H)</f>
        <v>18385.43</v>
      </c>
      <c r="I55" s="6">
        <f>SUMIF(Source_BS!$A:$A,$A55,Source_BS!I:I)</f>
        <v>579.45000000000073</v>
      </c>
      <c r="J55" s="6">
        <f>SUMIF(Source_BS!$A:$A,$A55,Source_BS!J:J)</f>
        <v>16522.27</v>
      </c>
      <c r="K55" s="6">
        <f>SUMIF(Source_BS!$A:$A,$A55,Source_BS!K:K)</f>
        <v>24019.57</v>
      </c>
      <c r="L55" s="6">
        <f>SUMIF(Source_BS!$A:$A,$A55,Source_BS!L:L)</f>
        <v>4913.2099999999991</v>
      </c>
      <c r="M55" s="6">
        <f>SUMIF(Source_BS!$A:$A,$A55,Source_BS!M:M)</f>
        <v>32047.829999999998</v>
      </c>
    </row>
    <row r="56" spans="1:13" x14ac:dyDescent="0.25">
      <c r="A56" t="s">
        <v>153</v>
      </c>
      <c r="B56" s="6">
        <f>SUMIF(Source_BS!$A:$A,$A56,Source_BS!B:B)</f>
        <v>1754.21</v>
      </c>
      <c r="C56" s="6">
        <f>SUMIF(Source_BS!$A:$A,$A56,Source_BS!C:C)</f>
        <v>1974.46</v>
      </c>
      <c r="D56" s="6">
        <f>SUMIF(Source_BS!$A:$A,$A56,Source_BS!D:D)</f>
        <v>0</v>
      </c>
      <c r="E56" s="6">
        <f>SUMIF(Source_BS!$A:$A,$A56,Source_BS!E:E)</f>
        <v>0</v>
      </c>
      <c r="F56" s="6">
        <f>SUMIF(Source_BS!$A:$A,$A56,Source_BS!F:F)</f>
        <v>0</v>
      </c>
      <c r="G56" s="6">
        <f>SUMIF(Source_BS!$A:$A,$A56,Source_BS!G:G)</f>
        <v>0</v>
      </c>
      <c r="H56" s="6">
        <f>SUMIF(Source_BS!$A:$A,$A56,Source_BS!H:H)</f>
        <v>0</v>
      </c>
      <c r="I56" s="6">
        <f>SUMIF(Source_BS!$A:$A,$A56,Source_BS!I:I)</f>
        <v>0</v>
      </c>
      <c r="J56" s="6">
        <f>SUMIF(Source_BS!$A:$A,$A56,Source_BS!J:J)</f>
        <v>0</v>
      </c>
      <c r="K56" s="6">
        <f>SUMIF(Source_BS!$A:$A,$A56,Source_BS!K:K)</f>
        <v>0</v>
      </c>
      <c r="L56" s="6">
        <f>SUMIF(Source_BS!$A:$A,$A56,Source_BS!L:L)</f>
        <v>0</v>
      </c>
      <c r="M56" s="6">
        <f>SUMIF(Source_BS!$A:$A,$A56,Source_BS!M:M)</f>
        <v>0</v>
      </c>
    </row>
    <row r="57" spans="1:13" x14ac:dyDescent="0.25">
      <c r="A57" t="s">
        <v>154</v>
      </c>
      <c r="B57" s="6">
        <f>SUMIF(Source_BS!$A:$A,$A57,Source_BS!B:B)</f>
        <v>29485.98</v>
      </c>
      <c r="C57" s="6">
        <f>SUMIF(Source_BS!$A:$A,$A57,Source_BS!C:C)</f>
        <v>14813.039999999999</v>
      </c>
      <c r="D57" s="6">
        <f>SUMIF(Source_BS!$A:$A,$A57,Source_BS!D:D)</f>
        <v>7994.8399999999992</v>
      </c>
      <c r="E57" s="6">
        <f>SUMIF(Source_BS!$A:$A,$A57,Source_BS!E:E)</f>
        <v>2084.7199999999993</v>
      </c>
      <c r="F57" s="6">
        <f>SUMIF(Source_BS!$A:$A,$A57,Source_BS!F:F)</f>
        <v>16586.080000000002</v>
      </c>
      <c r="G57" s="6">
        <f>SUMIF(Source_BS!$A:$A,$A57,Source_BS!G:G)</f>
        <v>13327.130000000001</v>
      </c>
      <c r="H57" s="6">
        <f>SUMIF(Source_BS!$A:$A,$A57,Source_BS!H:H)</f>
        <v>13405.34</v>
      </c>
      <c r="I57" s="6">
        <f>SUMIF(Source_BS!$A:$A,$A57,Source_BS!I:I)</f>
        <v>23086.73</v>
      </c>
      <c r="J57" s="6">
        <f>SUMIF(Source_BS!$A:$A,$A57,Source_BS!J:J)</f>
        <v>16269.57</v>
      </c>
      <c r="K57" s="6">
        <f>SUMIF(Source_BS!$A:$A,$A57,Source_BS!K:K)</f>
        <v>21621.8</v>
      </c>
      <c r="L57" s="6">
        <f>SUMIF(Source_BS!$A:$A,$A57,Source_BS!L:L)</f>
        <v>1949.1499999999978</v>
      </c>
      <c r="M57" s="6">
        <f>SUMIF(Source_BS!$A:$A,$A57,Source_BS!M:M)</f>
        <v>8999.6899999999987</v>
      </c>
    </row>
    <row r="58" spans="1:13" x14ac:dyDescent="0.25">
      <c r="A58" t="s">
        <v>155</v>
      </c>
      <c r="B58" s="6">
        <f>SUMIF(Source_BS!$A:$A,$A58,Source_BS!B:B)</f>
        <v>0</v>
      </c>
      <c r="C58" s="6">
        <f>SUMIF(Source_BS!$A:$A,$A58,Source_BS!C:C)</f>
        <v>0</v>
      </c>
      <c r="D58" s="6">
        <f>SUMIF(Source_BS!$A:$A,$A58,Source_BS!D:D)</f>
        <v>0</v>
      </c>
      <c r="E58" s="6">
        <f>SUMIF(Source_BS!$A:$A,$A58,Source_BS!E:E)</f>
        <v>694.4</v>
      </c>
      <c r="F58" s="6">
        <f>SUMIF(Source_BS!$A:$A,$A58,Source_BS!F:F)</f>
        <v>694.4</v>
      </c>
      <c r="G58" s="6">
        <f>SUMIF(Source_BS!$A:$A,$A58,Source_BS!G:G)</f>
        <v>740.85</v>
      </c>
      <c r="H58" s="6">
        <f>SUMIF(Source_BS!$A:$A,$A58,Source_BS!H:H)</f>
        <v>0</v>
      </c>
      <c r="I58" s="6">
        <f>SUMIF(Source_BS!$A:$A,$A58,Source_BS!I:I)</f>
        <v>0</v>
      </c>
      <c r="J58" s="6">
        <f>SUMIF(Source_BS!$A:$A,$A58,Source_BS!J:J)</f>
        <v>0</v>
      </c>
      <c r="K58" s="6">
        <f>SUMIF(Source_BS!$A:$A,$A58,Source_BS!K:K)</f>
        <v>0</v>
      </c>
      <c r="L58" s="6">
        <f>SUMIF(Source_BS!$A:$A,$A58,Source_BS!L:L)</f>
        <v>0</v>
      </c>
      <c r="M58" s="6">
        <f>SUMIF(Source_BS!$A:$A,$A58,Source_BS!M:M)</f>
        <v>0</v>
      </c>
    </row>
    <row r="59" spans="1:13" x14ac:dyDescent="0.25">
      <c r="A59" t="s">
        <v>156</v>
      </c>
      <c r="B59" s="6">
        <f>SUMIF(Source_BS!$A:$A,$A59,Source_BS!B:B)</f>
        <v>0</v>
      </c>
      <c r="C59" s="6">
        <f>SUMIF(Source_BS!$A:$A,$A59,Source_BS!C:C)</f>
        <v>6506.06</v>
      </c>
      <c r="D59" s="6">
        <f>SUMIF(Source_BS!$A:$A,$A59,Source_BS!D:D)</f>
        <v>-3472.5299999999997</v>
      </c>
      <c r="E59" s="6">
        <f>SUMIF(Source_BS!$A:$A,$A59,Source_BS!E:E)</f>
        <v>-61.869999999999891</v>
      </c>
      <c r="F59" s="6">
        <f>SUMIF(Source_BS!$A:$A,$A59,Source_BS!F:F)</f>
        <v>1.0658141036401503E-13</v>
      </c>
      <c r="G59" s="6">
        <f>SUMIF(Source_BS!$A:$A,$A59,Source_BS!G:G)</f>
        <v>1.0658141036401503E-13</v>
      </c>
      <c r="H59" s="6">
        <f>SUMIF(Source_BS!$A:$A,$A59,Source_BS!H:H)</f>
        <v>11811.61</v>
      </c>
      <c r="I59" s="6">
        <f>SUMIF(Source_BS!$A:$A,$A59,Source_BS!I:I)</f>
        <v>0</v>
      </c>
      <c r="J59" s="6">
        <f>SUMIF(Source_BS!$A:$A,$A59,Source_BS!J:J)</f>
        <v>0</v>
      </c>
      <c r="K59" s="6">
        <f>SUMIF(Source_BS!$A:$A,$A59,Source_BS!K:K)</f>
        <v>10562.31</v>
      </c>
      <c r="L59" s="6">
        <f>SUMIF(Source_BS!$A:$A,$A59,Source_BS!L:L)</f>
        <v>0</v>
      </c>
      <c r="M59" s="6">
        <f>SUMIF(Source_BS!$A:$A,$A59,Source_BS!M:M)</f>
        <v>0</v>
      </c>
    </row>
    <row r="60" spans="1:13" x14ac:dyDescent="0.25">
      <c r="A60" t="s">
        <v>157</v>
      </c>
      <c r="B60" s="6">
        <f>SUMIF(Source_BS!$A:$A,$A60,Source_BS!B:B)</f>
        <v>4896.88</v>
      </c>
      <c r="C60" s="6">
        <f>SUMIF(Source_BS!$A:$A,$A60,Source_BS!C:C)</f>
        <v>9265.4700000000012</v>
      </c>
      <c r="D60" s="6">
        <f>SUMIF(Source_BS!$A:$A,$A60,Source_BS!D:D)</f>
        <v>9738.69</v>
      </c>
      <c r="E60" s="6">
        <f>SUMIF(Source_BS!$A:$A,$A60,Source_BS!E:E)</f>
        <v>117.54000000000087</v>
      </c>
      <c r="F60" s="6">
        <f>SUMIF(Source_BS!$A:$A,$A60,Source_BS!F:F)</f>
        <v>8.6686213762732223E-13</v>
      </c>
      <c r="G60" s="6">
        <f>SUMIF(Source_BS!$A:$A,$A60,Source_BS!G:G)</f>
        <v>8969.5300000000007</v>
      </c>
      <c r="H60" s="6">
        <f>SUMIF(Source_BS!$A:$A,$A60,Source_BS!H:H)</f>
        <v>7869.2400000000007</v>
      </c>
      <c r="I60" s="6">
        <f>SUMIF(Source_BS!$A:$A,$A60,Source_BS!I:I)</f>
        <v>7608.1600000000008</v>
      </c>
      <c r="J60" s="6">
        <f>SUMIF(Source_BS!$A:$A,$A60,Source_BS!J:J)</f>
        <v>10621.68</v>
      </c>
      <c r="K60" s="6">
        <f>SUMIF(Source_BS!$A:$A,$A60,Source_BS!K:K)</f>
        <v>2171.6200000000008</v>
      </c>
      <c r="L60" s="6">
        <f>SUMIF(Source_BS!$A:$A,$A60,Source_BS!L:L)</f>
        <v>9.0949470177292824E-13</v>
      </c>
      <c r="M60" s="6">
        <f>SUMIF(Source_BS!$A:$A,$A60,Source_BS!M:M)</f>
        <v>11.74000000000091</v>
      </c>
    </row>
    <row r="61" spans="1:13" x14ac:dyDescent="0.25">
      <c r="A61" t="s">
        <v>158</v>
      </c>
      <c r="B61" s="6">
        <f>SUMIF(Source_BS!$A:$A,$A61,Source_BS!B:B)</f>
        <v>1619.52</v>
      </c>
      <c r="C61" s="6">
        <f>SUMIF(Source_BS!$A:$A,$A61,Source_BS!C:C)</f>
        <v>209.98000000000002</v>
      </c>
      <c r="D61" s="6">
        <f>SUMIF(Source_BS!$A:$A,$A61,Source_BS!D:D)</f>
        <v>327.43</v>
      </c>
      <c r="E61" s="6">
        <f>SUMIF(Source_BS!$A:$A,$A61,Source_BS!E:E)</f>
        <v>0</v>
      </c>
      <c r="F61" s="6">
        <f>SUMIF(Source_BS!$A:$A,$A61,Source_BS!F:F)</f>
        <v>0</v>
      </c>
      <c r="G61" s="6">
        <f>SUMIF(Source_BS!$A:$A,$A61,Source_BS!G:G)</f>
        <v>628.16</v>
      </c>
      <c r="H61" s="6">
        <f>SUMIF(Source_BS!$A:$A,$A61,Source_BS!H:H)</f>
        <v>642.79</v>
      </c>
      <c r="I61" s="6">
        <f>SUMIF(Source_BS!$A:$A,$A61,Source_BS!I:I)</f>
        <v>367.99999999999994</v>
      </c>
      <c r="J61" s="6">
        <f>SUMIF(Source_BS!$A:$A,$A61,Source_BS!J:J)</f>
        <v>-5.6843418860808015E-14</v>
      </c>
      <c r="K61" s="6">
        <f>SUMIF(Source_BS!$A:$A,$A61,Source_BS!K:K)</f>
        <v>-5.6843418860808015E-14</v>
      </c>
      <c r="L61" s="6">
        <f>SUMIF(Source_BS!$A:$A,$A61,Source_BS!L:L)</f>
        <v>-5.6843418860808015E-14</v>
      </c>
      <c r="M61" s="6">
        <f>SUMIF(Source_BS!$A:$A,$A61,Source_BS!M:M)</f>
        <v>-5.6843418860808015E-14</v>
      </c>
    </row>
    <row r="62" spans="1:13" x14ac:dyDescent="0.25">
      <c r="A62" t="s">
        <v>159</v>
      </c>
      <c r="B62" s="6">
        <f>SUMIF(Source_BS!$A:$A,$A62,Source_BS!B:B)</f>
        <v>0</v>
      </c>
      <c r="C62" s="6">
        <f>SUMIF(Source_BS!$A:$A,$A62,Source_BS!C:C)</f>
        <v>126.33</v>
      </c>
      <c r="D62" s="6">
        <f>SUMIF(Source_BS!$A:$A,$A62,Source_BS!D:D)</f>
        <v>0</v>
      </c>
      <c r="E62" s="6">
        <f>SUMIF(Source_BS!$A:$A,$A62,Source_BS!E:E)</f>
        <v>0</v>
      </c>
      <c r="F62" s="6">
        <f>SUMIF(Source_BS!$A:$A,$A62,Source_BS!F:F)</f>
        <v>0</v>
      </c>
      <c r="G62" s="6">
        <f>SUMIF(Source_BS!$A:$A,$A62,Source_BS!G:G)</f>
        <v>0</v>
      </c>
      <c r="H62" s="6">
        <f>SUMIF(Source_BS!$A:$A,$A62,Source_BS!H:H)</f>
        <v>0</v>
      </c>
      <c r="I62" s="6">
        <f>SUMIF(Source_BS!$A:$A,$A62,Source_BS!I:I)</f>
        <v>336.64</v>
      </c>
      <c r="J62" s="6">
        <f>SUMIF(Source_BS!$A:$A,$A62,Source_BS!J:J)</f>
        <v>46.629999999999995</v>
      </c>
      <c r="K62" s="6">
        <f>SUMIF(Source_BS!$A:$A,$A62,Source_BS!K:K)</f>
        <v>-7.1054273576010019E-15</v>
      </c>
      <c r="L62" s="6">
        <f>SUMIF(Source_BS!$A:$A,$A62,Source_BS!L:L)</f>
        <v>-7.1054273576010019E-15</v>
      </c>
      <c r="M62" s="6">
        <f>SUMIF(Source_BS!$A:$A,$A62,Source_BS!M:M)</f>
        <v>-7.1054273576010019E-15</v>
      </c>
    </row>
    <row r="63" spans="1:13" x14ac:dyDescent="0.25">
      <c r="A63" t="s">
        <v>160</v>
      </c>
      <c r="B63" s="6">
        <f>SUMIF(Source_BS!$A:$A,$A63,Source_BS!B:B)</f>
        <v>0</v>
      </c>
      <c r="C63" s="6">
        <f>SUMIF(Source_BS!$A:$A,$A63,Source_BS!C:C)</f>
        <v>0</v>
      </c>
      <c r="D63" s="6">
        <f>SUMIF(Source_BS!$A:$A,$A63,Source_BS!D:D)</f>
        <v>30.56</v>
      </c>
      <c r="E63" s="6">
        <f>SUMIF(Source_BS!$A:$A,$A63,Source_BS!E:E)</f>
        <v>0</v>
      </c>
      <c r="F63" s="6">
        <f>SUMIF(Source_BS!$A:$A,$A63,Source_BS!F:F)</f>
        <v>0</v>
      </c>
      <c r="G63" s="6">
        <f>SUMIF(Source_BS!$A:$A,$A63,Source_BS!G:G)</f>
        <v>23.17</v>
      </c>
      <c r="H63" s="6">
        <f>SUMIF(Source_BS!$A:$A,$A63,Source_BS!H:H)</f>
        <v>0</v>
      </c>
      <c r="I63" s="6">
        <f>SUMIF(Source_BS!$A:$A,$A63,Source_BS!I:I)</f>
        <v>0</v>
      </c>
      <c r="J63" s="6">
        <f>SUMIF(Source_BS!$A:$A,$A63,Source_BS!J:J)</f>
        <v>0</v>
      </c>
      <c r="K63" s="6">
        <f>SUMIF(Source_BS!$A:$A,$A63,Source_BS!K:K)</f>
        <v>0</v>
      </c>
      <c r="L63" s="6">
        <f>SUMIF(Source_BS!$A:$A,$A63,Source_BS!L:L)</f>
        <v>0</v>
      </c>
      <c r="M63" s="6">
        <f>SUMIF(Source_BS!$A:$A,$A63,Source_BS!M:M)</f>
        <v>0</v>
      </c>
    </row>
    <row r="64" spans="1:13" x14ac:dyDescent="0.25">
      <c r="A64" t="s">
        <v>161</v>
      </c>
      <c r="B64" s="6">
        <f>SUMIF(Source_BS!$A:$A,$A64,Source_BS!B:B)</f>
        <v>67.039999999999992</v>
      </c>
      <c r="C64" s="6">
        <f>SUMIF(Source_BS!$A:$A,$A64,Source_BS!C:C)</f>
        <v>-1.4210854715202004E-14</v>
      </c>
      <c r="D64" s="6">
        <f>SUMIF(Source_BS!$A:$A,$A64,Source_BS!D:D)</f>
        <v>-1.4210854715202004E-14</v>
      </c>
      <c r="E64" s="6">
        <f>SUMIF(Source_BS!$A:$A,$A64,Source_BS!E:E)</f>
        <v>-1.4210854715202004E-14</v>
      </c>
      <c r="F64" s="6">
        <f>SUMIF(Source_BS!$A:$A,$A64,Source_BS!F:F)</f>
        <v>-1.4210854715202004E-14</v>
      </c>
      <c r="G64" s="6">
        <f>SUMIF(Source_BS!$A:$A,$A64,Source_BS!G:G)</f>
        <v>-1.4210854715202004E-14</v>
      </c>
      <c r="H64" s="6">
        <f>SUMIF(Source_BS!$A:$A,$A64,Source_BS!H:H)</f>
        <v>-1.4210854715202004E-14</v>
      </c>
      <c r="I64" s="6">
        <f>SUMIF(Source_BS!$A:$A,$A64,Source_BS!I:I)</f>
        <v>-1.4210854715202004E-14</v>
      </c>
      <c r="J64" s="6">
        <f>SUMIF(Source_BS!$A:$A,$A64,Source_BS!J:J)</f>
        <v>-1.4210854715202004E-14</v>
      </c>
      <c r="K64" s="6">
        <f>SUMIF(Source_BS!$A:$A,$A64,Source_BS!K:K)</f>
        <v>-1.4210854715202004E-14</v>
      </c>
      <c r="L64" s="6">
        <f>SUMIF(Source_BS!$A:$A,$A64,Source_BS!L:L)</f>
        <v>-1.4210854715202004E-14</v>
      </c>
      <c r="M64" s="6">
        <f>SUMIF(Source_BS!$A:$A,$A64,Source_BS!M:M)</f>
        <v>-1.4210854715202004E-14</v>
      </c>
    </row>
    <row r="65" spans="1:13" x14ac:dyDescent="0.25">
      <c r="A65" t="s">
        <v>162</v>
      </c>
      <c r="B65" s="6">
        <f>SUMIF(Source_BS!$A:$A,$A65,Source_BS!B:B)</f>
        <v>7556.7199999999993</v>
      </c>
      <c r="C65" s="6">
        <f>SUMIF(Source_BS!$A:$A,$A65,Source_BS!C:C)</f>
        <v>7536.1299999999992</v>
      </c>
      <c r="D65" s="6">
        <f>SUMIF(Source_BS!$A:$A,$A65,Source_BS!D:D)</f>
        <v>-9.0949470177292824E-13</v>
      </c>
      <c r="E65" s="6">
        <f>SUMIF(Source_BS!$A:$A,$A65,Source_BS!E:E)</f>
        <v>-9.0949470177292824E-13</v>
      </c>
      <c r="F65" s="6">
        <f>SUMIF(Source_BS!$A:$A,$A65,Source_BS!F:F)</f>
        <v>-9.0949470177292824E-13</v>
      </c>
      <c r="G65" s="6">
        <f>SUMIF(Source_BS!$A:$A,$A65,Source_BS!G:G)</f>
        <v>-9.0949470177292824E-13</v>
      </c>
      <c r="H65" s="6">
        <f>SUMIF(Source_BS!$A:$A,$A65,Source_BS!H:H)</f>
        <v>-9.0949470177292824E-13</v>
      </c>
      <c r="I65" s="6">
        <f>SUMIF(Source_BS!$A:$A,$A65,Source_BS!I:I)</f>
        <v>-9.0949470177292824E-13</v>
      </c>
      <c r="J65" s="6">
        <f>SUMIF(Source_BS!$A:$A,$A65,Source_BS!J:J)</f>
        <v>49.999999999999091</v>
      </c>
      <c r="K65" s="6">
        <f>SUMIF(Source_BS!$A:$A,$A65,Source_BS!K:K)</f>
        <v>-9.0949470177292824E-13</v>
      </c>
      <c r="L65" s="6">
        <f>SUMIF(Source_BS!$A:$A,$A65,Source_BS!L:L)</f>
        <v>-9.0949470177292824E-13</v>
      </c>
      <c r="M65" s="6">
        <f>SUMIF(Source_BS!$A:$A,$A65,Source_BS!M:M)</f>
        <v>-9.0949470177292824E-13</v>
      </c>
    </row>
    <row r="66" spans="1:13" x14ac:dyDescent="0.25">
      <c r="A66" s="7" t="s">
        <v>163</v>
      </c>
      <c r="B66" s="9">
        <f>SUMIF(Source_BS!$A:$A,$A66,Source_BS!B:B)</f>
        <v>93478.98</v>
      </c>
      <c r="C66" s="9">
        <f>SUMIF(Source_BS!$A:$A,$A66,Source_BS!C:C)</f>
        <v>71361.33</v>
      </c>
      <c r="D66" s="9">
        <f>SUMIF(Source_BS!$A:$A,$A66,Source_BS!D:D)</f>
        <v>21476.500000000004</v>
      </c>
      <c r="E66" s="9">
        <f>SUMIF(Source_BS!$A:$A,$A66,Source_BS!E:E)</f>
        <v>16169.45</v>
      </c>
      <c r="F66" s="9">
        <f>SUMIF(Source_BS!$A:$A,$A66,Source_BS!F:F)</f>
        <v>26804.660000000003</v>
      </c>
      <c r="G66" s="9">
        <f>SUMIF(Source_BS!$A:$A,$A66,Source_BS!G:G)</f>
        <v>41310.590000000004</v>
      </c>
      <c r="H66" s="9">
        <f>SUMIF(Source_BS!$A:$A,$A66,Source_BS!H:H)</f>
        <v>67629.87999999999</v>
      </c>
      <c r="I66" s="9">
        <f>SUMIF(Source_BS!$A:$A,$A66,Source_BS!I:I)</f>
        <v>40634.89</v>
      </c>
      <c r="J66" s="9">
        <f>SUMIF(Source_BS!$A:$A,$A66,Source_BS!J:J)</f>
        <v>52823.029999999992</v>
      </c>
      <c r="K66" s="9">
        <f>SUMIF(Source_BS!$A:$A,$A66,Source_BS!K:K)</f>
        <v>61435.219999999994</v>
      </c>
      <c r="L66" s="9">
        <f>SUMIF(Source_BS!$A:$A,$A66,Source_BS!L:L)</f>
        <v>26508.69999999999</v>
      </c>
      <c r="M66" s="9">
        <f>SUMIF(Source_BS!$A:$A,$A66,Source_BS!M:M)</f>
        <v>58476.969999999994</v>
      </c>
    </row>
    <row r="67" spans="1:13" x14ac:dyDescent="0.25">
      <c r="A67" t="s">
        <v>164</v>
      </c>
      <c r="B67" s="6">
        <f>SUMIF(Source_BS!$A:$A,$A67,Source_BS!B:B)</f>
        <v>0</v>
      </c>
      <c r="C67" s="6">
        <f>SUMIF(Source_BS!$A:$A,$A67,Source_BS!C:C)</f>
        <v>0</v>
      </c>
      <c r="D67" s="6">
        <f>SUMIF(Source_BS!$A:$A,$A67,Source_BS!D:D)</f>
        <v>0</v>
      </c>
      <c r="E67" s="6">
        <f>SUMIF(Source_BS!$A:$A,$A67,Source_BS!E:E)</f>
        <v>0</v>
      </c>
      <c r="F67" s="6">
        <f>SUMIF(Source_BS!$A:$A,$A67,Source_BS!F:F)</f>
        <v>0</v>
      </c>
      <c r="G67" s="6">
        <f>SUMIF(Source_BS!$A:$A,$A67,Source_BS!G:G)</f>
        <v>0</v>
      </c>
      <c r="H67" s="6">
        <f>SUMIF(Source_BS!$A:$A,$A67,Source_BS!H:H)</f>
        <v>0</v>
      </c>
      <c r="I67" s="6">
        <f>SUMIF(Source_BS!$A:$A,$A67,Source_BS!I:I)</f>
        <v>0</v>
      </c>
      <c r="J67" s="6">
        <f>SUMIF(Source_BS!$A:$A,$A67,Source_BS!J:J)</f>
        <v>0</v>
      </c>
      <c r="K67" s="6">
        <f>SUMIF(Source_BS!$A:$A,$A67,Source_BS!K:K)</f>
        <v>0</v>
      </c>
      <c r="L67" s="6">
        <f>SUMIF(Source_BS!$A:$A,$A67,Source_BS!L:L)</f>
        <v>0</v>
      </c>
      <c r="M67" s="6">
        <f>SUMIF(Source_BS!$A:$A,$A67,Source_BS!M:M)</f>
        <v>0</v>
      </c>
    </row>
    <row r="68" spans="1:13" x14ac:dyDescent="0.25">
      <c r="A68" t="s">
        <v>165</v>
      </c>
      <c r="B68" s="6">
        <f>SUMIF(Source_BS!$A:$A,$A68,Source_BS!B:B)</f>
        <v>210000</v>
      </c>
      <c r="C68" s="6">
        <f>SUMIF(Source_BS!$A:$A,$A68,Source_BS!C:C)</f>
        <v>360000</v>
      </c>
      <c r="D68" s="6">
        <f>SUMIF(Source_BS!$A:$A,$A68,Source_BS!D:D)</f>
        <v>375707.44</v>
      </c>
      <c r="E68" s="6">
        <f>SUMIF(Source_BS!$A:$A,$A68,Source_BS!E:E)</f>
        <v>375707.44</v>
      </c>
      <c r="F68" s="6">
        <f>SUMIF(Source_BS!$A:$A,$A68,Source_BS!F:F)</f>
        <v>367707.44</v>
      </c>
      <c r="G68" s="6">
        <f>SUMIF(Source_BS!$A:$A,$A68,Source_BS!G:G)</f>
        <v>215707.44</v>
      </c>
      <c r="H68" s="6">
        <f>SUMIF(Source_BS!$A:$A,$A68,Source_BS!H:H)</f>
        <v>255707.44</v>
      </c>
      <c r="I68" s="6">
        <f>SUMIF(Source_BS!$A:$A,$A68,Source_BS!I:I)</f>
        <v>318000</v>
      </c>
      <c r="J68" s="6">
        <f>SUMIF(Source_BS!$A:$A,$A68,Source_BS!J:J)</f>
        <v>360000</v>
      </c>
      <c r="K68" s="6">
        <f>SUMIF(Source_BS!$A:$A,$A68,Source_BS!K:K)</f>
        <v>360000</v>
      </c>
      <c r="L68" s="6">
        <f>SUMIF(Source_BS!$A:$A,$A68,Source_BS!L:L)</f>
        <v>400000</v>
      </c>
      <c r="M68" s="6">
        <f>SUMIF(Source_BS!$A:$A,$A68,Source_BS!M:M)</f>
        <v>400000</v>
      </c>
    </row>
    <row r="69" spans="1:13" x14ac:dyDescent="0.25">
      <c r="A69" t="s">
        <v>166</v>
      </c>
      <c r="B69" s="6">
        <f>SUMIF(Source_BS!$A:$A,$A69,Source_BS!B:B)</f>
        <v>0</v>
      </c>
      <c r="C69" s="6">
        <f>SUMIF(Source_BS!$A:$A,$A69,Source_BS!C:C)</f>
        <v>0</v>
      </c>
      <c r="D69" s="6">
        <f>SUMIF(Source_BS!$A:$A,$A69,Source_BS!D:D)</f>
        <v>17533.63</v>
      </c>
      <c r="E69" s="6">
        <f>SUMIF(Source_BS!$A:$A,$A69,Source_BS!E:E)</f>
        <v>-14640.48</v>
      </c>
      <c r="F69" s="6">
        <f>SUMIF(Source_BS!$A:$A,$A69,Source_BS!F:F)</f>
        <v>-14640.48</v>
      </c>
      <c r="G69" s="6">
        <f>SUMIF(Source_BS!$A:$A,$A69,Source_BS!G:G)</f>
        <v>-14822.48</v>
      </c>
      <c r="H69" s="6">
        <f>SUMIF(Source_BS!$A:$A,$A69,Source_BS!H:H)</f>
        <v>-14822.48</v>
      </c>
      <c r="I69" s="6">
        <f>SUMIF(Source_BS!$A:$A,$A69,Source_BS!I:I)</f>
        <v>-14822.48</v>
      </c>
      <c r="J69" s="6">
        <f>SUMIF(Source_BS!$A:$A,$A69,Source_BS!J:J)</f>
        <v>-14822.48</v>
      </c>
      <c r="K69" s="6">
        <f>SUMIF(Source_BS!$A:$A,$A69,Source_BS!K:K)</f>
        <v>-14822.48</v>
      </c>
      <c r="L69" s="6">
        <f>SUMIF(Source_BS!$A:$A,$A69,Source_BS!L:L)</f>
        <v>-14822.48</v>
      </c>
      <c r="M69" s="6">
        <f>SUMIF(Source_BS!$A:$A,$A69,Source_BS!M:M)</f>
        <v>0</v>
      </c>
    </row>
    <row r="70" spans="1:13" x14ac:dyDescent="0.25">
      <c r="A70" t="s">
        <v>167</v>
      </c>
      <c r="B70" s="6">
        <f>SUMIF(Source_BS!$A:$A,$A70,Source_BS!B:B)</f>
        <v>0</v>
      </c>
      <c r="C70" s="6">
        <f>SUMIF(Source_BS!$A:$A,$A70,Source_BS!C:C)</f>
        <v>0</v>
      </c>
      <c r="D70" s="6">
        <f>SUMIF(Source_BS!$A:$A,$A70,Source_BS!D:D)</f>
        <v>0</v>
      </c>
      <c r="E70" s="6">
        <f>SUMIF(Source_BS!$A:$A,$A70,Source_BS!E:E)</f>
        <v>0</v>
      </c>
      <c r="F70" s="6">
        <f>SUMIF(Source_BS!$A:$A,$A70,Source_BS!F:F)</f>
        <v>0</v>
      </c>
      <c r="G70" s="6">
        <f>SUMIF(Source_BS!$A:$A,$A70,Source_BS!G:G)</f>
        <v>0</v>
      </c>
      <c r="H70" s="6">
        <f>SUMIF(Source_BS!$A:$A,$A70,Source_BS!H:H)</f>
        <v>0</v>
      </c>
      <c r="I70" s="6">
        <f>SUMIF(Source_BS!$A:$A,$A70,Source_BS!I:I)</f>
        <v>0</v>
      </c>
      <c r="J70" s="6">
        <f>SUMIF(Source_BS!$A:$A,$A70,Source_BS!J:J)</f>
        <v>0</v>
      </c>
      <c r="K70" s="6">
        <f>SUMIF(Source_BS!$A:$A,$A70,Source_BS!K:K)</f>
        <v>0</v>
      </c>
      <c r="L70" s="6">
        <f>SUMIF(Source_BS!$A:$A,$A70,Source_BS!L:L)</f>
        <v>0</v>
      </c>
      <c r="M70" s="6">
        <f>SUMIF(Source_BS!$A:$A,$A70,Source_BS!M:M)</f>
        <v>0</v>
      </c>
    </row>
    <row r="71" spans="1:13" x14ac:dyDescent="0.25">
      <c r="A71" t="s">
        <v>168</v>
      </c>
      <c r="B71" s="6">
        <f>SUMIF(Source_BS!$A:$A,$A71,Source_BS!B:B)</f>
        <v>32174.11</v>
      </c>
      <c r="C71" s="6">
        <f>SUMIF(Source_BS!$A:$A,$A71,Source_BS!C:C)</f>
        <v>32174.11</v>
      </c>
      <c r="D71" s="6">
        <f>SUMIF(Source_BS!$A:$A,$A71,Source_BS!D:D)</f>
        <v>31648.95</v>
      </c>
      <c r="E71" s="6">
        <f>SUMIF(Source_BS!$A:$A,$A71,Source_BS!E:E)</f>
        <v>32380.280000000002</v>
      </c>
      <c r="F71" s="6">
        <f>SUMIF(Source_BS!$A:$A,$A71,Source_BS!F:F)</f>
        <v>15061.220000000001</v>
      </c>
      <c r="G71" s="6">
        <f>SUMIF(Source_BS!$A:$A,$A71,Source_BS!G:G)</f>
        <v>15061.220000000001</v>
      </c>
      <c r="H71" s="6">
        <f>SUMIF(Source_BS!$A:$A,$A71,Source_BS!H:H)</f>
        <v>15061.220000000001</v>
      </c>
      <c r="I71" s="6">
        <f>SUMIF(Source_BS!$A:$A,$A71,Source_BS!I:I)</f>
        <v>33832.43</v>
      </c>
      <c r="J71" s="6">
        <f>SUMIF(Source_BS!$A:$A,$A71,Source_BS!J:J)</f>
        <v>37046.629999999997</v>
      </c>
      <c r="K71" s="6">
        <f>SUMIF(Source_BS!$A:$A,$A71,Source_BS!K:K)</f>
        <v>15061.219999999998</v>
      </c>
      <c r="L71" s="6">
        <f>SUMIF(Source_BS!$A:$A,$A71,Source_BS!L:L)</f>
        <v>15061.219999999998</v>
      </c>
      <c r="M71" s="6">
        <f>SUMIF(Source_BS!$A:$A,$A71,Source_BS!M:M)</f>
        <v>-1.8189894035458565E-12</v>
      </c>
    </row>
    <row r="72" spans="1:13" x14ac:dyDescent="0.25">
      <c r="A72" t="s">
        <v>169</v>
      </c>
      <c r="B72" s="6">
        <f>SUMIF(Source_BS!$A:$A,$A72,Source_BS!B:B)</f>
        <v>546</v>
      </c>
      <c r="C72" s="6">
        <f>SUMIF(Source_BS!$A:$A,$A72,Source_BS!C:C)</f>
        <v>821.6</v>
      </c>
      <c r="D72" s="6">
        <f>SUMIF(Source_BS!$A:$A,$A72,Source_BS!D:D)</f>
        <v>947.49</v>
      </c>
      <c r="E72" s="6">
        <f>SUMIF(Source_BS!$A:$A,$A72,Source_BS!E:E)</f>
        <v>-122.52999999999997</v>
      </c>
      <c r="F72" s="6">
        <f>SUMIF(Source_BS!$A:$A,$A72,Source_BS!F:F)</f>
        <v>-118.08999999999997</v>
      </c>
      <c r="G72" s="6">
        <f>SUMIF(Source_BS!$A:$A,$A72,Source_BS!G:G)</f>
        <v>-67.259999999999977</v>
      </c>
      <c r="H72" s="6">
        <f>SUMIF(Source_BS!$A:$A,$A72,Source_BS!H:H)</f>
        <v>-33.219999999999978</v>
      </c>
      <c r="I72" s="6">
        <f>SUMIF(Source_BS!$A:$A,$A72,Source_BS!I:I)</f>
        <v>-28.349999999999977</v>
      </c>
      <c r="J72" s="6">
        <f>SUMIF(Source_BS!$A:$A,$A72,Source_BS!J:J)</f>
        <v>17.860000000000024</v>
      </c>
      <c r="K72" s="6">
        <f>SUMIF(Source_BS!$A:$A,$A72,Source_BS!K:K)</f>
        <v>88.270000000000024</v>
      </c>
      <c r="L72" s="6">
        <f>SUMIF(Source_BS!$A:$A,$A72,Source_BS!L:L)</f>
        <v>254.82000000000005</v>
      </c>
      <c r="M72" s="6">
        <f>SUMIF(Source_BS!$A:$A,$A72,Source_BS!M:M)</f>
        <v>599.23</v>
      </c>
    </row>
    <row r="73" spans="1:13" x14ac:dyDescent="0.25">
      <c r="A73" t="s">
        <v>170</v>
      </c>
      <c r="B73" s="6">
        <f>SUMIF(Source_BS!$A:$A,$A73,Source_BS!B:B)</f>
        <v>11107.67</v>
      </c>
      <c r="C73" s="6">
        <f>SUMIF(Source_BS!$A:$A,$A73,Source_BS!C:C)</f>
        <v>15942.2</v>
      </c>
      <c r="D73" s="6">
        <f>SUMIF(Source_BS!$A:$A,$A73,Source_BS!D:D)</f>
        <v>17170.580000000002</v>
      </c>
      <c r="E73" s="6">
        <f>SUMIF(Source_BS!$A:$A,$A73,Source_BS!E:E)</f>
        <v>14831.880000000001</v>
      </c>
      <c r="F73" s="6">
        <f>SUMIF(Source_BS!$A:$A,$A73,Source_BS!F:F)</f>
        <v>14906.95</v>
      </c>
      <c r="G73" s="6">
        <f>SUMIF(Source_BS!$A:$A,$A73,Source_BS!G:G)</f>
        <v>14896.83</v>
      </c>
      <c r="H73" s="6">
        <f>SUMIF(Source_BS!$A:$A,$A73,Source_BS!H:H)</f>
        <v>14768.91</v>
      </c>
      <c r="I73" s="6">
        <f>SUMIF(Source_BS!$A:$A,$A73,Source_BS!I:I)</f>
        <v>17559.89</v>
      </c>
      <c r="J73" s="6">
        <f>SUMIF(Source_BS!$A:$A,$A73,Source_BS!J:J)</f>
        <v>15549.8</v>
      </c>
      <c r="K73" s="6">
        <f>SUMIF(Source_BS!$A:$A,$A73,Source_BS!K:K)</f>
        <v>16389.649999999998</v>
      </c>
      <c r="L73" s="6">
        <f>SUMIF(Source_BS!$A:$A,$A73,Source_BS!L:L)</f>
        <v>17945.689999999999</v>
      </c>
      <c r="M73" s="6">
        <f>SUMIF(Source_BS!$A:$A,$A73,Source_BS!M:M)</f>
        <v>7005.3299999999981</v>
      </c>
    </row>
    <row r="74" spans="1:13" x14ac:dyDescent="0.25">
      <c r="A74" t="s">
        <v>171</v>
      </c>
      <c r="B74" s="6">
        <f>SUMIF(Source_BS!$A:$A,$A74,Source_BS!B:B)</f>
        <v>185.55</v>
      </c>
      <c r="C74" s="6">
        <f>SUMIF(Source_BS!$A:$A,$A74,Source_BS!C:C)</f>
        <v>271.78000000000003</v>
      </c>
      <c r="D74" s="6">
        <f>SUMIF(Source_BS!$A:$A,$A74,Source_BS!D:D)</f>
        <v>-604.71</v>
      </c>
      <c r="E74" s="6">
        <f>SUMIF(Source_BS!$A:$A,$A74,Source_BS!E:E)</f>
        <v>-922.32</v>
      </c>
      <c r="F74" s="6">
        <f>SUMIF(Source_BS!$A:$A,$A74,Source_BS!F:F)</f>
        <v>-917.88</v>
      </c>
      <c r="G74" s="6">
        <f>SUMIF(Source_BS!$A:$A,$A74,Source_BS!G:G)</f>
        <v>-915.18</v>
      </c>
      <c r="H74" s="6">
        <f>SUMIF(Source_BS!$A:$A,$A74,Source_BS!H:H)</f>
        <v>-936.62</v>
      </c>
      <c r="I74" s="6">
        <f>SUMIF(Source_BS!$A:$A,$A74,Source_BS!I:I)</f>
        <v>-935.41</v>
      </c>
      <c r="J74" s="6">
        <f>SUMIF(Source_BS!$A:$A,$A74,Source_BS!J:J)</f>
        <v>-920.01</v>
      </c>
      <c r="K74" s="6">
        <f>SUMIF(Source_BS!$A:$A,$A74,Source_BS!K:K)</f>
        <v>-926.45</v>
      </c>
      <c r="L74" s="6">
        <f>SUMIF(Source_BS!$A:$A,$A74,Source_BS!L:L)</f>
        <v>-894.86</v>
      </c>
      <c r="M74" s="6">
        <f>SUMIF(Source_BS!$A:$A,$A74,Source_BS!M:M)</f>
        <v>70.569999999999936</v>
      </c>
    </row>
    <row r="75" spans="1:13" x14ac:dyDescent="0.25">
      <c r="A75" t="s">
        <v>172</v>
      </c>
      <c r="B75" s="6">
        <f>SUMIF(Source_BS!$A:$A,$A75,Source_BS!B:B)</f>
        <v>549.91</v>
      </c>
      <c r="C75" s="6">
        <f>SUMIF(Source_BS!$A:$A,$A75,Source_BS!C:C)</f>
        <v>598.47</v>
      </c>
      <c r="D75" s="6">
        <f>SUMIF(Source_BS!$A:$A,$A75,Source_BS!D:D)</f>
        <v>977.02</v>
      </c>
      <c r="E75" s="6">
        <f>SUMIF(Source_BS!$A:$A,$A75,Source_BS!E:E)</f>
        <v>594</v>
      </c>
      <c r="F75" s="6">
        <f>SUMIF(Source_BS!$A:$A,$A75,Source_BS!F:F)</f>
        <v>657.4</v>
      </c>
      <c r="G75" s="6">
        <f>SUMIF(Source_BS!$A:$A,$A75,Source_BS!G:G)</f>
        <v>653.86</v>
      </c>
      <c r="H75" s="6">
        <f>SUMIF(Source_BS!$A:$A,$A75,Source_BS!H:H)</f>
        <v>983.88</v>
      </c>
      <c r="I75" s="6">
        <f>SUMIF(Source_BS!$A:$A,$A75,Source_BS!I:I)</f>
        <v>2198.0500000000002</v>
      </c>
      <c r="J75" s="6">
        <f>SUMIF(Source_BS!$A:$A,$A75,Source_BS!J:J)</f>
        <v>1354.46</v>
      </c>
      <c r="K75" s="6">
        <f>SUMIF(Source_BS!$A:$A,$A75,Source_BS!K:K)</f>
        <v>1656.17</v>
      </c>
      <c r="L75" s="6">
        <f>SUMIF(Source_BS!$A:$A,$A75,Source_BS!L:L)</f>
        <v>2067.25</v>
      </c>
      <c r="M75" s="6">
        <f>SUMIF(Source_BS!$A:$A,$A75,Source_BS!M:M)</f>
        <v>2811.42</v>
      </c>
    </row>
    <row r="76" spans="1:13" x14ac:dyDescent="0.25">
      <c r="A76" t="s">
        <v>173</v>
      </c>
      <c r="B76" s="6">
        <f>SUMIF(Source_BS!$A:$A,$A76,Source_BS!B:B)</f>
        <v>287.69</v>
      </c>
      <c r="C76" s="6">
        <f>SUMIF(Source_BS!$A:$A,$A76,Source_BS!C:C)</f>
        <v>464.34000000000003</v>
      </c>
      <c r="D76" s="6">
        <f>SUMIF(Source_BS!$A:$A,$A76,Source_BS!D:D)</f>
        <v>513</v>
      </c>
      <c r="E76" s="6">
        <f>SUMIF(Source_BS!$A:$A,$A76,Source_BS!E:E)</f>
        <v>0</v>
      </c>
      <c r="F76" s="6">
        <f>SUMIF(Source_BS!$A:$A,$A76,Source_BS!F:F)</f>
        <v>0</v>
      </c>
      <c r="G76" s="6">
        <f>SUMIF(Source_BS!$A:$A,$A76,Source_BS!G:G)</f>
        <v>264.99</v>
      </c>
      <c r="H76" s="6">
        <f>SUMIF(Source_BS!$A:$A,$A76,Source_BS!H:H)</f>
        <v>174.93</v>
      </c>
      <c r="I76" s="6">
        <f>SUMIF(Source_BS!$A:$A,$A76,Source_BS!I:I)</f>
        <v>248.01</v>
      </c>
      <c r="J76" s="6">
        <f>SUMIF(Source_BS!$A:$A,$A76,Source_BS!J:J)</f>
        <v>248.01</v>
      </c>
      <c r="K76" s="6">
        <f>SUMIF(Source_BS!$A:$A,$A76,Source_BS!K:K)</f>
        <v>206.5</v>
      </c>
      <c r="L76" s="6">
        <f>SUMIF(Source_BS!$A:$A,$A76,Source_BS!L:L)</f>
        <v>613.55999999999995</v>
      </c>
      <c r="M76" s="6">
        <f>SUMIF(Source_BS!$A:$A,$A76,Source_BS!M:M)</f>
        <v>1216.28</v>
      </c>
    </row>
    <row r="77" spans="1:13" x14ac:dyDescent="0.25">
      <c r="A77" t="s">
        <v>174</v>
      </c>
      <c r="B77" s="6">
        <f>SUMIF(Source_BS!$A:$A,$A77,Source_BS!B:B)</f>
        <v>167.5</v>
      </c>
      <c r="C77" s="6">
        <f>SUMIF(Source_BS!$A:$A,$A77,Source_BS!C:C)</f>
        <v>583.20000000000005</v>
      </c>
      <c r="D77" s="6">
        <f>SUMIF(Source_BS!$A:$A,$A77,Source_BS!D:D)</f>
        <v>1206.06</v>
      </c>
      <c r="E77" s="6">
        <f>SUMIF(Source_BS!$A:$A,$A77,Source_BS!E:E)</f>
        <v>413.03999999999996</v>
      </c>
      <c r="F77" s="6">
        <f>SUMIF(Source_BS!$A:$A,$A77,Source_BS!F:F)</f>
        <v>826.07999999999993</v>
      </c>
      <c r="G77" s="6">
        <f>SUMIF(Source_BS!$A:$A,$A77,Source_BS!G:G)</f>
        <v>1239.1199999999999</v>
      </c>
      <c r="H77" s="6">
        <f>SUMIF(Source_BS!$A:$A,$A77,Source_BS!H:H)</f>
        <v>413.03999999999985</v>
      </c>
      <c r="I77" s="6">
        <f>SUMIF(Source_BS!$A:$A,$A77,Source_BS!I:I)</f>
        <v>1052.1599999999999</v>
      </c>
      <c r="J77" s="6">
        <f>SUMIF(Source_BS!$A:$A,$A77,Source_BS!J:J)</f>
        <v>1496.9899999999998</v>
      </c>
      <c r="K77" s="6">
        <f>SUMIF(Source_BS!$A:$A,$A77,Source_BS!K:K)</f>
        <v>457.05999999999972</v>
      </c>
      <c r="L77" s="6">
        <f>SUMIF(Source_BS!$A:$A,$A77,Source_BS!L:L)</f>
        <v>914.11999999999966</v>
      </c>
      <c r="M77" s="6">
        <f>SUMIF(Source_BS!$A:$A,$A77,Source_BS!M:M)</f>
        <v>1371.1799999999996</v>
      </c>
    </row>
    <row r="78" spans="1:13" x14ac:dyDescent="0.25">
      <c r="A78" t="s">
        <v>175</v>
      </c>
      <c r="B78" s="6">
        <f>SUMIF(Source_BS!$A:$A,$A78,Source_BS!B:B)</f>
        <v>0</v>
      </c>
      <c r="C78" s="6">
        <f>SUMIF(Source_BS!$A:$A,$A78,Source_BS!C:C)</f>
        <v>195.46</v>
      </c>
      <c r="D78" s="6">
        <f>SUMIF(Source_BS!$A:$A,$A78,Source_BS!D:D)</f>
        <v>221</v>
      </c>
      <c r="E78" s="6">
        <f>SUMIF(Source_BS!$A:$A,$A78,Source_BS!E:E)</f>
        <v>221</v>
      </c>
      <c r="F78" s="6">
        <f>SUMIF(Source_BS!$A:$A,$A78,Source_BS!F:F)</f>
        <v>0</v>
      </c>
      <c r="G78" s="6">
        <f>SUMIF(Source_BS!$A:$A,$A78,Source_BS!G:G)</f>
        <v>0</v>
      </c>
      <c r="H78" s="6">
        <f>SUMIF(Source_BS!$A:$A,$A78,Source_BS!H:H)</f>
        <v>0</v>
      </c>
      <c r="I78" s="6">
        <f>SUMIF(Source_BS!$A:$A,$A78,Source_BS!I:I)</f>
        <v>0</v>
      </c>
      <c r="J78" s="6">
        <f>SUMIF(Source_BS!$A:$A,$A78,Source_BS!J:J)</f>
        <v>0</v>
      </c>
      <c r="K78" s="6">
        <f>SUMIF(Source_BS!$A:$A,$A78,Source_BS!K:K)</f>
        <v>0</v>
      </c>
      <c r="L78" s="6">
        <f>SUMIF(Source_BS!$A:$A,$A78,Source_BS!L:L)</f>
        <v>0</v>
      </c>
      <c r="M78" s="6">
        <f>SUMIF(Source_BS!$A:$A,$A78,Source_BS!M:M)</f>
        <v>0</v>
      </c>
    </row>
    <row r="79" spans="1:13" x14ac:dyDescent="0.25">
      <c r="A79" t="s">
        <v>176</v>
      </c>
      <c r="B79" s="6">
        <f>SUMIF(Source_BS!$A:$A,$A79,Source_BS!B:B)</f>
        <v>402.25</v>
      </c>
      <c r="C79" s="6">
        <f>SUMIF(Source_BS!$A:$A,$A79,Source_BS!C:C)</f>
        <v>502.62</v>
      </c>
      <c r="D79" s="6">
        <f>SUMIF(Source_BS!$A:$A,$A79,Source_BS!D:D)</f>
        <v>567</v>
      </c>
      <c r="E79" s="6">
        <f>SUMIF(Source_BS!$A:$A,$A79,Source_BS!E:E)</f>
        <v>0</v>
      </c>
      <c r="F79" s="6">
        <f>SUMIF(Source_BS!$A:$A,$A79,Source_BS!F:F)</f>
        <v>0</v>
      </c>
      <c r="G79" s="6">
        <f>SUMIF(Source_BS!$A:$A,$A79,Source_BS!G:G)</f>
        <v>0</v>
      </c>
      <c r="H79" s="6">
        <f>SUMIF(Source_BS!$A:$A,$A79,Source_BS!H:H)</f>
        <v>0</v>
      </c>
      <c r="I79" s="6">
        <f>SUMIF(Source_BS!$A:$A,$A79,Source_BS!I:I)</f>
        <v>0</v>
      </c>
      <c r="J79" s="6">
        <f>SUMIF(Source_BS!$A:$A,$A79,Source_BS!J:J)</f>
        <v>0</v>
      </c>
      <c r="K79" s="6">
        <f>SUMIF(Source_BS!$A:$A,$A79,Source_BS!K:K)</f>
        <v>0</v>
      </c>
      <c r="L79" s="6">
        <f>SUMIF(Source_BS!$A:$A,$A79,Source_BS!L:L)</f>
        <v>0</v>
      </c>
      <c r="M79" s="6">
        <f>SUMIF(Source_BS!$A:$A,$A79,Source_BS!M:M)</f>
        <v>0</v>
      </c>
    </row>
    <row r="80" spans="1:13" x14ac:dyDescent="0.25">
      <c r="A80" s="7" t="s">
        <v>177</v>
      </c>
      <c r="B80" s="9">
        <f>SUMIF(Source_BS!$A:$A,$A80,Source_BS!B:B)</f>
        <v>45420.680000000008</v>
      </c>
      <c r="C80" s="9">
        <f>SUMIF(Source_BS!$A:$A,$A80,Source_BS!C:C)</f>
        <v>51553.78</v>
      </c>
      <c r="D80" s="9">
        <f>SUMIF(Source_BS!$A:$A,$A80,Source_BS!D:D)</f>
        <v>52646.39</v>
      </c>
      <c r="E80" s="9">
        <f>SUMIF(Source_BS!$A:$A,$A80,Source_BS!E:E)</f>
        <v>47395.350000000006</v>
      </c>
      <c r="F80" s="9">
        <f>SUMIF(Source_BS!$A:$A,$A80,Source_BS!F:F)</f>
        <v>30415.68</v>
      </c>
      <c r="G80" s="9">
        <f>SUMIF(Source_BS!$A:$A,$A80,Source_BS!G:G)</f>
        <v>31133.58</v>
      </c>
      <c r="H80" s="9">
        <f>SUMIF(Source_BS!$A:$A,$A80,Source_BS!H:H)</f>
        <v>30432.140000000007</v>
      </c>
      <c r="I80" s="9">
        <f>SUMIF(Source_BS!$A:$A,$A80,Source_BS!I:I)</f>
        <v>53926.78</v>
      </c>
      <c r="J80" s="9">
        <f>SUMIF(Source_BS!$A:$A,$A80,Source_BS!J:J)</f>
        <v>54793.739999999991</v>
      </c>
      <c r="K80" s="9">
        <f>SUMIF(Source_BS!$A:$A,$A80,Source_BS!K:K)</f>
        <v>32932.419999999991</v>
      </c>
      <c r="L80" s="9">
        <f>SUMIF(Source_BS!$A:$A,$A80,Source_BS!L:L)</f>
        <v>35961.799999999996</v>
      </c>
      <c r="M80" s="9">
        <f>SUMIF(Source_BS!$A:$A,$A80,Source_BS!M:M)</f>
        <v>13074.009999999997</v>
      </c>
    </row>
    <row r="81" spans="1:13" x14ac:dyDescent="0.25">
      <c r="A81" t="s">
        <v>178</v>
      </c>
      <c r="B81" s="6">
        <f>SUMIF(Source_BS!$A:$A,$A81,Source_BS!B:B)</f>
        <v>0</v>
      </c>
      <c r="C81" s="6">
        <f>SUMIF(Source_BS!$A:$A,$A81,Source_BS!C:C)</f>
        <v>0</v>
      </c>
      <c r="D81" s="6">
        <f>SUMIF(Source_BS!$A:$A,$A81,Source_BS!D:D)</f>
        <v>0</v>
      </c>
      <c r="E81" s="6">
        <f>SUMIF(Source_BS!$A:$A,$A81,Source_BS!E:E)</f>
        <v>0</v>
      </c>
      <c r="F81" s="6">
        <f>SUMIF(Source_BS!$A:$A,$A81,Source_BS!F:F)</f>
        <v>0</v>
      </c>
      <c r="G81" s="6">
        <f>SUMIF(Source_BS!$A:$A,$A81,Source_BS!G:G)</f>
        <v>0</v>
      </c>
      <c r="H81" s="6">
        <f>SUMIF(Source_BS!$A:$A,$A81,Source_BS!H:H)</f>
        <v>0</v>
      </c>
      <c r="I81" s="6">
        <f>SUMIF(Source_BS!$A:$A,$A81,Source_BS!I:I)</f>
        <v>0</v>
      </c>
      <c r="J81" s="6">
        <f>SUMIF(Source_BS!$A:$A,$A81,Source_BS!J:J)</f>
        <v>0</v>
      </c>
      <c r="K81" s="6">
        <f>SUMIF(Source_BS!$A:$A,$A81,Source_BS!K:K)</f>
        <v>0</v>
      </c>
      <c r="L81" s="6">
        <f>SUMIF(Source_BS!$A:$A,$A81,Source_BS!L:L)</f>
        <v>0</v>
      </c>
      <c r="M81" s="6">
        <f>SUMIF(Source_BS!$A:$A,$A81,Source_BS!M:M)</f>
        <v>0</v>
      </c>
    </row>
    <row r="82" spans="1:13" x14ac:dyDescent="0.25">
      <c r="A82" t="s">
        <v>179</v>
      </c>
      <c r="B82" s="6">
        <f>SUMIF(Source_BS!$A:$A,$A82,Source_BS!B:B)</f>
        <v>-990.56</v>
      </c>
      <c r="C82" s="6">
        <f>SUMIF(Source_BS!$A:$A,$A82,Source_BS!C:C)</f>
        <v>-1638.32</v>
      </c>
      <c r="D82" s="6">
        <f>SUMIF(Source_BS!$A:$A,$A82,Source_BS!D:D)</f>
        <v>-472.54999999999995</v>
      </c>
      <c r="E82" s="6">
        <f>SUMIF(Source_BS!$A:$A,$A82,Source_BS!E:E)</f>
        <v>-593.13</v>
      </c>
      <c r="F82" s="6">
        <f>SUMIF(Source_BS!$A:$A,$A82,Source_BS!F:F)</f>
        <v>-694.68</v>
      </c>
      <c r="G82" s="6">
        <f>SUMIF(Source_BS!$A:$A,$A82,Source_BS!G:G)</f>
        <v>-678.17</v>
      </c>
      <c r="H82" s="6">
        <f>SUMIF(Source_BS!$A:$A,$A82,Source_BS!H:H)</f>
        <v>-842.82999999999993</v>
      </c>
      <c r="I82" s="6">
        <f>SUMIF(Source_BS!$A:$A,$A82,Source_BS!I:I)</f>
        <v>-323.74999999999989</v>
      </c>
      <c r="J82" s="6">
        <f>SUMIF(Source_BS!$A:$A,$A82,Source_BS!J:J)</f>
        <v>-576.4799999999999</v>
      </c>
      <c r="K82" s="6">
        <f>SUMIF(Source_BS!$A:$A,$A82,Source_BS!K:K)</f>
        <v>-704.76999999999987</v>
      </c>
      <c r="L82" s="6">
        <f>SUMIF(Source_BS!$A:$A,$A82,Source_BS!L:L)</f>
        <v>-802.24999999999989</v>
      </c>
      <c r="M82" s="6">
        <f>SUMIF(Source_BS!$A:$A,$A82,Source_BS!M:M)</f>
        <v>1326.8000000000002</v>
      </c>
    </row>
    <row r="83" spans="1:13" x14ac:dyDescent="0.25">
      <c r="A83" t="s">
        <v>180</v>
      </c>
      <c r="B83" s="6">
        <f>SUMIF(Source_BS!$A:$A,$A83,Source_BS!B:B)</f>
        <v>148.91999999999999</v>
      </c>
      <c r="C83" s="6">
        <f>SUMIF(Source_BS!$A:$A,$A83,Source_BS!C:C)</f>
        <v>320.86</v>
      </c>
      <c r="D83" s="6">
        <f>SUMIF(Source_BS!$A:$A,$A83,Source_BS!D:D)</f>
        <v>597.77</v>
      </c>
      <c r="E83" s="6">
        <f>SUMIF(Source_BS!$A:$A,$A83,Source_BS!E:E)</f>
        <v>558.74</v>
      </c>
      <c r="F83" s="6">
        <f>SUMIF(Source_BS!$A:$A,$A83,Source_BS!F:F)</f>
        <v>535.25</v>
      </c>
      <c r="G83" s="6">
        <f>SUMIF(Source_BS!$A:$A,$A83,Source_BS!G:G)</f>
        <v>543.52</v>
      </c>
      <c r="H83" s="6">
        <f>SUMIF(Source_BS!$A:$A,$A83,Source_BS!H:H)</f>
        <v>502.95</v>
      </c>
      <c r="I83" s="6">
        <f>SUMIF(Source_BS!$A:$A,$A83,Source_BS!I:I)</f>
        <v>622.87</v>
      </c>
      <c r="J83" s="6">
        <f>SUMIF(Source_BS!$A:$A,$A83,Source_BS!J:J)</f>
        <v>570.51</v>
      </c>
      <c r="K83" s="6">
        <f>SUMIF(Source_BS!$A:$A,$A83,Source_BS!K:K)</f>
        <v>548.18999999999994</v>
      </c>
      <c r="L83" s="6">
        <f>SUMIF(Source_BS!$A:$A,$A83,Source_BS!L:L)</f>
        <v>526.44999999999993</v>
      </c>
      <c r="M83" s="6">
        <f>SUMIF(Source_BS!$A:$A,$A83,Source_BS!M:M)</f>
        <v>289.00999999999993</v>
      </c>
    </row>
    <row r="84" spans="1:13" x14ac:dyDescent="0.25">
      <c r="A84" t="s">
        <v>181</v>
      </c>
      <c r="B84" s="6">
        <f>SUMIF(Source_BS!$A:$A,$A84,Source_BS!B:B)</f>
        <v>0</v>
      </c>
      <c r="C84" s="6">
        <f>SUMIF(Source_BS!$A:$A,$A84,Source_BS!C:C)</f>
        <v>0</v>
      </c>
      <c r="D84" s="6">
        <f>SUMIF(Source_BS!$A:$A,$A84,Source_BS!D:D)</f>
        <v>0</v>
      </c>
      <c r="E84" s="6">
        <f>SUMIF(Source_BS!$A:$A,$A84,Source_BS!E:E)</f>
        <v>9.9499999999999993</v>
      </c>
      <c r="F84" s="6">
        <f>SUMIF(Source_BS!$A:$A,$A84,Source_BS!F:F)</f>
        <v>-13.5</v>
      </c>
      <c r="G84" s="6">
        <f>SUMIF(Source_BS!$A:$A,$A84,Source_BS!G:G)</f>
        <v>31.189999999999998</v>
      </c>
      <c r="H84" s="6">
        <f>SUMIF(Source_BS!$A:$A,$A84,Source_BS!H:H)</f>
        <v>6.6099999999999994</v>
      </c>
      <c r="I84" s="6">
        <f>SUMIF(Source_BS!$A:$A,$A84,Source_BS!I:I)</f>
        <v>81.19</v>
      </c>
      <c r="J84" s="6">
        <f>SUMIF(Source_BS!$A:$A,$A84,Source_BS!J:J)</f>
        <v>62.9</v>
      </c>
      <c r="K84" s="6">
        <f>SUMIF(Source_BS!$A:$A,$A84,Source_BS!K:K)</f>
        <v>43.91</v>
      </c>
      <c r="L84" s="6">
        <f>SUMIF(Source_BS!$A:$A,$A84,Source_BS!L:L)</f>
        <v>50.86</v>
      </c>
      <c r="M84" s="6">
        <f>SUMIF(Source_BS!$A:$A,$A84,Source_BS!M:M)</f>
        <v>279.36</v>
      </c>
    </row>
    <row r="85" spans="1:13" x14ac:dyDescent="0.25">
      <c r="A85" t="s">
        <v>182</v>
      </c>
      <c r="B85" s="6">
        <f>SUMIF(Source_BS!$A:$A,$A85,Source_BS!B:B)</f>
        <v>0</v>
      </c>
      <c r="C85" s="6">
        <f>SUMIF(Source_BS!$A:$A,$A85,Source_BS!C:C)</f>
        <v>0</v>
      </c>
      <c r="D85" s="6">
        <f>SUMIF(Source_BS!$A:$A,$A85,Source_BS!D:D)</f>
        <v>0</v>
      </c>
      <c r="E85" s="6">
        <f>SUMIF(Source_BS!$A:$A,$A85,Source_BS!E:E)</f>
        <v>-74.09</v>
      </c>
      <c r="F85" s="6">
        <f>SUMIF(Source_BS!$A:$A,$A85,Source_BS!F:F)</f>
        <v>-91.92</v>
      </c>
      <c r="G85" s="6">
        <f>SUMIF(Source_BS!$A:$A,$A85,Source_BS!G:G)</f>
        <v>-71.849999999999994</v>
      </c>
      <c r="H85" s="6">
        <f>SUMIF(Source_BS!$A:$A,$A85,Source_BS!H:H)</f>
        <v>-99.339999999999989</v>
      </c>
      <c r="I85" s="6">
        <f>SUMIF(Source_BS!$A:$A,$A85,Source_BS!I:I)</f>
        <v>8.2800000000000153</v>
      </c>
      <c r="J85" s="6">
        <f>SUMIF(Source_BS!$A:$A,$A85,Source_BS!J:J)</f>
        <v>-28.119999999999983</v>
      </c>
      <c r="K85" s="6">
        <f>SUMIF(Source_BS!$A:$A,$A85,Source_BS!K:K)</f>
        <v>-51.499999999999986</v>
      </c>
      <c r="L85" s="6">
        <f>SUMIF(Source_BS!$A:$A,$A85,Source_BS!L:L)</f>
        <v>-55.739999999999988</v>
      </c>
      <c r="M85" s="6">
        <f>SUMIF(Source_BS!$A:$A,$A85,Source_BS!M:M)</f>
        <v>328.15999999999997</v>
      </c>
    </row>
    <row r="86" spans="1:13" x14ac:dyDescent="0.25">
      <c r="A86" t="s">
        <v>183</v>
      </c>
      <c r="B86" s="6">
        <f>SUMIF(Source_BS!$A:$A,$A86,Source_BS!B:B)</f>
        <v>0</v>
      </c>
      <c r="C86" s="6">
        <f>SUMIF(Source_BS!$A:$A,$A86,Source_BS!C:C)</f>
        <v>0</v>
      </c>
      <c r="D86" s="6">
        <f>SUMIF(Source_BS!$A:$A,$A86,Source_BS!D:D)</f>
        <v>0</v>
      </c>
      <c r="E86" s="6">
        <f>SUMIF(Source_BS!$A:$A,$A86,Source_BS!E:E)</f>
        <v>-98.44</v>
      </c>
      <c r="F86" s="6">
        <f>SUMIF(Source_BS!$A:$A,$A86,Source_BS!F:F)</f>
        <v>-178.84</v>
      </c>
      <c r="G86" s="6">
        <f>SUMIF(Source_BS!$A:$A,$A86,Source_BS!G:G)</f>
        <v>-64.73</v>
      </c>
      <c r="H86" s="6">
        <f>SUMIF(Source_BS!$A:$A,$A86,Source_BS!H:H)</f>
        <v>-141.13999999999999</v>
      </c>
      <c r="I86" s="6">
        <f>SUMIF(Source_BS!$A:$A,$A86,Source_BS!I:I)</f>
        <v>146.54000000000002</v>
      </c>
      <c r="J86" s="6">
        <f>SUMIF(Source_BS!$A:$A,$A86,Source_BS!J:J)</f>
        <v>89.03000000000003</v>
      </c>
      <c r="K86" s="6">
        <f>SUMIF(Source_BS!$A:$A,$A86,Source_BS!K:K)</f>
        <v>54.340000000000032</v>
      </c>
      <c r="L86" s="6">
        <f>SUMIF(Source_BS!$A:$A,$A86,Source_BS!L:L)</f>
        <v>-23.699999999999974</v>
      </c>
      <c r="M86" s="6">
        <f>SUMIF(Source_BS!$A:$A,$A86,Source_BS!M:M)</f>
        <v>928.07</v>
      </c>
    </row>
    <row r="87" spans="1:13" x14ac:dyDescent="0.25">
      <c r="A87" t="s">
        <v>184</v>
      </c>
      <c r="B87" s="6">
        <f>SUMIF(Source_BS!$A:$A,$A87,Source_BS!B:B)</f>
        <v>0</v>
      </c>
      <c r="C87" s="6">
        <f>SUMIF(Source_BS!$A:$A,$A87,Source_BS!C:C)</f>
        <v>0</v>
      </c>
      <c r="D87" s="6">
        <f>SUMIF(Source_BS!$A:$A,$A87,Source_BS!D:D)</f>
        <v>297.16000000000003</v>
      </c>
      <c r="E87" s="6">
        <f>SUMIF(Source_BS!$A:$A,$A87,Source_BS!E:E)</f>
        <v>7428.76</v>
      </c>
      <c r="F87" s="6">
        <f>SUMIF(Source_BS!$A:$A,$A87,Source_BS!F:F)</f>
        <v>-3789.83</v>
      </c>
      <c r="G87" s="6">
        <f>SUMIF(Source_BS!$A:$A,$A87,Source_BS!G:G)</f>
        <v>-5439.57</v>
      </c>
      <c r="H87" s="6">
        <f>SUMIF(Source_BS!$A:$A,$A87,Source_BS!H:H)</f>
        <v>-5439.57</v>
      </c>
      <c r="I87" s="6">
        <f>SUMIF(Source_BS!$A:$A,$A87,Source_BS!I:I)</f>
        <v>-5439.57</v>
      </c>
      <c r="J87" s="6">
        <f>SUMIF(Source_BS!$A:$A,$A87,Source_BS!J:J)</f>
        <v>-5736.7199999999993</v>
      </c>
      <c r="K87" s="6">
        <f>SUMIF(Source_BS!$A:$A,$A87,Source_BS!K:K)</f>
        <v>-5712.6299999999992</v>
      </c>
      <c r="L87" s="6">
        <f>SUMIF(Source_BS!$A:$A,$A87,Source_BS!L:L)</f>
        <v>-5985.69</v>
      </c>
      <c r="M87" s="6">
        <f>SUMIF(Source_BS!$A:$A,$A87,Source_BS!M:M)</f>
        <v>7725.9000000000005</v>
      </c>
    </row>
    <row r="88" spans="1:13" x14ac:dyDescent="0.25">
      <c r="A88" t="s">
        <v>185</v>
      </c>
      <c r="B88" s="6">
        <f>SUMIF(Source_BS!$A:$A,$A88,Source_BS!B:B)</f>
        <v>26659.599999999999</v>
      </c>
      <c r="C88" s="6">
        <f>SUMIF(Source_BS!$A:$A,$A88,Source_BS!C:C)</f>
        <v>26659.599999999999</v>
      </c>
      <c r="D88" s="6">
        <f>SUMIF(Source_BS!$A:$A,$A88,Source_BS!D:D)</f>
        <v>26659.599999999999</v>
      </c>
      <c r="E88" s="6">
        <f>SUMIF(Source_BS!$A:$A,$A88,Source_BS!E:E)</f>
        <v>26659.599999999999</v>
      </c>
      <c r="F88" s="6">
        <f>SUMIF(Source_BS!$A:$A,$A88,Source_BS!F:F)</f>
        <v>26659.599999999999</v>
      </c>
      <c r="G88" s="6">
        <f>SUMIF(Source_BS!$A:$A,$A88,Source_BS!G:G)</f>
        <v>26659.599999999999</v>
      </c>
      <c r="H88" s="6">
        <f>SUMIF(Source_BS!$A:$A,$A88,Source_BS!H:H)</f>
        <v>26659.599999999999</v>
      </c>
      <c r="I88" s="6">
        <f>SUMIF(Source_BS!$A:$A,$A88,Source_BS!I:I)</f>
        <v>26659.599999999999</v>
      </c>
      <c r="J88" s="6">
        <f>SUMIF(Source_BS!$A:$A,$A88,Source_BS!J:J)</f>
        <v>26659.599999999999</v>
      </c>
      <c r="K88" s="6">
        <f>SUMIF(Source_BS!$A:$A,$A88,Source_BS!K:K)</f>
        <v>26659.599999999999</v>
      </c>
      <c r="L88" s="6">
        <f>SUMIF(Source_BS!$A:$A,$A88,Source_BS!L:L)</f>
        <v>26659.599999999999</v>
      </c>
      <c r="M88" s="6">
        <f>SUMIF(Source_BS!$A:$A,$A88,Source_BS!M:M)</f>
        <v>26659.599999999999</v>
      </c>
    </row>
    <row r="89" spans="1:13" x14ac:dyDescent="0.25">
      <c r="A89" s="7" t="s">
        <v>186</v>
      </c>
      <c r="B89" s="9">
        <f>SUMIF(Source_BS!$A:$A,$A89,Source_BS!B:B)</f>
        <v>25817.96</v>
      </c>
      <c r="C89" s="9">
        <f>SUMIF(Source_BS!$A:$A,$A89,Source_BS!C:C)</f>
        <v>25342.14</v>
      </c>
      <c r="D89" s="9">
        <f>SUMIF(Source_BS!$A:$A,$A89,Source_BS!D:D)</f>
        <v>27081.98</v>
      </c>
      <c r="E89" s="9">
        <f>SUMIF(Source_BS!$A:$A,$A89,Source_BS!E:E)</f>
        <v>33891.39</v>
      </c>
      <c r="F89" s="9">
        <f>SUMIF(Source_BS!$A:$A,$A89,Source_BS!F:F)</f>
        <v>22426.079999999998</v>
      </c>
      <c r="G89" s="9">
        <f>SUMIF(Source_BS!$A:$A,$A89,Source_BS!G:G)</f>
        <v>20979.989999999998</v>
      </c>
      <c r="H89" s="9">
        <f>SUMIF(Source_BS!$A:$A,$A89,Source_BS!H:H)</f>
        <v>20646.28</v>
      </c>
      <c r="I89" s="9">
        <f>SUMIF(Source_BS!$A:$A,$A89,Source_BS!I:I)</f>
        <v>21755.16</v>
      </c>
      <c r="J89" s="9">
        <f>SUMIF(Source_BS!$A:$A,$A89,Source_BS!J:J)</f>
        <v>21040.720000000001</v>
      </c>
      <c r="K89" s="9">
        <f>SUMIF(Source_BS!$A:$A,$A89,Source_BS!K:K)</f>
        <v>20837.14</v>
      </c>
      <c r="L89" s="9">
        <f>SUMIF(Source_BS!$A:$A,$A89,Source_BS!L:L)</f>
        <v>20369.53</v>
      </c>
      <c r="M89" s="9">
        <f>SUMIF(Source_BS!$A:$A,$A89,Source_BS!M:M)</f>
        <v>37536.9</v>
      </c>
    </row>
    <row r="90" spans="1:13" x14ac:dyDescent="0.25">
      <c r="A90" t="s">
        <v>187</v>
      </c>
      <c r="B90" s="6">
        <f>SUMIF(Source_BS!$A:$A,$A90,Source_BS!B:B)</f>
        <v>0</v>
      </c>
      <c r="C90" s="6">
        <f>SUMIF(Source_BS!$A:$A,$A90,Source_BS!C:C)</f>
        <v>0</v>
      </c>
      <c r="D90" s="6">
        <f>SUMIF(Source_BS!$A:$A,$A90,Source_BS!D:D)</f>
        <v>0</v>
      </c>
      <c r="E90" s="6">
        <f>SUMIF(Source_BS!$A:$A,$A90,Source_BS!E:E)</f>
        <v>0</v>
      </c>
      <c r="F90" s="6">
        <f>SUMIF(Source_BS!$A:$A,$A90,Source_BS!F:F)</f>
        <v>0</v>
      </c>
      <c r="G90" s="6">
        <f>SUMIF(Source_BS!$A:$A,$A90,Source_BS!G:G)</f>
        <v>0</v>
      </c>
      <c r="H90" s="6">
        <f>SUMIF(Source_BS!$A:$A,$A90,Source_BS!H:H)</f>
        <v>0</v>
      </c>
      <c r="I90" s="6">
        <f>SUMIF(Source_BS!$A:$A,$A90,Source_BS!I:I)</f>
        <v>0</v>
      </c>
      <c r="J90" s="6">
        <f>SUMIF(Source_BS!$A:$A,$A90,Source_BS!J:J)</f>
        <v>0</v>
      </c>
      <c r="K90" s="6">
        <f>SUMIF(Source_BS!$A:$A,$A90,Source_BS!K:K)</f>
        <v>0</v>
      </c>
      <c r="L90" s="6">
        <f>SUMIF(Source_BS!$A:$A,$A90,Source_BS!L:L)</f>
        <v>0</v>
      </c>
      <c r="M90" s="6">
        <f>SUMIF(Source_BS!$A:$A,$A90,Source_BS!M:M)</f>
        <v>0</v>
      </c>
    </row>
    <row r="91" spans="1:13" x14ac:dyDescent="0.25">
      <c r="A91" t="s">
        <v>188</v>
      </c>
      <c r="B91" s="6">
        <f>SUMIF(Source_BS!$A:$A,$A91,Source_BS!B:B)</f>
        <v>0</v>
      </c>
      <c r="C91" s="6">
        <f>SUMIF(Source_BS!$A:$A,$A91,Source_BS!C:C)</f>
        <v>0</v>
      </c>
      <c r="D91" s="6">
        <f>SUMIF(Source_BS!$A:$A,$A91,Source_BS!D:D)</f>
        <v>0</v>
      </c>
      <c r="E91" s="6">
        <f>SUMIF(Source_BS!$A:$A,$A91,Source_BS!E:E)</f>
        <v>0</v>
      </c>
      <c r="F91" s="6">
        <f>SUMIF(Source_BS!$A:$A,$A91,Source_BS!F:F)</f>
        <v>0</v>
      </c>
      <c r="G91" s="6">
        <f>SUMIF(Source_BS!$A:$A,$A91,Source_BS!G:G)</f>
        <v>0</v>
      </c>
      <c r="H91" s="6">
        <f>SUMIF(Source_BS!$A:$A,$A91,Source_BS!H:H)</f>
        <v>0</v>
      </c>
      <c r="I91" s="6">
        <f>SUMIF(Source_BS!$A:$A,$A91,Source_BS!I:I)</f>
        <v>0</v>
      </c>
      <c r="J91" s="6">
        <f>SUMIF(Source_BS!$A:$A,$A91,Source_BS!J:J)</f>
        <v>0</v>
      </c>
      <c r="K91" s="6">
        <f>SUMIF(Source_BS!$A:$A,$A91,Source_BS!K:K)</f>
        <v>0</v>
      </c>
      <c r="L91" s="6">
        <f>SUMIF(Source_BS!$A:$A,$A91,Source_BS!L:L)</f>
        <v>0</v>
      </c>
      <c r="M91" s="6">
        <f>SUMIF(Source_BS!$A:$A,$A91,Source_BS!M:M)</f>
        <v>0</v>
      </c>
    </row>
    <row r="92" spans="1:13" x14ac:dyDescent="0.25">
      <c r="A92" t="s">
        <v>189</v>
      </c>
      <c r="B92" s="6">
        <f>SUMIF(Source_BS!$A:$A,$A92,Source_BS!B:B)</f>
        <v>0</v>
      </c>
      <c r="C92" s="6">
        <f>SUMIF(Source_BS!$A:$A,$A92,Source_BS!C:C)</f>
        <v>0</v>
      </c>
      <c r="D92" s="6">
        <f>SUMIF(Source_BS!$A:$A,$A92,Source_BS!D:D)</f>
        <v>0</v>
      </c>
      <c r="E92" s="6">
        <f>SUMIF(Source_BS!$A:$A,$A92,Source_BS!E:E)</f>
        <v>0</v>
      </c>
      <c r="F92" s="6">
        <f>SUMIF(Source_BS!$A:$A,$A92,Source_BS!F:F)</f>
        <v>0</v>
      </c>
      <c r="G92" s="6">
        <f>SUMIF(Source_BS!$A:$A,$A92,Source_BS!G:G)</f>
        <v>0</v>
      </c>
      <c r="H92" s="6">
        <f>SUMIF(Source_BS!$A:$A,$A92,Source_BS!H:H)</f>
        <v>0</v>
      </c>
      <c r="I92" s="6">
        <f>SUMIF(Source_BS!$A:$A,$A92,Source_BS!I:I)</f>
        <v>0</v>
      </c>
      <c r="J92" s="6">
        <f>SUMIF(Source_BS!$A:$A,$A92,Source_BS!J:J)</f>
        <v>0</v>
      </c>
      <c r="K92" s="6">
        <f>SUMIF(Source_BS!$A:$A,$A92,Source_BS!K:K)</f>
        <v>0</v>
      </c>
      <c r="L92" s="6">
        <f>SUMIF(Source_BS!$A:$A,$A92,Source_BS!L:L)</f>
        <v>0</v>
      </c>
      <c r="M92" s="6">
        <f>SUMIF(Source_BS!$A:$A,$A92,Source_BS!M:M)</f>
        <v>0</v>
      </c>
    </row>
    <row r="93" spans="1:13" x14ac:dyDescent="0.25">
      <c r="A93" t="s">
        <v>190</v>
      </c>
      <c r="B93" s="6">
        <f>SUMIF(Source_BS!$A:$A,$A93,Source_BS!B:B)</f>
        <v>0</v>
      </c>
      <c r="C93" s="6">
        <f>SUMIF(Source_BS!$A:$A,$A93,Source_BS!C:C)</f>
        <v>0</v>
      </c>
      <c r="D93" s="6">
        <f>SUMIF(Source_BS!$A:$A,$A93,Source_BS!D:D)</f>
        <v>0</v>
      </c>
      <c r="E93" s="6">
        <f>SUMIF(Source_BS!$A:$A,$A93,Source_BS!E:E)</f>
        <v>0</v>
      </c>
      <c r="F93" s="6">
        <f>SUMIF(Source_BS!$A:$A,$A93,Source_BS!F:F)</f>
        <v>0</v>
      </c>
      <c r="G93" s="6">
        <f>SUMIF(Source_BS!$A:$A,$A93,Source_BS!G:G)</f>
        <v>0</v>
      </c>
      <c r="H93" s="6">
        <f>SUMIF(Source_BS!$A:$A,$A93,Source_BS!H:H)</f>
        <v>0</v>
      </c>
      <c r="I93" s="6">
        <f>SUMIF(Source_BS!$A:$A,$A93,Source_BS!I:I)</f>
        <v>0</v>
      </c>
      <c r="J93" s="6">
        <f>SUMIF(Source_BS!$A:$A,$A93,Source_BS!J:J)</f>
        <v>0</v>
      </c>
      <c r="K93" s="6">
        <f>SUMIF(Source_BS!$A:$A,$A93,Source_BS!K:K)</f>
        <v>21682.400000000001</v>
      </c>
      <c r="L93" s="6">
        <f>SUMIF(Source_BS!$A:$A,$A93,Source_BS!L:L)</f>
        <v>21682.400000000001</v>
      </c>
      <c r="M93" s="6">
        <f>SUMIF(Source_BS!$A:$A,$A93,Source_BS!M:M)</f>
        <v>19479.160000000003</v>
      </c>
    </row>
    <row r="94" spans="1:13" x14ac:dyDescent="0.25">
      <c r="A94" t="s">
        <v>191</v>
      </c>
      <c r="B94" s="6">
        <f>SUMIF(Source_BS!$A:$A,$A94,Source_BS!B:B)</f>
        <v>0</v>
      </c>
      <c r="C94" s="6">
        <f>SUMIF(Source_BS!$A:$A,$A94,Source_BS!C:C)</f>
        <v>0</v>
      </c>
      <c r="D94" s="6">
        <f>SUMIF(Source_BS!$A:$A,$A94,Source_BS!D:D)</f>
        <v>0</v>
      </c>
      <c r="E94" s="6">
        <f>SUMIF(Source_BS!$A:$A,$A94,Source_BS!E:E)</f>
        <v>0</v>
      </c>
      <c r="F94" s="6">
        <f>SUMIF(Source_BS!$A:$A,$A94,Source_BS!F:F)</f>
        <v>0</v>
      </c>
      <c r="G94" s="6">
        <f>SUMIF(Source_BS!$A:$A,$A94,Source_BS!G:G)</f>
        <v>0</v>
      </c>
      <c r="H94" s="6">
        <f>SUMIF(Source_BS!$A:$A,$A94,Source_BS!H:H)</f>
        <v>0</v>
      </c>
      <c r="I94" s="6">
        <f>SUMIF(Source_BS!$A:$A,$A94,Source_BS!I:I)</f>
        <v>0</v>
      </c>
      <c r="J94" s="6">
        <f>SUMIF(Source_BS!$A:$A,$A94,Source_BS!J:J)</f>
        <v>0</v>
      </c>
      <c r="K94" s="6">
        <f>SUMIF(Source_BS!$A:$A,$A94,Source_BS!K:K)</f>
        <v>0</v>
      </c>
      <c r="L94" s="6">
        <f>SUMIF(Source_BS!$A:$A,$A94,Source_BS!L:L)</f>
        <v>0</v>
      </c>
      <c r="M94" s="6">
        <f>SUMIF(Source_BS!$A:$A,$A94,Source_BS!M:M)</f>
        <v>0</v>
      </c>
    </row>
    <row r="95" spans="1:13" x14ac:dyDescent="0.25">
      <c r="A95" s="7" t="s">
        <v>192</v>
      </c>
      <c r="B95" s="9">
        <f>SUMIF(Source_BS!$A:$A,$A95,Source_BS!B:B)</f>
        <v>281238.64</v>
      </c>
      <c r="C95" s="9">
        <f>SUMIF(Source_BS!$A:$A,$A95,Source_BS!C:C)</f>
        <v>436895.92000000004</v>
      </c>
      <c r="D95" s="9">
        <f>SUMIF(Source_BS!$A:$A,$A95,Source_BS!D:D)</f>
        <v>472969.44</v>
      </c>
      <c r="E95" s="9">
        <f>SUMIF(Source_BS!$A:$A,$A95,Source_BS!E:E)</f>
        <v>442353.70000000007</v>
      </c>
      <c r="F95" s="9">
        <f>SUMIF(Source_BS!$A:$A,$A95,Source_BS!F:F)</f>
        <v>405908.72000000003</v>
      </c>
      <c r="G95" s="9">
        <f>SUMIF(Source_BS!$A:$A,$A95,Source_BS!G:G)</f>
        <v>252998.52999999997</v>
      </c>
      <c r="H95" s="9">
        <f>SUMIF(Source_BS!$A:$A,$A95,Source_BS!H:H)</f>
        <v>291963.38</v>
      </c>
      <c r="I95" s="9">
        <f>SUMIF(Source_BS!$A:$A,$A95,Source_BS!I:I)</f>
        <v>378859.46</v>
      </c>
      <c r="J95" s="9">
        <f>SUMIF(Source_BS!$A:$A,$A95,Source_BS!J:J)</f>
        <v>421011.98</v>
      </c>
      <c r="K95" s="9">
        <f>SUMIF(Source_BS!$A:$A,$A95,Source_BS!K:K)</f>
        <v>420629.48000000004</v>
      </c>
      <c r="L95" s="9">
        <f>SUMIF(Source_BS!$A:$A,$A95,Source_BS!L:L)</f>
        <v>463191.25</v>
      </c>
      <c r="M95" s="9">
        <f>SUMIF(Source_BS!$A:$A,$A95,Source_BS!M:M)</f>
        <v>470090.07000000007</v>
      </c>
    </row>
    <row r="96" spans="1:13" x14ac:dyDescent="0.25">
      <c r="A96" s="7" t="s">
        <v>193</v>
      </c>
      <c r="B96" s="9">
        <f>SUMIF(Source_BS!$A:$A,$A96,Source_BS!B:B)</f>
        <v>374717.62</v>
      </c>
      <c r="C96" s="9">
        <f>SUMIF(Source_BS!$A:$A,$A96,Source_BS!C:C)</f>
        <v>508257.25000000006</v>
      </c>
      <c r="D96" s="9">
        <f>SUMIF(Source_BS!$A:$A,$A96,Source_BS!D:D)</f>
        <v>494445.94</v>
      </c>
      <c r="E96" s="9">
        <f>SUMIF(Source_BS!$A:$A,$A96,Source_BS!E:E)</f>
        <v>458523.15000000008</v>
      </c>
      <c r="F96" s="9">
        <f>SUMIF(Source_BS!$A:$A,$A96,Source_BS!F:F)</f>
        <v>432713.38</v>
      </c>
      <c r="G96" s="9">
        <f>SUMIF(Source_BS!$A:$A,$A96,Source_BS!G:G)</f>
        <v>294309.12</v>
      </c>
      <c r="H96" s="9">
        <f>SUMIF(Source_BS!$A:$A,$A96,Source_BS!H:H)</f>
        <v>359593.26</v>
      </c>
      <c r="I96" s="9">
        <f>SUMIF(Source_BS!$A:$A,$A96,Source_BS!I:I)</f>
        <v>419494.35000000003</v>
      </c>
      <c r="J96" s="9">
        <f>SUMIF(Source_BS!$A:$A,$A96,Source_BS!J:J)</f>
        <v>473835.00999999995</v>
      </c>
      <c r="K96" s="9">
        <f>SUMIF(Source_BS!$A:$A,$A96,Source_BS!K:K)</f>
        <v>482064.7</v>
      </c>
      <c r="L96" s="9">
        <f>SUMIF(Source_BS!$A:$A,$A96,Source_BS!L:L)</f>
        <v>489699.95</v>
      </c>
      <c r="M96" s="9">
        <f>SUMIF(Source_BS!$A:$A,$A96,Source_BS!M:M)</f>
        <v>528567.04000000004</v>
      </c>
    </row>
    <row r="97" spans="1:13" x14ac:dyDescent="0.25">
      <c r="A97" t="s">
        <v>194</v>
      </c>
      <c r="B97" s="6">
        <f>SUMIF(Source_BS!$A:$A,$A97,Source_BS!B:B)</f>
        <v>0</v>
      </c>
      <c r="C97" s="6">
        <f>SUMIF(Source_BS!$A:$A,$A97,Source_BS!C:C)</f>
        <v>0</v>
      </c>
      <c r="D97" s="6">
        <f>SUMIF(Source_BS!$A:$A,$A97,Source_BS!D:D)</f>
        <v>0</v>
      </c>
      <c r="E97" s="6">
        <f>SUMIF(Source_BS!$A:$A,$A97,Source_BS!E:E)</f>
        <v>0</v>
      </c>
      <c r="F97" s="6">
        <f>SUMIF(Source_BS!$A:$A,$A97,Source_BS!F:F)</f>
        <v>0</v>
      </c>
      <c r="G97" s="6">
        <f>SUMIF(Source_BS!$A:$A,$A97,Source_BS!G:G)</f>
        <v>0</v>
      </c>
      <c r="H97" s="6">
        <f>SUMIF(Source_BS!$A:$A,$A97,Source_BS!H:H)</f>
        <v>0</v>
      </c>
      <c r="I97" s="6">
        <f>SUMIF(Source_BS!$A:$A,$A97,Source_BS!I:I)</f>
        <v>0</v>
      </c>
      <c r="J97" s="6">
        <f>SUMIF(Source_BS!$A:$A,$A97,Source_BS!J:J)</f>
        <v>0</v>
      </c>
      <c r="K97" s="6">
        <f>SUMIF(Source_BS!$A:$A,$A97,Source_BS!K:K)</f>
        <v>0</v>
      </c>
      <c r="L97" s="6">
        <f>SUMIF(Source_BS!$A:$A,$A97,Source_BS!L:L)</f>
        <v>0</v>
      </c>
      <c r="M97" s="6">
        <f>SUMIF(Source_BS!$A:$A,$A97,Source_BS!M:M)</f>
        <v>0</v>
      </c>
    </row>
    <row r="98" spans="1:13" x14ac:dyDescent="0.25">
      <c r="A98" t="s">
        <v>195</v>
      </c>
      <c r="B98" s="6">
        <f>SUMIF(Source_BS!$A:$A,$A98,Source_BS!B:B)</f>
        <v>89499.839999999997</v>
      </c>
      <c r="C98" s="6">
        <f>SUMIF(Source_BS!$A:$A,$A98,Source_BS!C:C)</f>
        <v>89499.839999999997</v>
      </c>
      <c r="D98" s="6">
        <f>SUMIF(Source_BS!$A:$A,$A98,Source_BS!D:D)</f>
        <v>89499.839999999997</v>
      </c>
      <c r="E98" s="6">
        <f>SUMIF(Source_BS!$A:$A,$A98,Source_BS!E:E)</f>
        <v>89499.839999999997</v>
      </c>
      <c r="F98" s="6">
        <f>SUMIF(Source_BS!$A:$A,$A98,Source_BS!F:F)</f>
        <v>89499.839999999997</v>
      </c>
      <c r="G98" s="6">
        <f>SUMIF(Source_BS!$A:$A,$A98,Source_BS!G:G)</f>
        <v>89499.839999999997</v>
      </c>
      <c r="H98" s="6">
        <f>SUMIF(Source_BS!$A:$A,$A98,Source_BS!H:H)</f>
        <v>89499.839999999997</v>
      </c>
      <c r="I98" s="6">
        <f>SUMIF(Source_BS!$A:$A,$A98,Source_BS!I:I)</f>
        <v>89499.839999999997</v>
      </c>
      <c r="J98" s="6">
        <f>SUMIF(Source_BS!$A:$A,$A98,Source_BS!J:J)</f>
        <v>89499.839999999997</v>
      </c>
      <c r="K98" s="6">
        <f>SUMIF(Source_BS!$A:$A,$A98,Source_BS!K:K)</f>
        <v>89499.839999999997</v>
      </c>
      <c r="L98" s="6">
        <f>SUMIF(Source_BS!$A:$A,$A98,Source_BS!L:L)</f>
        <v>89499.839999999997</v>
      </c>
      <c r="M98" s="6">
        <f>SUMIF(Source_BS!$A:$A,$A98,Source_BS!M:M)</f>
        <v>0</v>
      </c>
    </row>
    <row r="99" spans="1:13" x14ac:dyDescent="0.25">
      <c r="A99" t="s">
        <v>196</v>
      </c>
      <c r="B99" s="6">
        <f>SUMIF(Source_BS!$A:$A,$A99,Source_BS!B:B)</f>
        <v>12818.619999999999</v>
      </c>
      <c r="C99" s="6">
        <f>SUMIF(Source_BS!$A:$A,$A99,Source_BS!C:C)</f>
        <v>12430.179999999998</v>
      </c>
      <c r="D99" s="6">
        <f>SUMIF(Source_BS!$A:$A,$A99,Source_BS!D:D)</f>
        <v>12041.739999999998</v>
      </c>
      <c r="E99" s="6">
        <f>SUMIF(Source_BS!$A:$A,$A99,Source_BS!E:E)</f>
        <v>11653.299999999997</v>
      </c>
      <c r="F99" s="6">
        <f>SUMIF(Source_BS!$A:$A,$A99,Source_BS!F:F)</f>
        <v>11264.859999999997</v>
      </c>
      <c r="G99" s="6">
        <f>SUMIF(Source_BS!$A:$A,$A99,Source_BS!G:G)</f>
        <v>10876.419999999996</v>
      </c>
      <c r="H99" s="6">
        <f>SUMIF(Source_BS!$A:$A,$A99,Source_BS!H:H)</f>
        <v>10487.979999999996</v>
      </c>
      <c r="I99" s="6">
        <f>SUMIF(Source_BS!$A:$A,$A99,Source_BS!I:I)</f>
        <v>10099.539999999995</v>
      </c>
      <c r="J99" s="6">
        <f>SUMIF(Source_BS!$A:$A,$A99,Source_BS!J:J)</f>
        <v>9711.0999999999949</v>
      </c>
      <c r="K99" s="6">
        <f>SUMIF(Source_BS!$A:$A,$A99,Source_BS!K:K)</f>
        <v>9322.6599999999944</v>
      </c>
      <c r="L99" s="6">
        <f>SUMIF(Source_BS!$A:$A,$A99,Source_BS!L:L)</f>
        <v>8934.2199999999939</v>
      </c>
      <c r="M99" s="6">
        <f>SUMIF(Source_BS!$A:$A,$A99,Source_BS!M:M)</f>
        <v>8545.7799999999934</v>
      </c>
    </row>
    <row r="100" spans="1:13" x14ac:dyDescent="0.25">
      <c r="A100" t="s">
        <v>197</v>
      </c>
      <c r="B100" s="6">
        <f>SUMIF(Source_BS!$A:$A,$A100,Source_BS!B:B)</f>
        <v>8493.44</v>
      </c>
      <c r="C100" s="6">
        <f>SUMIF(Source_BS!$A:$A,$A100,Source_BS!C:C)</f>
        <v>7858.0800000000008</v>
      </c>
      <c r="D100" s="6">
        <f>SUMIF(Source_BS!$A:$A,$A100,Source_BS!D:D)</f>
        <v>7217.5600000000013</v>
      </c>
      <c r="E100" s="6">
        <f>SUMIF(Source_BS!$A:$A,$A100,Source_BS!E:E)</f>
        <v>6576.4300000000012</v>
      </c>
      <c r="F100" s="6">
        <f>SUMIF(Source_BS!$A:$A,$A100,Source_BS!F:F)</f>
        <v>5931.4500000000007</v>
      </c>
      <c r="G100" s="6">
        <f>SUMIF(Source_BS!$A:$A,$A100,Source_BS!G:G)</f>
        <v>5284.51</v>
      </c>
      <c r="H100" s="6">
        <f>SUMIF(Source_BS!$A:$A,$A100,Source_BS!H:H)</f>
        <v>4634.0600000000004</v>
      </c>
      <c r="I100" s="6">
        <f>SUMIF(Source_BS!$A:$A,$A100,Source_BS!I:I)</f>
        <v>3981.2500000000005</v>
      </c>
      <c r="J100" s="6">
        <f>SUMIF(Source_BS!$A:$A,$A100,Source_BS!J:J)</f>
        <v>3325.4900000000007</v>
      </c>
      <c r="K100" s="6">
        <f>SUMIF(Source_BS!$A:$A,$A100,Source_BS!K:K)</f>
        <v>2666.4700000000007</v>
      </c>
      <c r="L100" s="6">
        <f>SUMIF(Source_BS!$A:$A,$A100,Source_BS!L:L)</f>
        <v>2004.7700000000007</v>
      </c>
      <c r="M100" s="6">
        <f>SUMIF(Source_BS!$A:$A,$A100,Source_BS!M:M)</f>
        <v>1339.7900000000006</v>
      </c>
    </row>
    <row r="101" spans="1:13" x14ac:dyDescent="0.25">
      <c r="A101" t="s">
        <v>198</v>
      </c>
      <c r="B101" s="6">
        <f>SUMIF(Source_BS!$A:$A,$A101,Source_BS!B:B)</f>
        <v>21535.530000000002</v>
      </c>
      <c r="C101" s="6">
        <f>SUMIF(Source_BS!$A:$A,$A101,Source_BS!C:C)</f>
        <v>20677.150000000001</v>
      </c>
      <c r="D101" s="6">
        <f>SUMIF(Source_BS!$A:$A,$A101,Source_BS!D:D)</f>
        <v>19810.45</v>
      </c>
      <c r="E101" s="6">
        <f>SUMIF(Source_BS!$A:$A,$A101,Source_BS!E:E)</f>
        <v>18945.510000000002</v>
      </c>
      <c r="F101" s="6">
        <f>SUMIF(Source_BS!$A:$A,$A101,Source_BS!F:F)</f>
        <v>18075.140000000003</v>
      </c>
      <c r="G101" s="6">
        <f>SUMIF(Source_BS!$A:$A,$A101,Source_BS!G:G)</f>
        <v>17203.700000000004</v>
      </c>
      <c r="H101" s="6">
        <f>SUMIF(Source_BS!$A:$A,$A101,Source_BS!H:H)</f>
        <v>16326.910000000003</v>
      </c>
      <c r="I101" s="6">
        <f>SUMIF(Source_BS!$A:$A,$A101,Source_BS!I:I)</f>
        <v>15449.030000000004</v>
      </c>
      <c r="J101" s="6">
        <f>SUMIF(Source_BS!$A:$A,$A101,Source_BS!J:J)</f>
        <v>14567.750000000004</v>
      </c>
      <c r="K101" s="6">
        <f>SUMIF(Source_BS!$A:$A,$A101,Source_BS!K:K)</f>
        <v>13681.620000000004</v>
      </c>
      <c r="L101" s="6">
        <f>SUMIF(Source_BS!$A:$A,$A101,Source_BS!L:L)</f>
        <v>12793.720000000005</v>
      </c>
      <c r="M101" s="6">
        <f>SUMIF(Source_BS!$A:$A,$A101,Source_BS!M:M)</f>
        <v>11900.950000000004</v>
      </c>
    </row>
    <row r="102" spans="1:13" x14ac:dyDescent="0.25">
      <c r="A102" t="s">
        <v>199</v>
      </c>
      <c r="B102" s="6">
        <f>SUMIF(Source_BS!$A:$A,$A102,Source_BS!B:B)</f>
        <v>14568.76</v>
      </c>
      <c r="C102" s="6">
        <f>SUMIF(Source_BS!$A:$A,$A102,Source_BS!C:C)</f>
        <v>13828.14</v>
      </c>
      <c r="D102" s="6">
        <f>SUMIF(Source_BS!$A:$A,$A102,Source_BS!D:D)</f>
        <v>13081.58</v>
      </c>
      <c r="E102" s="6">
        <f>SUMIF(Source_BS!$A:$A,$A102,Source_BS!E:E)</f>
        <v>12335.39</v>
      </c>
      <c r="F102" s="6">
        <f>SUMIF(Source_BS!$A:$A,$A102,Source_BS!F:F)</f>
        <v>11584.91</v>
      </c>
      <c r="G102" s="6">
        <f>SUMIF(Source_BS!$A:$A,$A102,Source_BS!G:G)</f>
        <v>10833.289999999999</v>
      </c>
      <c r="H102" s="6">
        <f>SUMIF(Source_BS!$A:$A,$A102,Source_BS!H:H)</f>
        <v>10077.369999999999</v>
      </c>
      <c r="I102" s="6">
        <f>SUMIF(Source_BS!$A:$A,$A102,Source_BS!I:I)</f>
        <v>9319.9199999999983</v>
      </c>
      <c r="J102" s="6">
        <f>SUMIF(Source_BS!$A:$A,$A102,Source_BS!J:J)</f>
        <v>8559.7299999999977</v>
      </c>
      <c r="K102" s="6">
        <f>SUMIF(Source_BS!$A:$A,$A102,Source_BS!K:K)</f>
        <v>7795.5599999999977</v>
      </c>
      <c r="L102" s="6">
        <f>SUMIF(Source_BS!$A:$A,$A102,Source_BS!L:L)</f>
        <v>7029.5699999999979</v>
      </c>
      <c r="M102" s="6">
        <f>SUMIF(Source_BS!$A:$A,$A102,Source_BS!M:M)</f>
        <v>6259.8599999999979</v>
      </c>
    </row>
    <row r="103" spans="1:13" x14ac:dyDescent="0.25">
      <c r="A103" t="s">
        <v>200</v>
      </c>
      <c r="B103" s="6">
        <f>SUMIF(Source_BS!$A:$A,$A103,Source_BS!B:B)</f>
        <v>38989.82</v>
      </c>
      <c r="C103" s="6">
        <f>SUMIF(Source_BS!$A:$A,$A103,Source_BS!C:C)</f>
        <v>37759.760000000002</v>
      </c>
      <c r="D103" s="6">
        <f>SUMIF(Source_BS!$A:$A,$A103,Source_BS!D:D)</f>
        <v>36515.840000000004</v>
      </c>
      <c r="E103" s="6">
        <f>SUMIF(Source_BS!$A:$A,$A103,Source_BS!E:E)</f>
        <v>35276.280000000006</v>
      </c>
      <c r="F103" s="6">
        <f>SUMIF(Source_BS!$A:$A,$A103,Source_BS!F:F)</f>
        <v>34028.310000000005</v>
      </c>
      <c r="G103" s="6">
        <f>SUMIF(Source_BS!$A:$A,$A103,Source_BS!G:G)</f>
        <v>32779.65</v>
      </c>
      <c r="H103" s="6">
        <f>SUMIF(Source_BS!$A:$A,$A103,Source_BS!H:H)</f>
        <v>31522.550000000003</v>
      </c>
      <c r="I103" s="6">
        <f>SUMIF(Source_BS!$A:$A,$A103,Source_BS!I:I)</f>
        <v>30265.020000000004</v>
      </c>
      <c r="J103" s="6">
        <f>SUMIF(Source_BS!$A:$A,$A103,Source_BS!J:J)</f>
        <v>29002.590000000004</v>
      </c>
      <c r="K103" s="6">
        <f>SUMIF(Source_BS!$A:$A,$A103,Source_BS!K:K)</f>
        <v>27732.110000000004</v>
      </c>
      <c r="L103" s="6">
        <f>SUMIF(Source_BS!$A:$A,$A103,Source_BS!L:L)</f>
        <v>26460.710000000003</v>
      </c>
      <c r="M103" s="6">
        <f>SUMIF(Source_BS!$A:$A,$A103,Source_BS!M:M)</f>
        <v>25181.230000000003</v>
      </c>
    </row>
    <row r="104" spans="1:13" x14ac:dyDescent="0.25">
      <c r="A104" t="s">
        <v>201</v>
      </c>
      <c r="B104" s="6">
        <f>SUMIF(Source_BS!$A:$A,$A104,Source_BS!B:B)</f>
        <v>51054.200000000004</v>
      </c>
      <c r="C104" s="6">
        <f>SUMIF(Source_BS!$A:$A,$A104,Source_BS!C:C)</f>
        <v>50028.860000000008</v>
      </c>
      <c r="D104" s="6">
        <f>SUMIF(Source_BS!$A:$A,$A104,Source_BS!D:D)</f>
        <v>48999.890000000007</v>
      </c>
      <c r="E104" s="6">
        <f>SUMIF(Source_BS!$A:$A,$A104,Source_BS!E:E)</f>
        <v>47973.30000000001</v>
      </c>
      <c r="F104" s="6">
        <f>SUMIF(Source_BS!$A:$A,$A104,Source_BS!F:F)</f>
        <v>46937.05000000001</v>
      </c>
      <c r="G104" s="6">
        <f>SUMIF(Source_BS!$A:$A,$A104,Source_BS!G:G)</f>
        <v>46937.05000000001</v>
      </c>
      <c r="H104" s="6">
        <f>SUMIF(Source_BS!$A:$A,$A104,Source_BS!H:H)</f>
        <v>44859.210000000006</v>
      </c>
      <c r="I104" s="6">
        <f>SUMIF(Source_BS!$A:$A,$A104,Source_BS!I:I)</f>
        <v>43817.23</v>
      </c>
      <c r="J104" s="6">
        <f>SUMIF(Source_BS!$A:$A,$A104,Source_BS!J:J)</f>
        <v>42771.43</v>
      </c>
      <c r="K104" s="6">
        <f>SUMIF(Source_BS!$A:$A,$A104,Source_BS!K:K)</f>
        <v>41716.76</v>
      </c>
      <c r="L104" s="6">
        <f>SUMIF(Source_BS!$A:$A,$A104,Source_BS!L:L)</f>
        <v>41716.76</v>
      </c>
      <c r="M104" s="6">
        <f>SUMIF(Source_BS!$A:$A,$A104,Source_BS!M:M)</f>
        <v>39601.39</v>
      </c>
    </row>
    <row r="105" spans="1:13" x14ac:dyDescent="0.25">
      <c r="A105" t="s">
        <v>202</v>
      </c>
      <c r="B105" s="6">
        <f>SUMIF(Source_BS!$A:$A,$A105,Source_BS!B:B)</f>
        <v>60914.22</v>
      </c>
      <c r="C105" s="6">
        <f>SUMIF(Source_BS!$A:$A,$A105,Source_BS!C:C)</f>
        <v>59648.75</v>
      </c>
      <c r="D105" s="6">
        <f>SUMIF(Source_BS!$A:$A,$A105,Source_BS!D:D)</f>
        <v>58357.49</v>
      </c>
      <c r="E105" s="6">
        <f>SUMIF(Source_BS!$A:$A,$A105,Source_BS!E:E)</f>
        <v>57079.02</v>
      </c>
      <c r="F105" s="6">
        <f>SUMIF(Source_BS!$A:$A,$A105,Source_BS!F:F)</f>
        <v>55784.219999999994</v>
      </c>
      <c r="G105" s="6">
        <f>SUMIF(Source_BS!$A:$A,$A105,Source_BS!G:G)</f>
        <v>54492.239999999991</v>
      </c>
      <c r="H105" s="6">
        <f>SUMIF(Source_BS!$A:$A,$A105,Source_BS!H:H)</f>
        <v>53184.509999999987</v>
      </c>
      <c r="I105" s="6">
        <f>SUMIF(Source_BS!$A:$A,$A105,Source_BS!I:I)</f>
        <v>51879.099999999984</v>
      </c>
      <c r="J105" s="6">
        <f>SUMIF(Source_BS!$A:$A,$A105,Source_BS!J:J)</f>
        <v>50567.379999999983</v>
      </c>
      <c r="K105" s="6">
        <f>SUMIF(Source_BS!$A:$A,$A105,Source_BS!K:K)</f>
        <v>49240.019999999982</v>
      </c>
      <c r="L105" s="6">
        <f>SUMIF(Source_BS!$A:$A,$A105,Source_BS!L:L)</f>
        <v>47914.229999999981</v>
      </c>
      <c r="M105" s="6">
        <f>SUMIF(Source_BS!$A:$A,$A105,Source_BS!M:M)</f>
        <v>46573.82999999998</v>
      </c>
    </row>
    <row r="106" spans="1:13" x14ac:dyDescent="0.25">
      <c r="A106" t="s">
        <v>203</v>
      </c>
      <c r="B106" s="6">
        <f>SUMIF(Source_BS!$A:$A,$A106,Source_BS!B:B)</f>
        <v>59395.719999999994</v>
      </c>
      <c r="C106" s="6">
        <f>SUMIF(Source_BS!$A:$A,$A106,Source_BS!C:C)</f>
        <v>57920.249999999993</v>
      </c>
      <c r="D106" s="6">
        <f>SUMIF(Source_BS!$A:$A,$A106,Source_BS!D:D)</f>
        <v>56417.109999999993</v>
      </c>
      <c r="E106" s="6">
        <f>SUMIF(Source_BS!$A:$A,$A106,Source_BS!E:E)</f>
        <v>54925.509999999995</v>
      </c>
      <c r="F106" s="6">
        <f>SUMIF(Source_BS!$A:$A,$A106,Source_BS!F:F)</f>
        <v>53417.549999999996</v>
      </c>
      <c r="G106" s="6">
        <f>SUMIF(Source_BS!$A:$A,$A106,Source_BS!G:G)</f>
        <v>51910.46</v>
      </c>
      <c r="H106" s="6">
        <f>SUMIF(Source_BS!$A:$A,$A106,Source_BS!H:H)</f>
        <v>50386.93</v>
      </c>
      <c r="I106" s="6">
        <f>SUMIF(Source_BS!$A:$A,$A106,Source_BS!I:I)</f>
        <v>48864.68</v>
      </c>
      <c r="J106" s="6">
        <f>SUMIF(Source_BS!$A:$A,$A106,Source_BS!J:J)</f>
        <v>47334.06</v>
      </c>
      <c r="K106" s="6">
        <f>SUMIF(Source_BS!$A:$A,$A106,Source_BS!K:K)</f>
        <v>45787.649999999994</v>
      </c>
      <c r="L106" s="6">
        <f>SUMIF(Source_BS!$A:$A,$A106,Source_BS!L:L)</f>
        <v>44241.639999999992</v>
      </c>
      <c r="M106" s="6">
        <f>SUMIF(Source_BS!$A:$A,$A106,Source_BS!M:M)</f>
        <v>42679.759999999995</v>
      </c>
    </row>
    <row r="107" spans="1:13" x14ac:dyDescent="0.25">
      <c r="A107" t="s">
        <v>204</v>
      </c>
      <c r="B107" s="6">
        <f>SUMIF(Source_BS!$A:$A,$A107,Source_BS!B:B)</f>
        <v>62990</v>
      </c>
      <c r="C107" s="6">
        <f>SUMIF(Source_BS!$A:$A,$A107,Source_BS!C:C)</f>
        <v>62764.09</v>
      </c>
      <c r="D107" s="6">
        <f>SUMIF(Source_BS!$A:$A,$A107,Source_BS!D:D)</f>
        <v>60447.46</v>
      </c>
      <c r="E107" s="6">
        <f>SUMIF(Source_BS!$A:$A,$A107,Source_BS!E:E)</f>
        <v>59593.71</v>
      </c>
      <c r="F107" s="6">
        <f>SUMIF(Source_BS!$A:$A,$A107,Source_BS!F:F)</f>
        <v>58747.78</v>
      </c>
      <c r="G107" s="6">
        <f>SUMIF(Source_BS!$A:$A,$A107,Source_BS!G:G)</f>
        <v>57853.84</v>
      </c>
      <c r="H107" s="6">
        <f>SUMIF(Source_BS!$A:$A,$A107,Source_BS!H:H)</f>
        <v>56967.439999999995</v>
      </c>
      <c r="I107" s="6">
        <f>SUMIF(Source_BS!$A:$A,$A107,Source_BS!I:I)</f>
        <v>56088.219999999994</v>
      </c>
      <c r="J107" s="6">
        <f>SUMIF(Source_BS!$A:$A,$A107,Source_BS!J:J)</f>
        <v>55202.55999999999</v>
      </c>
      <c r="K107" s="6">
        <f>SUMIF(Source_BS!$A:$A,$A107,Source_BS!K:K)</f>
        <v>54323.44999999999</v>
      </c>
      <c r="L107" s="6">
        <f>SUMIF(Source_BS!$A:$A,$A107,Source_BS!L:L)</f>
        <v>53399.219999999987</v>
      </c>
      <c r="M107" s="6">
        <f>SUMIF(Source_BS!$A:$A,$A107,Source_BS!M:M)</f>
        <v>52481.26999999999</v>
      </c>
    </row>
    <row r="108" spans="1:13" x14ac:dyDescent="0.25">
      <c r="A108" t="s">
        <v>205</v>
      </c>
      <c r="B108" s="6">
        <f>SUMIF(Source_BS!$A:$A,$A108,Source_BS!B:B)</f>
        <v>0</v>
      </c>
      <c r="C108" s="6">
        <f>SUMIF(Source_BS!$A:$A,$A108,Source_BS!C:C)</f>
        <v>0</v>
      </c>
      <c r="D108" s="6">
        <f>SUMIF(Source_BS!$A:$A,$A108,Source_BS!D:D)</f>
        <v>0</v>
      </c>
      <c r="E108" s="6">
        <f>SUMIF(Source_BS!$A:$A,$A108,Source_BS!E:E)</f>
        <v>0</v>
      </c>
      <c r="F108" s="6">
        <f>SUMIF(Source_BS!$A:$A,$A108,Source_BS!F:F)</f>
        <v>50385</v>
      </c>
      <c r="G108" s="6">
        <f>SUMIF(Source_BS!$A:$A,$A108,Source_BS!G:G)</f>
        <v>50385</v>
      </c>
      <c r="H108" s="6">
        <f>SUMIF(Source_BS!$A:$A,$A108,Source_BS!H:H)</f>
        <v>49036.29</v>
      </c>
      <c r="I108" s="6">
        <f>SUMIF(Source_BS!$A:$A,$A108,Source_BS!I:I)</f>
        <v>49036.29</v>
      </c>
      <c r="J108" s="6">
        <f>SUMIF(Source_BS!$A:$A,$A108,Source_BS!J:J)</f>
        <v>47557.48</v>
      </c>
      <c r="K108" s="6">
        <f>SUMIF(Source_BS!$A:$A,$A108,Source_BS!K:K)</f>
        <v>46836.11</v>
      </c>
      <c r="L108" s="6">
        <f>SUMIF(Source_BS!$A:$A,$A108,Source_BS!L:L)</f>
        <v>46315.25</v>
      </c>
      <c r="M108" s="6">
        <f>SUMIF(Source_BS!$A:$A,$A108,Source_BS!M:M)</f>
        <v>45593.88</v>
      </c>
    </row>
    <row r="109" spans="1:13" x14ac:dyDescent="0.25">
      <c r="A109" t="s">
        <v>206</v>
      </c>
      <c r="B109" s="6">
        <f>SUMIF(Source_BS!$A:$A,$A109,Source_BS!B:B)</f>
        <v>40359.18</v>
      </c>
      <c r="C109" s="6">
        <f>SUMIF(Source_BS!$A:$A,$A109,Source_BS!C:C)</f>
        <v>40359.18</v>
      </c>
      <c r="D109" s="6">
        <f>SUMIF(Source_BS!$A:$A,$A109,Source_BS!D:D)</f>
        <v>38962.120000000003</v>
      </c>
      <c r="E109" s="6">
        <f>SUMIF(Source_BS!$A:$A,$A109,Source_BS!E:E)</f>
        <v>38264.18</v>
      </c>
      <c r="F109" s="6">
        <f>SUMIF(Source_BS!$A:$A,$A109,Source_BS!F:F)</f>
        <v>37247.840000000004</v>
      </c>
      <c r="G109" s="6">
        <f>SUMIF(Source_BS!$A:$A,$A109,Source_BS!G:G)</f>
        <v>36534.100000000006</v>
      </c>
      <c r="H109" s="6">
        <f>SUMIF(Source_BS!$A:$A,$A109,Source_BS!H:H)</f>
        <v>36115.410000000003</v>
      </c>
      <c r="I109" s="6">
        <f>SUMIF(Source_BS!$A:$A,$A109,Source_BS!I:I)</f>
        <v>35099.070000000007</v>
      </c>
      <c r="J109" s="6">
        <f>SUMIF(Source_BS!$A:$A,$A109,Source_BS!J:J)</f>
        <v>34377.670000000006</v>
      </c>
      <c r="K109" s="6">
        <f>SUMIF(Source_BS!$A:$A,$A109,Source_BS!K:K)</f>
        <v>33650.570000000007</v>
      </c>
      <c r="L109" s="6">
        <f>SUMIF(Source_BS!$A:$A,$A109,Source_BS!L:L)</f>
        <v>33185.420000000006</v>
      </c>
      <c r="M109" s="6">
        <f>SUMIF(Source_BS!$A:$A,$A109,Source_BS!M:M)</f>
        <v>32431.520000000004</v>
      </c>
    </row>
    <row r="110" spans="1:13" x14ac:dyDescent="0.25">
      <c r="A110" t="s">
        <v>207</v>
      </c>
      <c r="B110" s="6">
        <f>SUMIF(Source_BS!$A:$A,$A110,Source_BS!B:B)</f>
        <v>0</v>
      </c>
      <c r="C110" s="6">
        <f>SUMIF(Source_BS!$A:$A,$A110,Source_BS!C:C)</f>
        <v>0</v>
      </c>
      <c r="D110" s="6">
        <f>SUMIF(Source_BS!$A:$A,$A110,Source_BS!D:D)</f>
        <v>0</v>
      </c>
      <c r="E110" s="6">
        <f>SUMIF(Source_BS!$A:$A,$A110,Source_BS!E:E)</f>
        <v>0</v>
      </c>
      <c r="F110" s="6">
        <f>SUMIF(Source_BS!$A:$A,$A110,Source_BS!F:F)</f>
        <v>0</v>
      </c>
      <c r="G110" s="6">
        <f>SUMIF(Source_BS!$A:$A,$A110,Source_BS!G:G)</f>
        <v>120890</v>
      </c>
      <c r="H110" s="6">
        <f>SUMIF(Source_BS!$A:$A,$A110,Source_BS!H:H)</f>
        <v>120890</v>
      </c>
      <c r="I110" s="6">
        <f>SUMIF(Source_BS!$A:$A,$A110,Source_BS!I:I)</f>
        <v>119972.84</v>
      </c>
      <c r="J110" s="6">
        <f>SUMIF(Source_BS!$A:$A,$A110,Source_BS!J:J)</f>
        <v>118668.73</v>
      </c>
      <c r="K110" s="6">
        <f>SUMIF(Source_BS!$A:$A,$A110,Source_BS!K:K)</f>
        <v>117328.83</v>
      </c>
      <c r="L110" s="6">
        <f>SUMIF(Source_BS!$A:$A,$A110,Source_BS!L:L)</f>
        <v>116006.28</v>
      </c>
      <c r="M110" s="6">
        <f>SUMIF(Source_BS!$A:$A,$A110,Source_BS!M:M)</f>
        <v>114648.43</v>
      </c>
    </row>
    <row r="111" spans="1:13" x14ac:dyDescent="0.25">
      <c r="A111" t="s">
        <v>208</v>
      </c>
      <c r="B111" s="6">
        <f>SUMIF(Source_BS!$A:$A,$A111,Source_BS!B:B)</f>
        <v>0</v>
      </c>
      <c r="C111" s="6">
        <f>SUMIF(Source_BS!$A:$A,$A111,Source_BS!C:C)</f>
        <v>0</v>
      </c>
      <c r="D111" s="6">
        <f>SUMIF(Source_BS!$A:$A,$A111,Source_BS!D:D)</f>
        <v>0</v>
      </c>
      <c r="E111" s="6">
        <f>SUMIF(Source_BS!$A:$A,$A111,Source_BS!E:E)</f>
        <v>0</v>
      </c>
      <c r="F111" s="6">
        <f>SUMIF(Source_BS!$A:$A,$A111,Source_BS!F:F)</f>
        <v>0</v>
      </c>
      <c r="G111" s="6">
        <f>SUMIF(Source_BS!$A:$A,$A111,Source_BS!G:G)</f>
        <v>0</v>
      </c>
      <c r="H111" s="6">
        <f>SUMIF(Source_BS!$A:$A,$A111,Source_BS!H:H)</f>
        <v>0</v>
      </c>
      <c r="I111" s="6">
        <f>SUMIF(Source_BS!$A:$A,$A111,Source_BS!I:I)</f>
        <v>0</v>
      </c>
      <c r="J111" s="6">
        <f>SUMIF(Source_BS!$A:$A,$A111,Source_BS!J:J)</f>
        <v>82089.55</v>
      </c>
      <c r="K111" s="6">
        <f>SUMIF(Source_BS!$A:$A,$A111,Source_BS!K:K)</f>
        <v>80063.47</v>
      </c>
      <c r="L111" s="6">
        <f>SUMIF(Source_BS!$A:$A,$A111,Source_BS!L:L)</f>
        <v>78059.740000000005</v>
      </c>
      <c r="M111" s="6">
        <f>SUMIF(Source_BS!$A:$A,$A111,Source_BS!M:M)</f>
        <v>75988.89</v>
      </c>
    </row>
    <row r="112" spans="1:13" x14ac:dyDescent="0.25">
      <c r="A112" t="s">
        <v>209</v>
      </c>
      <c r="B112" s="6">
        <f>SUMIF(Source_BS!$A:$A,$A112,Source_BS!B:B)</f>
        <v>0</v>
      </c>
      <c r="C112" s="6">
        <f>SUMIF(Source_BS!$A:$A,$A112,Source_BS!C:C)</f>
        <v>0</v>
      </c>
      <c r="D112" s="6">
        <f>SUMIF(Source_BS!$A:$A,$A112,Source_BS!D:D)</f>
        <v>0</v>
      </c>
      <c r="E112" s="6">
        <f>SUMIF(Source_BS!$A:$A,$A112,Source_BS!E:E)</f>
        <v>0</v>
      </c>
      <c r="F112" s="6">
        <f>SUMIF(Source_BS!$A:$A,$A112,Source_BS!F:F)</f>
        <v>0</v>
      </c>
      <c r="G112" s="6">
        <f>SUMIF(Source_BS!$A:$A,$A112,Source_BS!G:G)</f>
        <v>0</v>
      </c>
      <c r="H112" s="6">
        <f>SUMIF(Source_BS!$A:$A,$A112,Source_BS!H:H)</f>
        <v>0</v>
      </c>
      <c r="I112" s="6">
        <f>SUMIF(Source_BS!$A:$A,$A112,Source_BS!I:I)</f>
        <v>0</v>
      </c>
      <c r="J112" s="6">
        <f>SUMIF(Source_BS!$A:$A,$A112,Source_BS!J:J)</f>
        <v>0</v>
      </c>
      <c r="K112" s="6">
        <f>SUMIF(Source_BS!$A:$A,$A112,Source_BS!K:K)</f>
        <v>0</v>
      </c>
      <c r="L112" s="6">
        <f>SUMIF(Source_BS!$A:$A,$A112,Source_BS!L:L)</f>
        <v>0</v>
      </c>
      <c r="M112" s="6">
        <f>SUMIF(Source_BS!$A:$A,$A112,Source_BS!M:M)</f>
        <v>106800.81</v>
      </c>
    </row>
    <row r="113" spans="1:13" x14ac:dyDescent="0.25">
      <c r="A113" t="s">
        <v>210</v>
      </c>
      <c r="B113" s="6">
        <f>SUMIF(Source_BS!$A:$A,$A113,Source_BS!B:B)</f>
        <v>500000</v>
      </c>
      <c r="C113" s="6">
        <f>SUMIF(Source_BS!$A:$A,$A113,Source_BS!C:C)</f>
        <v>500000</v>
      </c>
      <c r="D113" s="6">
        <f>SUMIF(Source_BS!$A:$A,$A113,Source_BS!D:D)</f>
        <v>500000</v>
      </c>
      <c r="E113" s="6">
        <f>SUMIF(Source_BS!$A:$A,$A113,Source_BS!E:E)</f>
        <v>500000</v>
      </c>
      <c r="F113" s="6">
        <f>SUMIF(Source_BS!$A:$A,$A113,Source_BS!F:F)</f>
        <v>500000</v>
      </c>
      <c r="G113" s="6">
        <f>SUMIF(Source_BS!$A:$A,$A113,Source_BS!G:G)</f>
        <v>500000</v>
      </c>
      <c r="H113" s="6">
        <f>SUMIF(Source_BS!$A:$A,$A113,Source_BS!H:H)</f>
        <v>500000</v>
      </c>
      <c r="I113" s="6">
        <f>SUMIF(Source_BS!$A:$A,$A113,Source_BS!I:I)</f>
        <v>500000</v>
      </c>
      <c r="J113" s="6">
        <f>SUMIF(Source_BS!$A:$A,$A113,Source_BS!J:J)</f>
        <v>500000</v>
      </c>
      <c r="K113" s="6">
        <f>SUMIF(Source_BS!$A:$A,$A113,Source_BS!K:K)</f>
        <v>500000</v>
      </c>
      <c r="L113" s="6">
        <f>SUMIF(Source_BS!$A:$A,$A113,Source_BS!L:L)</f>
        <v>500000</v>
      </c>
      <c r="M113" s="6">
        <f>SUMIF(Source_BS!$A:$A,$A113,Source_BS!M:M)</f>
        <v>500000</v>
      </c>
    </row>
    <row r="114" spans="1:13" x14ac:dyDescent="0.25">
      <c r="A114" s="7" t="s">
        <v>211</v>
      </c>
      <c r="B114" s="9">
        <f>SUMIF(Source_BS!$A:$A,$A114,Source_BS!B:B)</f>
        <v>960619.33000000007</v>
      </c>
      <c r="C114" s="9">
        <f>SUMIF(Source_BS!$A:$A,$A114,Source_BS!C:C)</f>
        <v>952774.28</v>
      </c>
      <c r="D114" s="9">
        <f>SUMIF(Source_BS!$A:$A,$A114,Source_BS!D:D)</f>
        <v>941351.08000000007</v>
      </c>
      <c r="E114" s="9">
        <f>SUMIF(Source_BS!$A:$A,$A114,Source_BS!E:E)</f>
        <v>932122.47000000009</v>
      </c>
      <c r="F114" s="9">
        <f>SUMIF(Source_BS!$A:$A,$A114,Source_BS!F:F)</f>
        <v>972903.95</v>
      </c>
      <c r="G114" s="9">
        <f>SUMIF(Source_BS!$A:$A,$A114,Source_BS!G:G)</f>
        <v>1085480.1000000001</v>
      </c>
      <c r="H114" s="9">
        <f>SUMIF(Source_BS!$A:$A,$A114,Source_BS!H:H)</f>
        <v>1073988.5</v>
      </c>
      <c r="I114" s="9">
        <f>SUMIF(Source_BS!$A:$A,$A114,Source_BS!I:I)</f>
        <v>1063372.0299999998</v>
      </c>
      <c r="J114" s="9">
        <f>SUMIF(Source_BS!$A:$A,$A114,Source_BS!J:J)</f>
        <v>1133235.3599999999</v>
      </c>
      <c r="K114" s="9">
        <f>SUMIF(Source_BS!$A:$A,$A114,Source_BS!K:K)</f>
        <v>1119645.1200000001</v>
      </c>
      <c r="L114" s="9">
        <f>SUMIF(Source_BS!$A:$A,$A114,Source_BS!L:L)</f>
        <v>1107561.3699999999</v>
      </c>
      <c r="M114" s="9">
        <f>SUMIF(Source_BS!$A:$A,$A114,Source_BS!M:M)</f>
        <v>1110027.3899999999</v>
      </c>
    </row>
    <row r="115" spans="1:13" x14ac:dyDescent="0.25">
      <c r="A115" s="7" t="s">
        <v>212</v>
      </c>
      <c r="B115" s="9">
        <f>SUMIF(Source_BS!$A:$A,$A115,Source_BS!B:B)</f>
        <v>1335336.9500000002</v>
      </c>
      <c r="C115" s="9">
        <f>SUMIF(Source_BS!$A:$A,$A115,Source_BS!C:C)</f>
        <v>1461031.53</v>
      </c>
      <c r="D115" s="9">
        <f>SUMIF(Source_BS!$A:$A,$A115,Source_BS!D:D)</f>
        <v>1435797.02</v>
      </c>
      <c r="E115" s="9">
        <f>SUMIF(Source_BS!$A:$A,$A115,Source_BS!E:E)</f>
        <v>1390645.62</v>
      </c>
      <c r="F115" s="9">
        <f>SUMIF(Source_BS!$A:$A,$A115,Source_BS!F:F)</f>
        <v>1405617.33</v>
      </c>
      <c r="G115" s="9">
        <f>SUMIF(Source_BS!$A:$A,$A115,Source_BS!G:G)</f>
        <v>1379789.2200000002</v>
      </c>
      <c r="H115" s="9">
        <f>SUMIF(Source_BS!$A:$A,$A115,Source_BS!H:H)</f>
        <v>1433581.76</v>
      </c>
      <c r="I115" s="9">
        <f>SUMIF(Source_BS!$A:$A,$A115,Source_BS!I:I)</f>
        <v>1482866.38</v>
      </c>
      <c r="J115" s="9">
        <f>SUMIF(Source_BS!$A:$A,$A115,Source_BS!J:J)</f>
        <v>1607070.3699999999</v>
      </c>
      <c r="K115" s="9">
        <f>SUMIF(Source_BS!$A:$A,$A115,Source_BS!K:K)</f>
        <v>1601709.82</v>
      </c>
      <c r="L115" s="9">
        <f>SUMIF(Source_BS!$A:$A,$A115,Source_BS!L:L)</f>
        <v>1597261.3199999998</v>
      </c>
      <c r="M115" s="9">
        <f>SUMIF(Source_BS!$A:$A,$A115,Source_BS!M:M)</f>
        <v>1638594.43</v>
      </c>
    </row>
    <row r="116" spans="1:13" x14ac:dyDescent="0.25">
      <c r="A116" t="s">
        <v>213</v>
      </c>
      <c r="B116" s="6">
        <f>SUMIF(Source_BS!$A:$A,$A116,Source_BS!B:B)</f>
        <v>0</v>
      </c>
      <c r="C116" s="6">
        <f>SUMIF(Source_BS!$A:$A,$A116,Source_BS!C:C)</f>
        <v>0</v>
      </c>
      <c r="D116" s="6">
        <f>SUMIF(Source_BS!$A:$A,$A116,Source_BS!D:D)</f>
        <v>0</v>
      </c>
      <c r="E116" s="6">
        <f>SUMIF(Source_BS!$A:$A,$A116,Source_BS!E:E)</f>
        <v>0</v>
      </c>
      <c r="F116" s="6">
        <f>SUMIF(Source_BS!$A:$A,$A116,Source_BS!F:F)</f>
        <v>0</v>
      </c>
      <c r="G116" s="6">
        <f>SUMIF(Source_BS!$A:$A,$A116,Source_BS!G:G)</f>
        <v>0</v>
      </c>
      <c r="H116" s="6">
        <f>SUMIF(Source_BS!$A:$A,$A116,Source_BS!H:H)</f>
        <v>0</v>
      </c>
      <c r="I116" s="6">
        <f>SUMIF(Source_BS!$A:$A,$A116,Source_BS!I:I)</f>
        <v>0</v>
      </c>
      <c r="J116" s="6">
        <f>SUMIF(Source_BS!$A:$A,$A116,Source_BS!J:J)</f>
        <v>0</v>
      </c>
      <c r="K116" s="6">
        <f>SUMIF(Source_BS!$A:$A,$A116,Source_BS!K:K)</f>
        <v>0</v>
      </c>
      <c r="L116" s="6">
        <f>SUMIF(Source_BS!$A:$A,$A116,Source_BS!L:L)</f>
        <v>0</v>
      </c>
      <c r="M116" s="6">
        <f>SUMIF(Source_BS!$A:$A,$A116,Source_BS!M:M)</f>
        <v>0</v>
      </c>
    </row>
    <row r="117" spans="1:13" x14ac:dyDescent="0.25">
      <c r="A117" t="s">
        <v>214</v>
      </c>
      <c r="B117" s="6">
        <f>SUMIF(Source_BS!$A:$A,$A117,Source_BS!B:B)</f>
        <v>0</v>
      </c>
      <c r="C117" s="6">
        <f>SUMIF(Source_BS!$A:$A,$A117,Source_BS!C:C)</f>
        <v>0</v>
      </c>
      <c r="D117" s="6">
        <f>SUMIF(Source_BS!$A:$A,$A117,Source_BS!D:D)</f>
        <v>0</v>
      </c>
      <c r="E117" s="6">
        <f>SUMIF(Source_BS!$A:$A,$A117,Source_BS!E:E)</f>
        <v>0</v>
      </c>
      <c r="F117" s="6">
        <f>SUMIF(Source_BS!$A:$A,$A117,Source_BS!F:F)</f>
        <v>0</v>
      </c>
      <c r="G117" s="6">
        <f>SUMIF(Source_BS!$A:$A,$A117,Source_BS!G:G)</f>
        <v>5000</v>
      </c>
      <c r="H117" s="6">
        <f>SUMIF(Source_BS!$A:$A,$A117,Source_BS!H:H)</f>
        <v>5000</v>
      </c>
      <c r="I117" s="6">
        <f>SUMIF(Source_BS!$A:$A,$A117,Source_BS!I:I)</f>
        <v>5000</v>
      </c>
      <c r="J117" s="6">
        <f>SUMIF(Source_BS!$A:$A,$A117,Source_BS!J:J)</f>
        <v>5000</v>
      </c>
      <c r="K117" s="6">
        <f>SUMIF(Source_BS!$A:$A,$A117,Source_BS!K:K)</f>
        <v>5000</v>
      </c>
      <c r="L117" s="6">
        <f>SUMIF(Source_BS!$A:$A,$A117,Source_BS!L:L)</f>
        <v>5000</v>
      </c>
      <c r="M117" s="6">
        <f>SUMIF(Source_BS!$A:$A,$A117,Source_BS!M:M)</f>
        <v>5000</v>
      </c>
    </row>
    <row r="118" spans="1:13" x14ac:dyDescent="0.25">
      <c r="A118" t="s">
        <v>215</v>
      </c>
      <c r="B118" s="6">
        <f>SUMIF(Source_BS!$A:$A,$A118,Source_BS!B:B)</f>
        <v>-280814.03999999998</v>
      </c>
      <c r="C118" s="6">
        <f>SUMIF(Source_BS!$A:$A,$A118,Source_BS!C:C)</f>
        <v>-280814.03999999998</v>
      </c>
      <c r="D118" s="6">
        <f>SUMIF(Source_BS!$A:$A,$A118,Source_BS!D:D)</f>
        <v>-280770.12</v>
      </c>
      <c r="E118" s="6">
        <f>SUMIF(Source_BS!$A:$A,$A118,Source_BS!E:E)</f>
        <v>-280770.12</v>
      </c>
      <c r="F118" s="6">
        <f>SUMIF(Source_BS!$A:$A,$A118,Source_BS!F:F)</f>
        <v>-281770.12</v>
      </c>
      <c r="G118" s="6">
        <f>SUMIF(Source_BS!$A:$A,$A118,Source_BS!G:G)</f>
        <v>-273675.69</v>
      </c>
      <c r="H118" s="6">
        <f>SUMIF(Source_BS!$A:$A,$A118,Source_BS!H:H)</f>
        <v>-259675.69</v>
      </c>
      <c r="I118" s="6">
        <f>SUMIF(Source_BS!$A:$A,$A118,Source_BS!I:I)</f>
        <v>-259675.69</v>
      </c>
      <c r="J118" s="6">
        <f>SUMIF(Source_BS!$A:$A,$A118,Source_BS!J:J)</f>
        <v>-259675.69</v>
      </c>
      <c r="K118" s="6">
        <f>SUMIF(Source_BS!$A:$A,$A118,Source_BS!K:K)</f>
        <v>-259675.69</v>
      </c>
      <c r="L118" s="6">
        <f>SUMIF(Source_BS!$A:$A,$A118,Source_BS!L:L)</f>
        <v>-259675.69</v>
      </c>
      <c r="M118" s="6">
        <f>SUMIF(Source_BS!$A:$A,$A118,Source_BS!M:M)</f>
        <v>-228343.02000000002</v>
      </c>
    </row>
    <row r="119" spans="1:13" x14ac:dyDescent="0.25">
      <c r="A119" t="s">
        <v>216</v>
      </c>
      <c r="B119" s="6">
        <f>SUMIF(Source_BS!$A:$A,$A119,Source_BS!B:B)</f>
        <v>755350.49</v>
      </c>
      <c r="C119" s="6">
        <f>SUMIF(Source_BS!$A:$A,$A119,Source_BS!C:C)</f>
        <v>755350.49</v>
      </c>
      <c r="D119" s="6">
        <f>SUMIF(Source_BS!$A:$A,$A119,Source_BS!D:D)</f>
        <v>755350.49</v>
      </c>
      <c r="E119" s="6">
        <f>SUMIF(Source_BS!$A:$A,$A119,Source_BS!E:E)</f>
        <v>755350.49</v>
      </c>
      <c r="F119" s="6">
        <f>SUMIF(Source_BS!$A:$A,$A119,Source_BS!F:F)</f>
        <v>755350.49</v>
      </c>
      <c r="G119" s="6">
        <f>SUMIF(Source_BS!$A:$A,$A119,Source_BS!G:G)</f>
        <v>755350.49</v>
      </c>
      <c r="H119" s="6">
        <f>SUMIF(Source_BS!$A:$A,$A119,Source_BS!H:H)</f>
        <v>755350.49</v>
      </c>
      <c r="I119" s="6">
        <f>SUMIF(Source_BS!$A:$A,$A119,Source_BS!I:I)</f>
        <v>755350.49</v>
      </c>
      <c r="J119" s="6">
        <f>SUMIF(Source_BS!$A:$A,$A119,Source_BS!J:J)</f>
        <v>755350.49</v>
      </c>
      <c r="K119" s="6">
        <f>SUMIF(Source_BS!$A:$A,$A119,Source_BS!K:K)</f>
        <v>755350.49</v>
      </c>
      <c r="L119" s="6">
        <f>SUMIF(Source_BS!$A:$A,$A119,Source_BS!L:L)</f>
        <v>755350.49</v>
      </c>
      <c r="M119" s="6">
        <f>SUMIF(Source_BS!$A:$A,$A119,Source_BS!M:M)</f>
        <v>755350.49</v>
      </c>
    </row>
    <row r="120" spans="1:13" x14ac:dyDescent="0.25">
      <c r="A120" s="7" t="s">
        <v>101</v>
      </c>
      <c r="B120" s="9">
        <f>SUMIF(Source_BS!$A:$A,$A120,Source_BS!B:B)</f>
        <v>-540469.18000000005</v>
      </c>
      <c r="C120" s="9">
        <f>SUMIF(Source_BS!$A:$A,$A120,Source_BS!C:C)</f>
        <v>-714187.62000000011</v>
      </c>
      <c r="D120" s="9">
        <f>SUMIF(Source_BS!$A:$A,$A120,Source_BS!D:D)</f>
        <v>-474424.37</v>
      </c>
      <c r="E120" s="9">
        <f>SUMIF(Source_BS!$A:$A,$A120,Source_BS!E:E)</f>
        <v>-518185.62</v>
      </c>
      <c r="F120" s="9">
        <f>SUMIF(Source_BS!$A:$A,$A120,Source_BS!F:F)</f>
        <v>-443669.89</v>
      </c>
      <c r="G120" s="9">
        <f>SUMIF(Source_BS!$A:$A,$A120,Source_BS!G:G)</f>
        <v>-430183.30000000005</v>
      </c>
      <c r="H120" s="9">
        <f>SUMIF(Source_BS!$A:$A,$A120,Source_BS!H:H)</f>
        <v>-434905.19999999995</v>
      </c>
      <c r="I120" s="9">
        <f>SUMIF(Source_BS!$A:$A,$A120,Source_BS!I:I)</f>
        <v>-517527.4800000001</v>
      </c>
      <c r="J120" s="9">
        <f>SUMIF(Source_BS!$A:$A,$A120,Source_BS!J:J)</f>
        <v>-461917.6100000001</v>
      </c>
      <c r="K120" s="9">
        <f>SUMIF(Source_BS!$A:$A,$A120,Source_BS!K:K)</f>
        <v>-521313.14000000013</v>
      </c>
      <c r="L120" s="9">
        <f>SUMIF(Source_BS!$A:$A,$A120,Source_BS!L:L)</f>
        <v>-434447.85000000027</v>
      </c>
      <c r="M120" s="9">
        <f>SUMIF(Source_BS!$A:$A,$A120,Source_BS!M:M)</f>
        <v>-624629.74000000046</v>
      </c>
    </row>
    <row r="121" spans="1:13" x14ac:dyDescent="0.25">
      <c r="A121" s="7" t="s">
        <v>217</v>
      </c>
      <c r="B121" s="9">
        <f>SUMIF(Source_BS!$A:$A,$A121,Source_BS!B:B)</f>
        <v>-65932.73000000004</v>
      </c>
      <c r="C121" s="9">
        <f>SUMIF(Source_BS!$A:$A,$A121,Source_BS!C:C)</f>
        <v>-239651.1700000001</v>
      </c>
      <c r="D121" s="9">
        <f>SUMIF(Source_BS!$A:$A,$A121,Source_BS!D:D)</f>
        <v>156</v>
      </c>
      <c r="E121" s="9">
        <f>SUMIF(Source_BS!$A:$A,$A121,Source_BS!E:E)</f>
        <v>-43605.25</v>
      </c>
      <c r="F121" s="9">
        <f>SUMIF(Source_BS!$A:$A,$A121,Source_BS!F:F)</f>
        <v>29910.479999999981</v>
      </c>
      <c r="G121" s="9">
        <f>SUMIF(Source_BS!$A:$A,$A121,Source_BS!G:G)</f>
        <v>56491.499999999942</v>
      </c>
      <c r="H121" s="9">
        <f>SUMIF(Source_BS!$A:$A,$A121,Source_BS!H:H)</f>
        <v>65769.600000000035</v>
      </c>
      <c r="I121" s="9">
        <f>SUMIF(Source_BS!$A:$A,$A121,Source_BS!I:I)</f>
        <v>-16852.680000000109</v>
      </c>
      <c r="J121" s="9">
        <f>SUMIF(Source_BS!$A:$A,$A121,Source_BS!J:J)</f>
        <v>38757.189999999886</v>
      </c>
      <c r="K121" s="9">
        <f>SUMIF(Source_BS!$A:$A,$A121,Source_BS!K:K)</f>
        <v>-20638.340000000142</v>
      </c>
      <c r="L121" s="9">
        <f>SUMIF(Source_BS!$A:$A,$A121,Source_BS!L:L)</f>
        <v>66226.949999999721</v>
      </c>
      <c r="M121" s="9">
        <f>SUMIF(Source_BS!$A:$A,$A121,Source_BS!M:M)</f>
        <v>-92622.270000000484</v>
      </c>
    </row>
    <row r="122" spans="1:13" x14ac:dyDescent="0.25">
      <c r="A122" s="7" t="s">
        <v>218</v>
      </c>
      <c r="B122" s="9">
        <f>SUMIF(Source_BS!$A:$A,$A122,Source_BS!B:B)</f>
        <v>1269404.2200000002</v>
      </c>
      <c r="C122" s="9">
        <f>SUMIF(Source_BS!$A:$A,$A122,Source_BS!C:C)</f>
        <v>1221380.3599999999</v>
      </c>
      <c r="D122" s="9">
        <f>SUMIF(Source_BS!$A:$A,$A122,Source_BS!D:D)</f>
        <v>1435953.02</v>
      </c>
      <c r="E122" s="9">
        <f>SUMIF(Source_BS!$A:$A,$A122,Source_BS!E:E)</f>
        <v>1347040.37</v>
      </c>
      <c r="F122" s="9">
        <f>SUMIF(Source_BS!$A:$A,$A122,Source_BS!F:F)</f>
        <v>1435527.81</v>
      </c>
      <c r="G122" s="9">
        <f>SUMIF(Source_BS!$A:$A,$A122,Source_BS!G:G)</f>
        <v>1436280.7200000002</v>
      </c>
      <c r="H122" s="9">
        <f>SUMIF(Source_BS!$A:$A,$A122,Source_BS!H:H)</f>
        <v>1499351.36</v>
      </c>
      <c r="I122" s="9">
        <f>SUMIF(Source_BS!$A:$A,$A122,Source_BS!I:I)</f>
        <v>1466013.6999999997</v>
      </c>
      <c r="J122" s="9">
        <f>SUMIF(Source_BS!$A:$A,$A122,Source_BS!J:J)</f>
        <v>1645827.5599999998</v>
      </c>
      <c r="K122" s="9">
        <f>SUMIF(Source_BS!$A:$A,$A122,Source_BS!K:K)</f>
        <v>1581071.48</v>
      </c>
      <c r="L122" s="9">
        <f>SUMIF(Source_BS!$A:$A,$A122,Source_BS!L:L)</f>
        <v>1663488.2699999996</v>
      </c>
      <c r="M122" s="9">
        <f>SUMIF(Source_BS!$A:$A,$A122,Source_BS!M:M)</f>
        <v>1545972.1599999995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440B1-3B65-44C4-AABB-925B59AD3BFC}">
  <sheetPr codeName="Sheet6"/>
  <dimension ref="A1:O24"/>
  <sheetViews>
    <sheetView tabSelected="1" workbookViewId="0"/>
  </sheetViews>
  <sheetFormatPr defaultRowHeight="15" x14ac:dyDescent="0.25"/>
  <cols>
    <col min="1" max="1" width="33.42578125" bestFit="1" customWidth="1"/>
    <col min="2" max="3" width="8.28515625" bestFit="1" customWidth="1"/>
    <col min="4" max="4" width="7.5703125" bestFit="1" customWidth="1"/>
    <col min="5" max="6" width="7.28515625" bestFit="1" customWidth="1"/>
    <col min="7" max="7" width="6.7109375" bestFit="1" customWidth="1"/>
    <col min="8" max="8" width="6.28515625" bestFit="1" customWidth="1"/>
    <col min="9" max="9" width="7.28515625" bestFit="1" customWidth="1"/>
    <col min="10" max="10" width="7.140625" bestFit="1" customWidth="1"/>
    <col min="11" max="12" width="7.28515625" bestFit="1" customWidth="1"/>
    <col min="13" max="13" width="8.28515625" bestFit="1" customWidth="1"/>
    <col min="15" max="15" width="8.28515625" bestFit="1" customWidth="1"/>
  </cols>
  <sheetData>
    <row r="1" spans="1:15" ht="18.75" x14ac:dyDescent="0.3">
      <c r="A1" s="3" t="s">
        <v>219</v>
      </c>
    </row>
    <row r="2" spans="1:15" x14ac:dyDescent="0.25">
      <c r="A2" s="4" t="s">
        <v>223</v>
      </c>
    </row>
    <row r="4" spans="1:15" x14ac:dyDescent="0.25">
      <c r="A4" s="4" t="s">
        <v>224</v>
      </c>
      <c r="B4" s="5">
        <v>45292</v>
      </c>
      <c r="C4" s="5">
        <v>45323</v>
      </c>
      <c r="D4" s="5">
        <v>45352</v>
      </c>
      <c r="E4" s="5">
        <v>45383</v>
      </c>
      <c r="F4" s="5">
        <v>45413</v>
      </c>
      <c r="G4" s="5">
        <v>45444</v>
      </c>
      <c r="H4" s="5">
        <v>45474</v>
      </c>
      <c r="I4" s="5">
        <v>45505</v>
      </c>
      <c r="J4" s="5">
        <v>45536</v>
      </c>
      <c r="K4" s="5">
        <v>45566</v>
      </c>
      <c r="L4" s="5">
        <v>45597</v>
      </c>
      <c r="M4" s="5">
        <v>45627</v>
      </c>
      <c r="O4" t="s">
        <v>221</v>
      </c>
    </row>
    <row r="5" spans="1:15" x14ac:dyDescent="0.25">
      <c r="A5" s="4" t="s">
        <v>225</v>
      </c>
    </row>
    <row r="6" spans="1:15" x14ac:dyDescent="0.25">
      <c r="A6" t="s">
        <v>101</v>
      </c>
      <c r="B6" s="6">
        <f>SUMIF(Source_PL!$A:$A,"Net Income",Source_PL!B:B)</f>
        <v>-540469.17999999993</v>
      </c>
      <c r="C6" s="6">
        <f>SUMIF(Source_PL!$A:$A,"Net Income",Source_PL!C:C)</f>
        <v>-173718.43999999992</v>
      </c>
      <c r="D6" s="6">
        <f>SUMIF(Source_PL!$A:$A,"Net Income",Source_PL!D:D)</f>
        <v>239763.25000000006</v>
      </c>
      <c r="E6" s="6">
        <f>SUMIF(Source_PL!$A:$A,"Net Income",Source_PL!E:E)</f>
        <v>-43761.250000000087</v>
      </c>
      <c r="F6" s="6">
        <f>SUMIF(Source_PL!$A:$A,"Net Income",Source_PL!F:F)</f>
        <v>74515.73000000004</v>
      </c>
      <c r="G6" s="6">
        <f>SUMIF(Source_PL!$A:$A,"Net Income",Source_PL!G:G)</f>
        <v>13486.590000000084</v>
      </c>
      <c r="H6" s="6">
        <f>SUMIF(Source_PL!$A:$A,"Net Income",Source_PL!H:H)</f>
        <v>-4721.8999999999069</v>
      </c>
      <c r="I6" s="6">
        <f>SUMIF(Source_PL!$A:$A,"Net Income",Source_PL!I:I)</f>
        <v>-82622.280000000144</v>
      </c>
      <c r="J6" s="6">
        <f>SUMIF(Source_PL!$A:$A,"Net Income",Source_PL!J:J)</f>
        <v>55609.870000000054</v>
      </c>
      <c r="K6" s="6">
        <f>SUMIF(Source_PL!$A:$A,"Net Income",Source_PL!K:K)</f>
        <v>-59395.530000000028</v>
      </c>
      <c r="L6" s="6">
        <f>SUMIF(Source_PL!$A:$A,"Net Income",Source_PL!L:L)</f>
        <v>86865.290000000037</v>
      </c>
      <c r="M6" s="6">
        <f>SUMIF(Source_PL!$A:$A,"Net Income",Source_PL!M:M)</f>
        <v>-190181.89000000019</v>
      </c>
      <c r="O6" s="6">
        <f>SUM(B6:M6)</f>
        <v>-624629.74</v>
      </c>
    </row>
    <row r="7" spans="1:15" x14ac:dyDescent="0.25">
      <c r="A7" t="s">
        <v>226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O7" s="6">
        <f>SUM(B7:M7)</f>
        <v>0</v>
      </c>
    </row>
    <row r="8" spans="1:15" x14ac:dyDescent="0.25">
      <c r="A8" s="4" t="s">
        <v>227</v>
      </c>
    </row>
    <row r="9" spans="1:15" x14ac:dyDescent="0.25">
      <c r="A9" t="s">
        <v>228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O9" s="6">
        <f>SUM(B9:M9)</f>
        <v>0</v>
      </c>
    </row>
    <row r="10" spans="1:15" x14ac:dyDescent="0.25">
      <c r="A10" t="s">
        <v>229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O10" s="6">
        <f>SUM(B10:M10)</f>
        <v>0</v>
      </c>
    </row>
    <row r="11" spans="1:15" x14ac:dyDescent="0.25">
      <c r="A11" s="7" t="s">
        <v>230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8"/>
      <c r="O11" s="9">
        <f>SUM(B11:M11)</f>
        <v>0</v>
      </c>
    </row>
    <row r="13" spans="1:15" x14ac:dyDescent="0.25">
      <c r="A13" s="4" t="s">
        <v>231</v>
      </c>
    </row>
    <row r="14" spans="1:15" x14ac:dyDescent="0.25">
      <c r="A14" t="s">
        <v>232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O14" s="6">
        <f>SUM(B14:M14)</f>
        <v>0</v>
      </c>
    </row>
    <row r="15" spans="1:15" x14ac:dyDescent="0.25">
      <c r="A15" s="7" t="s">
        <v>233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8"/>
      <c r="O15" s="9">
        <f>SUM(B15:M15)</f>
        <v>0</v>
      </c>
    </row>
    <row r="17" spans="1:15" x14ac:dyDescent="0.25">
      <c r="A17" s="4" t="s">
        <v>234</v>
      </c>
    </row>
    <row r="18" spans="1:15" x14ac:dyDescent="0.25">
      <c r="A18" t="s">
        <v>235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O18" s="6">
        <f>SUM(B18:M18)</f>
        <v>0</v>
      </c>
    </row>
    <row r="19" spans="1:15" x14ac:dyDescent="0.25">
      <c r="A19" t="s">
        <v>236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O19" s="6">
        <f>SUM(B19:M19)</f>
        <v>0</v>
      </c>
    </row>
    <row r="20" spans="1:15" x14ac:dyDescent="0.25">
      <c r="A20" s="7" t="s">
        <v>237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8"/>
      <c r="O20" s="9">
        <f>SUM(B20:M20)</f>
        <v>0</v>
      </c>
    </row>
    <row r="22" spans="1:15" x14ac:dyDescent="0.25">
      <c r="A22" s="7" t="s">
        <v>238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8"/>
      <c r="O22" s="9">
        <f>SUM(B22:M22)</f>
        <v>0</v>
      </c>
    </row>
    <row r="23" spans="1:15" x14ac:dyDescent="0.25">
      <c r="A23" t="s">
        <v>239</v>
      </c>
      <c r="B23" s="6"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O23" s="6">
        <f>SUM(B23:M23)</f>
        <v>0</v>
      </c>
    </row>
    <row r="24" spans="1:15" x14ac:dyDescent="0.25">
      <c r="A24" s="7" t="s">
        <v>240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8"/>
      <c r="O24" s="9">
        <f>SUM(B24:M24)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Menu</vt:lpstr>
      <vt:lpstr>Source_PL</vt:lpstr>
      <vt:lpstr>Source_BS</vt:lpstr>
      <vt:lpstr>PL</vt:lpstr>
      <vt:lpstr>Balance_Sheet</vt:lpstr>
      <vt:lpstr>Cash_Flow</vt:lpstr>
      <vt:lpstr>SourceBS</vt:lpstr>
      <vt:lpstr>SourcePL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Smith</dc:creator>
  <cp:lastModifiedBy>J Smith</cp:lastModifiedBy>
  <dcterms:created xsi:type="dcterms:W3CDTF">2025-12-04T17:21:26Z</dcterms:created>
  <dcterms:modified xsi:type="dcterms:W3CDTF">2025-12-04T17:22:10Z</dcterms:modified>
</cp:coreProperties>
</file>