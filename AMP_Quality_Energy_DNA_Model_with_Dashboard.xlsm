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481b3127ff98f7e/Focus CFO/AI/DNA Model/"/>
    </mc:Choice>
  </mc:AlternateContent>
  <xr:revisionPtr revIDLastSave="1" documentId="11_8830A39739390ABA29AE4F5B1343DB7A89344740" xr6:coauthVersionLast="47" xr6:coauthVersionMax="47" xr10:uidLastSave="{4DB00F33-2AA3-488A-9F18-0E2FBEE561CE}"/>
  <bookViews>
    <workbookView xWindow="-64920" yWindow="90" windowWidth="29040" windowHeight="15720" xr2:uid="{00000000-000D-0000-FFFF-FFFF00000000}"/>
  </bookViews>
  <sheets>
    <sheet name="Dashboard" sheetId="1" r:id="rId1"/>
    <sheet name="Menu" sheetId="2" r:id="rId2"/>
    <sheet name="Source_PL" sheetId="3" r:id="rId3"/>
    <sheet name="Source_BS" sheetId="4" r:id="rId4"/>
    <sheet name="PL" sheetId="5" r:id="rId5"/>
    <sheet name="Balance_Sheet" sheetId="6" r:id="rId6"/>
    <sheet name="Cash_Flow" sheetId="7" r:id="rId7"/>
    <sheet name="Dashboard_Control" sheetId="8" r:id="rId8"/>
  </sheets>
  <definedNames>
    <definedName name="KPI_Targets">Dashboard_Control!$C17:$E43</definedName>
    <definedName name="_xlnm.Print_Titles" localSheetId="7">Dashboard_Control!$16:$16</definedName>
    <definedName name="SourceBS">Source_BS!$A$1:$M$119</definedName>
    <definedName name="SourcePL">Source_PL!$A$1:$M$102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3" i="8" l="1"/>
  <c r="I32" i="8"/>
  <c r="I31" i="8"/>
  <c r="I30" i="8"/>
  <c r="I29" i="8"/>
  <c r="I28" i="8"/>
  <c r="I27" i="8"/>
  <c r="I26" i="8"/>
  <c r="I25" i="8"/>
  <c r="I24" i="8"/>
  <c r="I23" i="8"/>
  <c r="I22" i="8"/>
  <c r="I21" i="8"/>
  <c r="I20" i="8"/>
  <c r="I19" i="8"/>
  <c r="I18" i="8"/>
  <c r="I17" i="8"/>
  <c r="O24" i="7"/>
  <c r="O23" i="7"/>
  <c r="O22" i="7"/>
  <c r="O20" i="7"/>
  <c r="O19" i="7"/>
  <c r="O18" i="7"/>
  <c r="O15" i="7"/>
  <c r="O14" i="7"/>
  <c r="O11" i="7"/>
  <c r="O10" i="7"/>
  <c r="O9" i="7"/>
  <c r="O7" i="7"/>
  <c r="M6" i="7"/>
  <c r="L6" i="7"/>
  <c r="K6" i="7"/>
  <c r="J6" i="7"/>
  <c r="I6" i="7"/>
  <c r="H6" i="7"/>
  <c r="G6" i="7"/>
  <c r="F6" i="7"/>
  <c r="E6" i="7"/>
  <c r="D6" i="7"/>
  <c r="C6" i="7"/>
  <c r="B6" i="7"/>
  <c r="O6" i="7" s="1"/>
  <c r="M122" i="6"/>
  <c r="L122" i="6"/>
  <c r="K122" i="6"/>
  <c r="J122" i="6"/>
  <c r="I122" i="6"/>
  <c r="H122" i="6"/>
  <c r="G122" i="6"/>
  <c r="F122" i="6"/>
  <c r="E122" i="6"/>
  <c r="D122" i="6"/>
  <c r="C122" i="6"/>
  <c r="B122" i="6"/>
  <c r="M121" i="6"/>
  <c r="L121" i="6"/>
  <c r="K121" i="6"/>
  <c r="J121" i="6"/>
  <c r="I121" i="6"/>
  <c r="H121" i="6"/>
  <c r="G121" i="6"/>
  <c r="F121" i="6"/>
  <c r="E121" i="6"/>
  <c r="D121" i="6"/>
  <c r="C121" i="6"/>
  <c r="B121" i="6"/>
  <c r="M120" i="6"/>
  <c r="L120" i="6"/>
  <c r="K120" i="6"/>
  <c r="J120" i="6"/>
  <c r="I120" i="6"/>
  <c r="H120" i="6"/>
  <c r="G120" i="6"/>
  <c r="F120" i="6"/>
  <c r="E120" i="6"/>
  <c r="D120" i="6"/>
  <c r="C120" i="6"/>
  <c r="B120" i="6"/>
  <c r="M119" i="6"/>
  <c r="L119" i="6"/>
  <c r="K119" i="6"/>
  <c r="J119" i="6"/>
  <c r="I119" i="6"/>
  <c r="H119" i="6"/>
  <c r="G119" i="6"/>
  <c r="F119" i="6"/>
  <c r="E119" i="6"/>
  <c r="D119" i="6"/>
  <c r="C119" i="6"/>
  <c r="B119" i="6"/>
  <c r="M118" i="6"/>
  <c r="L118" i="6"/>
  <c r="K118" i="6"/>
  <c r="J118" i="6"/>
  <c r="I118" i="6"/>
  <c r="H118" i="6"/>
  <c r="G118" i="6"/>
  <c r="F118" i="6"/>
  <c r="E118" i="6"/>
  <c r="D118" i="6"/>
  <c r="C118" i="6"/>
  <c r="B118" i="6"/>
  <c r="M117" i="6"/>
  <c r="L117" i="6"/>
  <c r="K117" i="6"/>
  <c r="J117" i="6"/>
  <c r="I117" i="6"/>
  <c r="H117" i="6"/>
  <c r="G117" i="6"/>
  <c r="F117" i="6"/>
  <c r="E117" i="6"/>
  <c r="D117" i="6"/>
  <c r="C117" i="6"/>
  <c r="B117" i="6"/>
  <c r="M116" i="6"/>
  <c r="L116" i="6"/>
  <c r="K116" i="6"/>
  <c r="J116" i="6"/>
  <c r="I116" i="6"/>
  <c r="H116" i="6"/>
  <c r="G116" i="6"/>
  <c r="F116" i="6"/>
  <c r="E116" i="6"/>
  <c r="D116" i="6"/>
  <c r="C116" i="6"/>
  <c r="B116" i="6"/>
  <c r="M115" i="6"/>
  <c r="L115" i="6"/>
  <c r="K115" i="6"/>
  <c r="J115" i="6"/>
  <c r="I115" i="6"/>
  <c r="H115" i="6"/>
  <c r="G115" i="6"/>
  <c r="F115" i="6"/>
  <c r="E115" i="6"/>
  <c r="D115" i="6"/>
  <c r="C115" i="6"/>
  <c r="B115" i="6"/>
  <c r="M114" i="6"/>
  <c r="L114" i="6"/>
  <c r="K114" i="6"/>
  <c r="J114" i="6"/>
  <c r="I114" i="6"/>
  <c r="H114" i="6"/>
  <c r="G114" i="6"/>
  <c r="F114" i="6"/>
  <c r="E114" i="6"/>
  <c r="D114" i="6"/>
  <c r="C114" i="6"/>
  <c r="B114" i="6"/>
  <c r="M113" i="6"/>
  <c r="L113" i="6"/>
  <c r="K113" i="6"/>
  <c r="J113" i="6"/>
  <c r="I113" i="6"/>
  <c r="H113" i="6"/>
  <c r="G113" i="6"/>
  <c r="F113" i="6"/>
  <c r="E113" i="6"/>
  <c r="D113" i="6"/>
  <c r="C113" i="6"/>
  <c r="B113" i="6"/>
  <c r="M112" i="6"/>
  <c r="L112" i="6"/>
  <c r="K112" i="6"/>
  <c r="J112" i="6"/>
  <c r="I112" i="6"/>
  <c r="H112" i="6"/>
  <c r="G112" i="6"/>
  <c r="F112" i="6"/>
  <c r="E112" i="6"/>
  <c r="D112" i="6"/>
  <c r="C112" i="6"/>
  <c r="B112" i="6"/>
  <c r="M111" i="6"/>
  <c r="L111" i="6"/>
  <c r="K111" i="6"/>
  <c r="J111" i="6"/>
  <c r="I111" i="6"/>
  <c r="H111" i="6"/>
  <c r="G111" i="6"/>
  <c r="F111" i="6"/>
  <c r="E111" i="6"/>
  <c r="D111" i="6"/>
  <c r="C111" i="6"/>
  <c r="B111" i="6"/>
  <c r="M110" i="6"/>
  <c r="L110" i="6"/>
  <c r="K110" i="6"/>
  <c r="J110" i="6"/>
  <c r="I110" i="6"/>
  <c r="H110" i="6"/>
  <c r="G110" i="6"/>
  <c r="F110" i="6"/>
  <c r="E110" i="6"/>
  <c r="D110" i="6"/>
  <c r="C110" i="6"/>
  <c r="B110" i="6"/>
  <c r="M109" i="6"/>
  <c r="L109" i="6"/>
  <c r="K109" i="6"/>
  <c r="J109" i="6"/>
  <c r="I109" i="6"/>
  <c r="H109" i="6"/>
  <c r="G109" i="6"/>
  <c r="F109" i="6"/>
  <c r="E109" i="6"/>
  <c r="D109" i="6"/>
  <c r="C109" i="6"/>
  <c r="B109" i="6"/>
  <c r="M108" i="6"/>
  <c r="L108" i="6"/>
  <c r="K108" i="6"/>
  <c r="J108" i="6"/>
  <c r="I108" i="6"/>
  <c r="H108" i="6"/>
  <c r="G108" i="6"/>
  <c r="F108" i="6"/>
  <c r="E108" i="6"/>
  <c r="D108" i="6"/>
  <c r="C108" i="6"/>
  <c r="B108" i="6"/>
  <c r="M107" i="6"/>
  <c r="L107" i="6"/>
  <c r="K107" i="6"/>
  <c r="J107" i="6"/>
  <c r="I107" i="6"/>
  <c r="H107" i="6"/>
  <c r="G107" i="6"/>
  <c r="F107" i="6"/>
  <c r="E107" i="6"/>
  <c r="D107" i="6"/>
  <c r="C107" i="6"/>
  <c r="B107" i="6"/>
  <c r="M106" i="6"/>
  <c r="L106" i="6"/>
  <c r="K106" i="6"/>
  <c r="J106" i="6"/>
  <c r="I106" i="6"/>
  <c r="H106" i="6"/>
  <c r="G106" i="6"/>
  <c r="F106" i="6"/>
  <c r="E106" i="6"/>
  <c r="D106" i="6"/>
  <c r="C106" i="6"/>
  <c r="B106" i="6"/>
  <c r="M105" i="6"/>
  <c r="L105" i="6"/>
  <c r="K105" i="6"/>
  <c r="J105" i="6"/>
  <c r="I105" i="6"/>
  <c r="H105" i="6"/>
  <c r="G105" i="6"/>
  <c r="F105" i="6"/>
  <c r="E105" i="6"/>
  <c r="D105" i="6"/>
  <c r="C105" i="6"/>
  <c r="B105" i="6"/>
  <c r="M104" i="6"/>
  <c r="L104" i="6"/>
  <c r="K104" i="6"/>
  <c r="J104" i="6"/>
  <c r="I104" i="6"/>
  <c r="H104" i="6"/>
  <c r="G104" i="6"/>
  <c r="F104" i="6"/>
  <c r="E104" i="6"/>
  <c r="D104" i="6"/>
  <c r="C104" i="6"/>
  <c r="B104" i="6"/>
  <c r="M103" i="6"/>
  <c r="L103" i="6"/>
  <c r="K103" i="6"/>
  <c r="J103" i="6"/>
  <c r="I103" i="6"/>
  <c r="H103" i="6"/>
  <c r="G103" i="6"/>
  <c r="F103" i="6"/>
  <c r="E103" i="6"/>
  <c r="D103" i="6"/>
  <c r="C103" i="6"/>
  <c r="B103" i="6"/>
  <c r="M102" i="6"/>
  <c r="L102" i="6"/>
  <c r="K102" i="6"/>
  <c r="J102" i="6"/>
  <c r="I102" i="6"/>
  <c r="H102" i="6"/>
  <c r="G102" i="6"/>
  <c r="F102" i="6"/>
  <c r="E102" i="6"/>
  <c r="D102" i="6"/>
  <c r="C102" i="6"/>
  <c r="B102" i="6"/>
  <c r="M101" i="6"/>
  <c r="L101" i="6"/>
  <c r="K101" i="6"/>
  <c r="J101" i="6"/>
  <c r="I101" i="6"/>
  <c r="H101" i="6"/>
  <c r="G101" i="6"/>
  <c r="F101" i="6"/>
  <c r="E101" i="6"/>
  <c r="D101" i="6"/>
  <c r="C101" i="6"/>
  <c r="B101" i="6"/>
  <c r="M100" i="6"/>
  <c r="L100" i="6"/>
  <c r="K100" i="6"/>
  <c r="J100" i="6"/>
  <c r="I100" i="6"/>
  <c r="H100" i="6"/>
  <c r="G100" i="6"/>
  <c r="F100" i="6"/>
  <c r="E100" i="6"/>
  <c r="D100" i="6"/>
  <c r="C100" i="6"/>
  <c r="B100" i="6"/>
  <c r="M99" i="6"/>
  <c r="L99" i="6"/>
  <c r="K99" i="6"/>
  <c r="J99" i="6"/>
  <c r="I99" i="6"/>
  <c r="H99" i="6"/>
  <c r="G99" i="6"/>
  <c r="F99" i="6"/>
  <c r="E99" i="6"/>
  <c r="D99" i="6"/>
  <c r="C99" i="6"/>
  <c r="B99" i="6"/>
  <c r="M98" i="6"/>
  <c r="L98" i="6"/>
  <c r="K98" i="6"/>
  <c r="J98" i="6"/>
  <c r="I98" i="6"/>
  <c r="H98" i="6"/>
  <c r="G98" i="6"/>
  <c r="F98" i="6"/>
  <c r="E98" i="6"/>
  <c r="D98" i="6"/>
  <c r="C98" i="6"/>
  <c r="B98" i="6"/>
  <c r="M97" i="6"/>
  <c r="L97" i="6"/>
  <c r="K97" i="6"/>
  <c r="J97" i="6"/>
  <c r="I97" i="6"/>
  <c r="H97" i="6"/>
  <c r="G97" i="6"/>
  <c r="F97" i="6"/>
  <c r="E97" i="6"/>
  <c r="D97" i="6"/>
  <c r="C97" i="6"/>
  <c r="B97" i="6"/>
  <c r="M96" i="6"/>
  <c r="L96" i="6"/>
  <c r="K96" i="6"/>
  <c r="J96" i="6"/>
  <c r="I96" i="6"/>
  <c r="H96" i="6"/>
  <c r="G96" i="6"/>
  <c r="F96" i="6"/>
  <c r="E96" i="6"/>
  <c r="D96" i="6"/>
  <c r="C96" i="6"/>
  <c r="B96" i="6"/>
  <c r="M95" i="6"/>
  <c r="L95" i="6"/>
  <c r="K95" i="6"/>
  <c r="J95" i="6"/>
  <c r="I95" i="6"/>
  <c r="H95" i="6"/>
  <c r="G95" i="6"/>
  <c r="F95" i="6"/>
  <c r="E95" i="6"/>
  <c r="D95" i="6"/>
  <c r="C95" i="6"/>
  <c r="B95" i="6"/>
  <c r="M94" i="6"/>
  <c r="L94" i="6"/>
  <c r="K94" i="6"/>
  <c r="J94" i="6"/>
  <c r="I94" i="6"/>
  <c r="H94" i="6"/>
  <c r="G94" i="6"/>
  <c r="F94" i="6"/>
  <c r="E94" i="6"/>
  <c r="D94" i="6"/>
  <c r="C94" i="6"/>
  <c r="B94" i="6"/>
  <c r="M93" i="6"/>
  <c r="L93" i="6"/>
  <c r="K93" i="6"/>
  <c r="J93" i="6"/>
  <c r="I93" i="6"/>
  <c r="H93" i="6"/>
  <c r="G93" i="6"/>
  <c r="F93" i="6"/>
  <c r="E93" i="6"/>
  <c r="D93" i="6"/>
  <c r="C93" i="6"/>
  <c r="B93" i="6"/>
  <c r="M92" i="6"/>
  <c r="L92" i="6"/>
  <c r="K92" i="6"/>
  <c r="J92" i="6"/>
  <c r="I92" i="6"/>
  <c r="H92" i="6"/>
  <c r="G92" i="6"/>
  <c r="F92" i="6"/>
  <c r="E92" i="6"/>
  <c r="D92" i="6"/>
  <c r="C92" i="6"/>
  <c r="B92" i="6"/>
  <c r="M91" i="6"/>
  <c r="L91" i="6"/>
  <c r="K91" i="6"/>
  <c r="J91" i="6"/>
  <c r="I91" i="6"/>
  <c r="H91" i="6"/>
  <c r="G91" i="6"/>
  <c r="F91" i="6"/>
  <c r="E91" i="6"/>
  <c r="D91" i="6"/>
  <c r="C91" i="6"/>
  <c r="B91" i="6"/>
  <c r="M90" i="6"/>
  <c r="L90" i="6"/>
  <c r="K90" i="6"/>
  <c r="J90" i="6"/>
  <c r="I90" i="6"/>
  <c r="H90" i="6"/>
  <c r="G90" i="6"/>
  <c r="F90" i="6"/>
  <c r="E90" i="6"/>
  <c r="D90" i="6"/>
  <c r="C90" i="6"/>
  <c r="B90" i="6"/>
  <c r="M89" i="6"/>
  <c r="L89" i="6"/>
  <c r="K89" i="6"/>
  <c r="J89" i="6"/>
  <c r="I89" i="6"/>
  <c r="H89" i="6"/>
  <c r="G89" i="6"/>
  <c r="F89" i="6"/>
  <c r="E89" i="6"/>
  <c r="D89" i="6"/>
  <c r="C89" i="6"/>
  <c r="B89" i="6"/>
  <c r="M88" i="6"/>
  <c r="L88" i="6"/>
  <c r="K88" i="6"/>
  <c r="J88" i="6"/>
  <c r="I88" i="6"/>
  <c r="H88" i="6"/>
  <c r="G88" i="6"/>
  <c r="F88" i="6"/>
  <c r="E88" i="6"/>
  <c r="D88" i="6"/>
  <c r="C88" i="6"/>
  <c r="B88" i="6"/>
  <c r="M87" i="6"/>
  <c r="L87" i="6"/>
  <c r="K87" i="6"/>
  <c r="J87" i="6"/>
  <c r="I87" i="6"/>
  <c r="H87" i="6"/>
  <c r="G87" i="6"/>
  <c r="F87" i="6"/>
  <c r="E87" i="6"/>
  <c r="D87" i="6"/>
  <c r="C87" i="6"/>
  <c r="B87" i="6"/>
  <c r="M86" i="6"/>
  <c r="L86" i="6"/>
  <c r="K86" i="6"/>
  <c r="J86" i="6"/>
  <c r="I86" i="6"/>
  <c r="H86" i="6"/>
  <c r="G86" i="6"/>
  <c r="F86" i="6"/>
  <c r="E86" i="6"/>
  <c r="D86" i="6"/>
  <c r="C86" i="6"/>
  <c r="B86" i="6"/>
  <c r="M85" i="6"/>
  <c r="L85" i="6"/>
  <c r="K85" i="6"/>
  <c r="J85" i="6"/>
  <c r="I85" i="6"/>
  <c r="H85" i="6"/>
  <c r="G85" i="6"/>
  <c r="F85" i="6"/>
  <c r="E85" i="6"/>
  <c r="D85" i="6"/>
  <c r="C85" i="6"/>
  <c r="B85" i="6"/>
  <c r="M84" i="6"/>
  <c r="L84" i="6"/>
  <c r="K84" i="6"/>
  <c r="J84" i="6"/>
  <c r="I84" i="6"/>
  <c r="H84" i="6"/>
  <c r="G84" i="6"/>
  <c r="F84" i="6"/>
  <c r="E84" i="6"/>
  <c r="D84" i="6"/>
  <c r="C84" i="6"/>
  <c r="B84" i="6"/>
  <c r="M83" i="6"/>
  <c r="L83" i="6"/>
  <c r="K83" i="6"/>
  <c r="J83" i="6"/>
  <c r="I83" i="6"/>
  <c r="H83" i="6"/>
  <c r="G83" i="6"/>
  <c r="F83" i="6"/>
  <c r="E83" i="6"/>
  <c r="D83" i="6"/>
  <c r="C83" i="6"/>
  <c r="B83" i="6"/>
  <c r="M82" i="6"/>
  <c r="L82" i="6"/>
  <c r="K82" i="6"/>
  <c r="J82" i="6"/>
  <c r="I82" i="6"/>
  <c r="H82" i="6"/>
  <c r="G82" i="6"/>
  <c r="F82" i="6"/>
  <c r="E82" i="6"/>
  <c r="D82" i="6"/>
  <c r="C82" i="6"/>
  <c r="B82" i="6"/>
  <c r="M81" i="6"/>
  <c r="L81" i="6"/>
  <c r="K81" i="6"/>
  <c r="J81" i="6"/>
  <c r="I81" i="6"/>
  <c r="H81" i="6"/>
  <c r="G81" i="6"/>
  <c r="F81" i="6"/>
  <c r="E81" i="6"/>
  <c r="D81" i="6"/>
  <c r="C81" i="6"/>
  <c r="B81" i="6"/>
  <c r="M80" i="6"/>
  <c r="L80" i="6"/>
  <c r="K80" i="6"/>
  <c r="J80" i="6"/>
  <c r="I80" i="6"/>
  <c r="H80" i="6"/>
  <c r="G80" i="6"/>
  <c r="F80" i="6"/>
  <c r="E80" i="6"/>
  <c r="D80" i="6"/>
  <c r="C80" i="6"/>
  <c r="B80" i="6"/>
  <c r="M79" i="6"/>
  <c r="L79" i="6"/>
  <c r="K79" i="6"/>
  <c r="J79" i="6"/>
  <c r="I79" i="6"/>
  <c r="H79" i="6"/>
  <c r="G79" i="6"/>
  <c r="F79" i="6"/>
  <c r="E79" i="6"/>
  <c r="D79" i="6"/>
  <c r="C79" i="6"/>
  <c r="B79" i="6"/>
  <c r="M78" i="6"/>
  <c r="L78" i="6"/>
  <c r="K78" i="6"/>
  <c r="J78" i="6"/>
  <c r="I78" i="6"/>
  <c r="H78" i="6"/>
  <c r="G78" i="6"/>
  <c r="F78" i="6"/>
  <c r="E78" i="6"/>
  <c r="D78" i="6"/>
  <c r="C78" i="6"/>
  <c r="B78" i="6"/>
  <c r="M77" i="6"/>
  <c r="L77" i="6"/>
  <c r="K77" i="6"/>
  <c r="J77" i="6"/>
  <c r="I77" i="6"/>
  <c r="H77" i="6"/>
  <c r="G77" i="6"/>
  <c r="F77" i="6"/>
  <c r="E77" i="6"/>
  <c r="D77" i="6"/>
  <c r="C77" i="6"/>
  <c r="B77" i="6"/>
  <c r="M76" i="6"/>
  <c r="L76" i="6"/>
  <c r="K76" i="6"/>
  <c r="J76" i="6"/>
  <c r="I76" i="6"/>
  <c r="H76" i="6"/>
  <c r="G76" i="6"/>
  <c r="F76" i="6"/>
  <c r="E76" i="6"/>
  <c r="D76" i="6"/>
  <c r="C76" i="6"/>
  <c r="B76" i="6"/>
  <c r="M75" i="6"/>
  <c r="L75" i="6"/>
  <c r="K75" i="6"/>
  <c r="J75" i="6"/>
  <c r="I75" i="6"/>
  <c r="H75" i="6"/>
  <c r="G75" i="6"/>
  <c r="F75" i="6"/>
  <c r="E75" i="6"/>
  <c r="D75" i="6"/>
  <c r="C75" i="6"/>
  <c r="B75" i="6"/>
  <c r="M74" i="6"/>
  <c r="L74" i="6"/>
  <c r="K74" i="6"/>
  <c r="J74" i="6"/>
  <c r="I74" i="6"/>
  <c r="H74" i="6"/>
  <c r="G74" i="6"/>
  <c r="F74" i="6"/>
  <c r="E74" i="6"/>
  <c r="D74" i="6"/>
  <c r="C74" i="6"/>
  <c r="B74" i="6"/>
  <c r="M73" i="6"/>
  <c r="L73" i="6"/>
  <c r="K73" i="6"/>
  <c r="J73" i="6"/>
  <c r="I73" i="6"/>
  <c r="H73" i="6"/>
  <c r="G73" i="6"/>
  <c r="F73" i="6"/>
  <c r="E73" i="6"/>
  <c r="D73" i="6"/>
  <c r="C73" i="6"/>
  <c r="B73" i="6"/>
  <c r="M72" i="6"/>
  <c r="L72" i="6"/>
  <c r="K72" i="6"/>
  <c r="J72" i="6"/>
  <c r="I72" i="6"/>
  <c r="H72" i="6"/>
  <c r="G72" i="6"/>
  <c r="F72" i="6"/>
  <c r="E72" i="6"/>
  <c r="D72" i="6"/>
  <c r="C72" i="6"/>
  <c r="B72" i="6"/>
  <c r="M71" i="6"/>
  <c r="L71" i="6"/>
  <c r="K71" i="6"/>
  <c r="J71" i="6"/>
  <c r="I71" i="6"/>
  <c r="H71" i="6"/>
  <c r="G71" i="6"/>
  <c r="F71" i="6"/>
  <c r="E71" i="6"/>
  <c r="D71" i="6"/>
  <c r="C71" i="6"/>
  <c r="B71" i="6"/>
  <c r="M70" i="6"/>
  <c r="L70" i="6"/>
  <c r="K70" i="6"/>
  <c r="J70" i="6"/>
  <c r="I70" i="6"/>
  <c r="H70" i="6"/>
  <c r="G70" i="6"/>
  <c r="F70" i="6"/>
  <c r="E70" i="6"/>
  <c r="D70" i="6"/>
  <c r="C70" i="6"/>
  <c r="B70" i="6"/>
  <c r="M69" i="6"/>
  <c r="L69" i="6"/>
  <c r="K69" i="6"/>
  <c r="J69" i="6"/>
  <c r="I69" i="6"/>
  <c r="H69" i="6"/>
  <c r="G69" i="6"/>
  <c r="F69" i="6"/>
  <c r="E69" i="6"/>
  <c r="D69" i="6"/>
  <c r="C69" i="6"/>
  <c r="B69" i="6"/>
  <c r="M68" i="6"/>
  <c r="L68" i="6"/>
  <c r="K68" i="6"/>
  <c r="J68" i="6"/>
  <c r="I68" i="6"/>
  <c r="H68" i="6"/>
  <c r="G68" i="6"/>
  <c r="F68" i="6"/>
  <c r="E68" i="6"/>
  <c r="D68" i="6"/>
  <c r="C68" i="6"/>
  <c r="B68" i="6"/>
  <c r="M67" i="6"/>
  <c r="L67" i="6"/>
  <c r="K67" i="6"/>
  <c r="J67" i="6"/>
  <c r="I67" i="6"/>
  <c r="H67" i="6"/>
  <c r="G67" i="6"/>
  <c r="F67" i="6"/>
  <c r="E67" i="6"/>
  <c r="D67" i="6"/>
  <c r="C67" i="6"/>
  <c r="B67" i="6"/>
  <c r="M66" i="6"/>
  <c r="L66" i="6"/>
  <c r="K66" i="6"/>
  <c r="J66" i="6"/>
  <c r="I66" i="6"/>
  <c r="H66" i="6"/>
  <c r="G66" i="6"/>
  <c r="F66" i="6"/>
  <c r="E66" i="6"/>
  <c r="D66" i="6"/>
  <c r="C66" i="6"/>
  <c r="B66" i="6"/>
  <c r="M65" i="6"/>
  <c r="L65" i="6"/>
  <c r="K65" i="6"/>
  <c r="J65" i="6"/>
  <c r="I65" i="6"/>
  <c r="H65" i="6"/>
  <c r="G65" i="6"/>
  <c r="F65" i="6"/>
  <c r="E65" i="6"/>
  <c r="D65" i="6"/>
  <c r="C65" i="6"/>
  <c r="B65" i="6"/>
  <c r="M64" i="6"/>
  <c r="L64" i="6"/>
  <c r="K64" i="6"/>
  <c r="J64" i="6"/>
  <c r="I64" i="6"/>
  <c r="H64" i="6"/>
  <c r="G64" i="6"/>
  <c r="F64" i="6"/>
  <c r="E64" i="6"/>
  <c r="D64" i="6"/>
  <c r="C64" i="6"/>
  <c r="B64" i="6"/>
  <c r="M63" i="6"/>
  <c r="L63" i="6"/>
  <c r="K63" i="6"/>
  <c r="J63" i="6"/>
  <c r="I63" i="6"/>
  <c r="H63" i="6"/>
  <c r="G63" i="6"/>
  <c r="F63" i="6"/>
  <c r="E63" i="6"/>
  <c r="D63" i="6"/>
  <c r="C63" i="6"/>
  <c r="B63" i="6"/>
  <c r="M62" i="6"/>
  <c r="L62" i="6"/>
  <c r="K62" i="6"/>
  <c r="J62" i="6"/>
  <c r="I62" i="6"/>
  <c r="H62" i="6"/>
  <c r="G62" i="6"/>
  <c r="F62" i="6"/>
  <c r="E62" i="6"/>
  <c r="D62" i="6"/>
  <c r="C62" i="6"/>
  <c r="B62" i="6"/>
  <c r="M61" i="6"/>
  <c r="L61" i="6"/>
  <c r="K61" i="6"/>
  <c r="J61" i="6"/>
  <c r="I61" i="6"/>
  <c r="H61" i="6"/>
  <c r="G61" i="6"/>
  <c r="F61" i="6"/>
  <c r="E61" i="6"/>
  <c r="D61" i="6"/>
  <c r="C61" i="6"/>
  <c r="B61" i="6"/>
  <c r="M60" i="6"/>
  <c r="L60" i="6"/>
  <c r="K60" i="6"/>
  <c r="J60" i="6"/>
  <c r="I60" i="6"/>
  <c r="H60" i="6"/>
  <c r="G60" i="6"/>
  <c r="F60" i="6"/>
  <c r="E60" i="6"/>
  <c r="D60" i="6"/>
  <c r="C60" i="6"/>
  <c r="B60" i="6"/>
  <c r="M59" i="6"/>
  <c r="L59" i="6"/>
  <c r="K59" i="6"/>
  <c r="J59" i="6"/>
  <c r="I59" i="6"/>
  <c r="H59" i="6"/>
  <c r="G59" i="6"/>
  <c r="F59" i="6"/>
  <c r="E59" i="6"/>
  <c r="D59" i="6"/>
  <c r="C59" i="6"/>
  <c r="B59" i="6"/>
  <c r="M58" i="6"/>
  <c r="L58" i="6"/>
  <c r="K58" i="6"/>
  <c r="J58" i="6"/>
  <c r="I58" i="6"/>
  <c r="H58" i="6"/>
  <c r="G58" i="6"/>
  <c r="F58" i="6"/>
  <c r="E58" i="6"/>
  <c r="D58" i="6"/>
  <c r="C58" i="6"/>
  <c r="B58" i="6"/>
  <c r="M57" i="6"/>
  <c r="L57" i="6"/>
  <c r="K57" i="6"/>
  <c r="J57" i="6"/>
  <c r="I57" i="6"/>
  <c r="H57" i="6"/>
  <c r="G57" i="6"/>
  <c r="F57" i="6"/>
  <c r="E57" i="6"/>
  <c r="D57" i="6"/>
  <c r="C57" i="6"/>
  <c r="B57" i="6"/>
  <c r="M56" i="6"/>
  <c r="L56" i="6"/>
  <c r="K56" i="6"/>
  <c r="J56" i="6"/>
  <c r="I56" i="6"/>
  <c r="H56" i="6"/>
  <c r="G56" i="6"/>
  <c r="F56" i="6"/>
  <c r="E56" i="6"/>
  <c r="D56" i="6"/>
  <c r="C56" i="6"/>
  <c r="B56" i="6"/>
  <c r="M55" i="6"/>
  <c r="L55" i="6"/>
  <c r="K55" i="6"/>
  <c r="J55" i="6"/>
  <c r="I55" i="6"/>
  <c r="H55" i="6"/>
  <c r="G55" i="6"/>
  <c r="F55" i="6"/>
  <c r="E55" i="6"/>
  <c r="D55" i="6"/>
  <c r="C55" i="6"/>
  <c r="B55" i="6"/>
  <c r="M54" i="6"/>
  <c r="L54" i="6"/>
  <c r="K54" i="6"/>
  <c r="J54" i="6"/>
  <c r="I54" i="6"/>
  <c r="H54" i="6"/>
  <c r="G54" i="6"/>
  <c r="F54" i="6"/>
  <c r="E54" i="6"/>
  <c r="D54" i="6"/>
  <c r="C54" i="6"/>
  <c r="B54" i="6"/>
  <c r="M53" i="6"/>
  <c r="L53" i="6"/>
  <c r="K53" i="6"/>
  <c r="J53" i="6"/>
  <c r="I53" i="6"/>
  <c r="H53" i="6"/>
  <c r="G53" i="6"/>
  <c r="F53" i="6"/>
  <c r="E53" i="6"/>
  <c r="D53" i="6"/>
  <c r="C53" i="6"/>
  <c r="B53" i="6"/>
  <c r="M52" i="6"/>
  <c r="L52" i="6"/>
  <c r="K52" i="6"/>
  <c r="J52" i="6"/>
  <c r="I52" i="6"/>
  <c r="H52" i="6"/>
  <c r="G52" i="6"/>
  <c r="F52" i="6"/>
  <c r="E52" i="6"/>
  <c r="D52" i="6"/>
  <c r="C52" i="6"/>
  <c r="B52" i="6"/>
  <c r="M51" i="6"/>
  <c r="L51" i="6"/>
  <c r="K51" i="6"/>
  <c r="J51" i="6"/>
  <c r="I51" i="6"/>
  <c r="H51" i="6"/>
  <c r="G51" i="6"/>
  <c r="F51" i="6"/>
  <c r="E51" i="6"/>
  <c r="D51" i="6"/>
  <c r="C51" i="6"/>
  <c r="B51" i="6"/>
  <c r="M50" i="6"/>
  <c r="L50" i="6"/>
  <c r="K50" i="6"/>
  <c r="J50" i="6"/>
  <c r="I50" i="6"/>
  <c r="H50" i="6"/>
  <c r="G50" i="6"/>
  <c r="F50" i="6"/>
  <c r="E50" i="6"/>
  <c r="D50" i="6"/>
  <c r="C50" i="6"/>
  <c r="B50" i="6"/>
  <c r="M49" i="6"/>
  <c r="L49" i="6"/>
  <c r="K49" i="6"/>
  <c r="J49" i="6"/>
  <c r="I49" i="6"/>
  <c r="H49" i="6"/>
  <c r="G49" i="6"/>
  <c r="F49" i="6"/>
  <c r="E49" i="6"/>
  <c r="D49" i="6"/>
  <c r="C49" i="6"/>
  <c r="B49" i="6"/>
  <c r="M48" i="6"/>
  <c r="L48" i="6"/>
  <c r="K48" i="6"/>
  <c r="J48" i="6"/>
  <c r="I48" i="6"/>
  <c r="H48" i="6"/>
  <c r="G48" i="6"/>
  <c r="F48" i="6"/>
  <c r="E48" i="6"/>
  <c r="D48" i="6"/>
  <c r="C48" i="6"/>
  <c r="B48" i="6"/>
  <c r="M47" i="6"/>
  <c r="L47" i="6"/>
  <c r="K47" i="6"/>
  <c r="J47" i="6"/>
  <c r="I47" i="6"/>
  <c r="H47" i="6"/>
  <c r="G47" i="6"/>
  <c r="F47" i="6"/>
  <c r="E47" i="6"/>
  <c r="D47" i="6"/>
  <c r="C47" i="6"/>
  <c r="B47" i="6"/>
  <c r="M46" i="6"/>
  <c r="L46" i="6"/>
  <c r="K46" i="6"/>
  <c r="J46" i="6"/>
  <c r="I46" i="6"/>
  <c r="H46" i="6"/>
  <c r="G46" i="6"/>
  <c r="F46" i="6"/>
  <c r="E46" i="6"/>
  <c r="D46" i="6"/>
  <c r="C46" i="6"/>
  <c r="B46" i="6"/>
  <c r="M45" i="6"/>
  <c r="L45" i="6"/>
  <c r="K45" i="6"/>
  <c r="J45" i="6"/>
  <c r="I45" i="6"/>
  <c r="H45" i="6"/>
  <c r="G45" i="6"/>
  <c r="F45" i="6"/>
  <c r="E45" i="6"/>
  <c r="D45" i="6"/>
  <c r="C45" i="6"/>
  <c r="B45" i="6"/>
  <c r="M44" i="6"/>
  <c r="L44" i="6"/>
  <c r="K44" i="6"/>
  <c r="J44" i="6"/>
  <c r="I44" i="6"/>
  <c r="H44" i="6"/>
  <c r="G44" i="6"/>
  <c r="F44" i="6"/>
  <c r="E44" i="6"/>
  <c r="D44" i="6"/>
  <c r="C44" i="6"/>
  <c r="B44" i="6"/>
  <c r="M43" i="6"/>
  <c r="L43" i="6"/>
  <c r="K43" i="6"/>
  <c r="J43" i="6"/>
  <c r="I43" i="6"/>
  <c r="H43" i="6"/>
  <c r="G43" i="6"/>
  <c r="F43" i="6"/>
  <c r="E43" i="6"/>
  <c r="D43" i="6"/>
  <c r="C43" i="6"/>
  <c r="B43" i="6"/>
  <c r="M42" i="6"/>
  <c r="L42" i="6"/>
  <c r="K42" i="6"/>
  <c r="J42" i="6"/>
  <c r="I42" i="6"/>
  <c r="H42" i="6"/>
  <c r="G42" i="6"/>
  <c r="F42" i="6"/>
  <c r="E42" i="6"/>
  <c r="D42" i="6"/>
  <c r="C42" i="6"/>
  <c r="B42" i="6"/>
  <c r="M41" i="6"/>
  <c r="L41" i="6"/>
  <c r="K41" i="6"/>
  <c r="J41" i="6"/>
  <c r="I41" i="6"/>
  <c r="H41" i="6"/>
  <c r="G41" i="6"/>
  <c r="F41" i="6"/>
  <c r="E41" i="6"/>
  <c r="D41" i="6"/>
  <c r="C41" i="6"/>
  <c r="B41" i="6"/>
  <c r="M40" i="6"/>
  <c r="L40" i="6"/>
  <c r="K40" i="6"/>
  <c r="J40" i="6"/>
  <c r="I40" i="6"/>
  <c r="H40" i="6"/>
  <c r="G40" i="6"/>
  <c r="F40" i="6"/>
  <c r="E40" i="6"/>
  <c r="D40" i="6"/>
  <c r="C40" i="6"/>
  <c r="B40" i="6"/>
  <c r="M39" i="6"/>
  <c r="L39" i="6"/>
  <c r="K39" i="6"/>
  <c r="J39" i="6"/>
  <c r="I39" i="6"/>
  <c r="H39" i="6"/>
  <c r="G39" i="6"/>
  <c r="F39" i="6"/>
  <c r="E39" i="6"/>
  <c r="D39" i="6"/>
  <c r="C39" i="6"/>
  <c r="B39" i="6"/>
  <c r="M38" i="6"/>
  <c r="L38" i="6"/>
  <c r="K38" i="6"/>
  <c r="J38" i="6"/>
  <c r="I38" i="6"/>
  <c r="H38" i="6"/>
  <c r="G38" i="6"/>
  <c r="F38" i="6"/>
  <c r="E38" i="6"/>
  <c r="D38" i="6"/>
  <c r="C38" i="6"/>
  <c r="B38" i="6"/>
  <c r="M37" i="6"/>
  <c r="L37" i="6"/>
  <c r="K37" i="6"/>
  <c r="J37" i="6"/>
  <c r="I37" i="6"/>
  <c r="H37" i="6"/>
  <c r="G37" i="6"/>
  <c r="F37" i="6"/>
  <c r="E37" i="6"/>
  <c r="D37" i="6"/>
  <c r="C37" i="6"/>
  <c r="B37" i="6"/>
  <c r="M36" i="6"/>
  <c r="L36" i="6"/>
  <c r="K36" i="6"/>
  <c r="J36" i="6"/>
  <c r="I36" i="6"/>
  <c r="H36" i="6"/>
  <c r="G36" i="6"/>
  <c r="F36" i="6"/>
  <c r="E36" i="6"/>
  <c r="D36" i="6"/>
  <c r="C36" i="6"/>
  <c r="B36" i="6"/>
  <c r="M35" i="6"/>
  <c r="L35" i="6"/>
  <c r="K35" i="6"/>
  <c r="J35" i="6"/>
  <c r="I35" i="6"/>
  <c r="H35" i="6"/>
  <c r="G35" i="6"/>
  <c r="F35" i="6"/>
  <c r="E35" i="6"/>
  <c r="D35" i="6"/>
  <c r="C35" i="6"/>
  <c r="B35" i="6"/>
  <c r="M34" i="6"/>
  <c r="L34" i="6"/>
  <c r="K34" i="6"/>
  <c r="J34" i="6"/>
  <c r="I34" i="6"/>
  <c r="H34" i="6"/>
  <c r="G34" i="6"/>
  <c r="F34" i="6"/>
  <c r="E34" i="6"/>
  <c r="D34" i="6"/>
  <c r="C34" i="6"/>
  <c r="B34" i="6"/>
  <c r="M33" i="6"/>
  <c r="L33" i="6"/>
  <c r="K33" i="6"/>
  <c r="J33" i="6"/>
  <c r="I33" i="6"/>
  <c r="H33" i="6"/>
  <c r="G33" i="6"/>
  <c r="F33" i="6"/>
  <c r="E33" i="6"/>
  <c r="D33" i="6"/>
  <c r="C33" i="6"/>
  <c r="B33" i="6"/>
  <c r="M32" i="6"/>
  <c r="L32" i="6"/>
  <c r="K32" i="6"/>
  <c r="J32" i="6"/>
  <c r="I32" i="6"/>
  <c r="H32" i="6"/>
  <c r="G32" i="6"/>
  <c r="F32" i="6"/>
  <c r="E32" i="6"/>
  <c r="D32" i="6"/>
  <c r="C32" i="6"/>
  <c r="B32" i="6"/>
  <c r="M31" i="6"/>
  <c r="L31" i="6"/>
  <c r="K31" i="6"/>
  <c r="J31" i="6"/>
  <c r="I31" i="6"/>
  <c r="H31" i="6"/>
  <c r="G31" i="6"/>
  <c r="F31" i="6"/>
  <c r="E31" i="6"/>
  <c r="D31" i="6"/>
  <c r="C31" i="6"/>
  <c r="B31" i="6"/>
  <c r="M30" i="6"/>
  <c r="L30" i="6"/>
  <c r="K30" i="6"/>
  <c r="J30" i="6"/>
  <c r="I30" i="6"/>
  <c r="H30" i="6"/>
  <c r="G30" i="6"/>
  <c r="F30" i="6"/>
  <c r="E30" i="6"/>
  <c r="D30" i="6"/>
  <c r="C30" i="6"/>
  <c r="B30" i="6"/>
  <c r="M29" i="6"/>
  <c r="L29" i="6"/>
  <c r="K29" i="6"/>
  <c r="J29" i="6"/>
  <c r="I29" i="6"/>
  <c r="H29" i="6"/>
  <c r="G29" i="6"/>
  <c r="F29" i="6"/>
  <c r="E29" i="6"/>
  <c r="D29" i="6"/>
  <c r="C29" i="6"/>
  <c r="B29" i="6"/>
  <c r="M28" i="6"/>
  <c r="L28" i="6"/>
  <c r="K28" i="6"/>
  <c r="J28" i="6"/>
  <c r="I28" i="6"/>
  <c r="H28" i="6"/>
  <c r="G28" i="6"/>
  <c r="F28" i="6"/>
  <c r="E28" i="6"/>
  <c r="D28" i="6"/>
  <c r="C28" i="6"/>
  <c r="B28" i="6"/>
  <c r="M27" i="6"/>
  <c r="L27" i="6"/>
  <c r="K27" i="6"/>
  <c r="J27" i="6"/>
  <c r="I27" i="6"/>
  <c r="H27" i="6"/>
  <c r="G27" i="6"/>
  <c r="F27" i="6"/>
  <c r="E27" i="6"/>
  <c r="D27" i="6"/>
  <c r="C27" i="6"/>
  <c r="B27" i="6"/>
  <c r="M26" i="6"/>
  <c r="L26" i="6"/>
  <c r="K26" i="6"/>
  <c r="J26" i="6"/>
  <c r="I26" i="6"/>
  <c r="H26" i="6"/>
  <c r="G26" i="6"/>
  <c r="F26" i="6"/>
  <c r="E26" i="6"/>
  <c r="D26" i="6"/>
  <c r="C26" i="6"/>
  <c r="B26" i="6"/>
  <c r="M25" i="6"/>
  <c r="L25" i="6"/>
  <c r="K25" i="6"/>
  <c r="J25" i="6"/>
  <c r="I25" i="6"/>
  <c r="H25" i="6"/>
  <c r="G25" i="6"/>
  <c r="F25" i="6"/>
  <c r="E25" i="6"/>
  <c r="D25" i="6"/>
  <c r="C25" i="6"/>
  <c r="B25" i="6"/>
  <c r="M24" i="6"/>
  <c r="L24" i="6"/>
  <c r="K24" i="6"/>
  <c r="J24" i="6"/>
  <c r="I24" i="6"/>
  <c r="H24" i="6"/>
  <c r="G24" i="6"/>
  <c r="F24" i="6"/>
  <c r="E24" i="6"/>
  <c r="D24" i="6"/>
  <c r="C24" i="6"/>
  <c r="B24" i="6"/>
  <c r="M23" i="6"/>
  <c r="L23" i="6"/>
  <c r="K23" i="6"/>
  <c r="J23" i="6"/>
  <c r="I23" i="6"/>
  <c r="H23" i="6"/>
  <c r="G23" i="6"/>
  <c r="F23" i="6"/>
  <c r="E23" i="6"/>
  <c r="D23" i="6"/>
  <c r="C23" i="6"/>
  <c r="B23" i="6"/>
  <c r="M22" i="6"/>
  <c r="L22" i="6"/>
  <c r="K22" i="6"/>
  <c r="J22" i="6"/>
  <c r="I22" i="6"/>
  <c r="H22" i="6"/>
  <c r="G22" i="6"/>
  <c r="F22" i="6"/>
  <c r="E22" i="6"/>
  <c r="D22" i="6"/>
  <c r="C22" i="6"/>
  <c r="B22" i="6"/>
  <c r="M21" i="6"/>
  <c r="L21" i="6"/>
  <c r="K21" i="6"/>
  <c r="J21" i="6"/>
  <c r="I21" i="6"/>
  <c r="H21" i="6"/>
  <c r="G21" i="6"/>
  <c r="F21" i="6"/>
  <c r="E21" i="6"/>
  <c r="D21" i="6"/>
  <c r="C21" i="6"/>
  <c r="B21" i="6"/>
  <c r="M20" i="6"/>
  <c r="L20" i="6"/>
  <c r="K20" i="6"/>
  <c r="J20" i="6"/>
  <c r="I20" i="6"/>
  <c r="H20" i="6"/>
  <c r="G20" i="6"/>
  <c r="F20" i="6"/>
  <c r="E20" i="6"/>
  <c r="D20" i="6"/>
  <c r="C20" i="6"/>
  <c r="B20" i="6"/>
  <c r="M19" i="6"/>
  <c r="L19" i="6"/>
  <c r="K19" i="6"/>
  <c r="J19" i="6"/>
  <c r="I19" i="6"/>
  <c r="H19" i="6"/>
  <c r="G19" i="6"/>
  <c r="F19" i="6"/>
  <c r="E19" i="6"/>
  <c r="D19" i="6"/>
  <c r="C19" i="6"/>
  <c r="B19" i="6"/>
  <c r="M18" i="6"/>
  <c r="L18" i="6"/>
  <c r="K18" i="6"/>
  <c r="J18" i="6"/>
  <c r="I18" i="6"/>
  <c r="H18" i="6"/>
  <c r="G18" i="6"/>
  <c r="F18" i="6"/>
  <c r="E18" i="6"/>
  <c r="D18" i="6"/>
  <c r="C18" i="6"/>
  <c r="B18" i="6"/>
  <c r="M17" i="6"/>
  <c r="L17" i="6"/>
  <c r="K17" i="6"/>
  <c r="J17" i="6"/>
  <c r="I17" i="6"/>
  <c r="H17" i="6"/>
  <c r="G17" i="6"/>
  <c r="F17" i="6"/>
  <c r="E17" i="6"/>
  <c r="D17" i="6"/>
  <c r="C17" i="6"/>
  <c r="B17" i="6"/>
  <c r="M16" i="6"/>
  <c r="L16" i="6"/>
  <c r="K16" i="6"/>
  <c r="J16" i="6"/>
  <c r="I16" i="6"/>
  <c r="H16" i="6"/>
  <c r="G16" i="6"/>
  <c r="F16" i="6"/>
  <c r="E16" i="6"/>
  <c r="D16" i="6"/>
  <c r="C16" i="6"/>
  <c r="B16" i="6"/>
  <c r="M15" i="6"/>
  <c r="L15" i="6"/>
  <c r="K15" i="6"/>
  <c r="J15" i="6"/>
  <c r="I15" i="6"/>
  <c r="H15" i="6"/>
  <c r="G15" i="6"/>
  <c r="F15" i="6"/>
  <c r="E15" i="6"/>
  <c r="D15" i="6"/>
  <c r="C15" i="6"/>
  <c r="B15" i="6"/>
  <c r="M14" i="6"/>
  <c r="L14" i="6"/>
  <c r="K14" i="6"/>
  <c r="J14" i="6"/>
  <c r="I14" i="6"/>
  <c r="H14" i="6"/>
  <c r="G14" i="6"/>
  <c r="F14" i="6"/>
  <c r="E14" i="6"/>
  <c r="D14" i="6"/>
  <c r="C14" i="6"/>
  <c r="B14" i="6"/>
  <c r="M13" i="6"/>
  <c r="L13" i="6"/>
  <c r="K13" i="6"/>
  <c r="J13" i="6"/>
  <c r="I13" i="6"/>
  <c r="H13" i="6"/>
  <c r="G13" i="6"/>
  <c r="F13" i="6"/>
  <c r="E13" i="6"/>
  <c r="D13" i="6"/>
  <c r="C13" i="6"/>
  <c r="B13" i="6"/>
  <c r="M12" i="6"/>
  <c r="L12" i="6"/>
  <c r="K12" i="6"/>
  <c r="J12" i="6"/>
  <c r="I12" i="6"/>
  <c r="H12" i="6"/>
  <c r="G12" i="6"/>
  <c r="F12" i="6"/>
  <c r="E12" i="6"/>
  <c r="D12" i="6"/>
  <c r="C12" i="6"/>
  <c r="B12" i="6"/>
  <c r="M11" i="6"/>
  <c r="L11" i="6"/>
  <c r="K11" i="6"/>
  <c r="J11" i="6"/>
  <c r="I11" i="6"/>
  <c r="H11" i="6"/>
  <c r="G11" i="6"/>
  <c r="F11" i="6"/>
  <c r="E11" i="6"/>
  <c r="D11" i="6"/>
  <c r="C11" i="6"/>
  <c r="B11" i="6"/>
  <c r="M10" i="6"/>
  <c r="L10" i="6"/>
  <c r="K10" i="6"/>
  <c r="J10" i="6"/>
  <c r="I10" i="6"/>
  <c r="H10" i="6"/>
  <c r="G10" i="6"/>
  <c r="F10" i="6"/>
  <c r="E10" i="6"/>
  <c r="D10" i="6"/>
  <c r="C10" i="6"/>
  <c r="B10" i="6"/>
  <c r="M9" i="6"/>
  <c r="L9" i="6"/>
  <c r="K9" i="6"/>
  <c r="J9" i="6"/>
  <c r="I9" i="6"/>
  <c r="H9" i="6"/>
  <c r="G9" i="6"/>
  <c r="F9" i="6"/>
  <c r="E9" i="6"/>
  <c r="D9" i="6"/>
  <c r="C9" i="6"/>
  <c r="B9" i="6"/>
  <c r="M8" i="6"/>
  <c r="L8" i="6"/>
  <c r="K8" i="6"/>
  <c r="J8" i="6"/>
  <c r="I8" i="6"/>
  <c r="H8" i="6"/>
  <c r="G8" i="6"/>
  <c r="F8" i="6"/>
  <c r="E8" i="6"/>
  <c r="D8" i="6"/>
  <c r="C8" i="6"/>
  <c r="B8" i="6"/>
  <c r="M7" i="6"/>
  <c r="L7" i="6"/>
  <c r="K7" i="6"/>
  <c r="J7" i="6"/>
  <c r="I7" i="6"/>
  <c r="H7" i="6"/>
  <c r="G7" i="6"/>
  <c r="F7" i="6"/>
  <c r="E7" i="6"/>
  <c r="D7" i="6"/>
  <c r="C7" i="6"/>
  <c r="B7" i="6"/>
  <c r="M6" i="6"/>
  <c r="L6" i="6"/>
  <c r="K6" i="6"/>
  <c r="J6" i="6"/>
  <c r="I6" i="6"/>
  <c r="H6" i="6"/>
  <c r="G6" i="6"/>
  <c r="F6" i="6"/>
  <c r="E6" i="6"/>
  <c r="D6" i="6"/>
  <c r="C6" i="6"/>
  <c r="B6" i="6"/>
  <c r="M5" i="6"/>
  <c r="L5" i="6"/>
  <c r="K5" i="6"/>
  <c r="J5" i="6"/>
  <c r="I5" i="6"/>
  <c r="H5" i="6"/>
  <c r="G5" i="6"/>
  <c r="F5" i="6"/>
  <c r="E5" i="6"/>
  <c r="D5" i="6"/>
  <c r="C5" i="6"/>
  <c r="B5" i="6"/>
  <c r="M105" i="5"/>
  <c r="L105" i="5"/>
  <c r="K105" i="5"/>
  <c r="J105" i="5"/>
  <c r="I105" i="5"/>
  <c r="H105" i="5"/>
  <c r="G105" i="5"/>
  <c r="F105" i="5"/>
  <c r="E105" i="5"/>
  <c r="O105" i="5" s="1"/>
  <c r="D105" i="5"/>
  <c r="C105" i="5"/>
  <c r="B105" i="5"/>
  <c r="M104" i="5"/>
  <c r="L104" i="5"/>
  <c r="K104" i="5"/>
  <c r="J104" i="5"/>
  <c r="I104" i="5"/>
  <c r="H104" i="5"/>
  <c r="G104" i="5"/>
  <c r="F104" i="5"/>
  <c r="E104" i="5"/>
  <c r="D104" i="5"/>
  <c r="C104" i="5"/>
  <c r="B104" i="5"/>
  <c r="O104" i="5" s="1"/>
  <c r="M103" i="5"/>
  <c r="L103" i="5"/>
  <c r="K103" i="5"/>
  <c r="J103" i="5"/>
  <c r="I103" i="5"/>
  <c r="H103" i="5"/>
  <c r="G103" i="5"/>
  <c r="F103" i="5"/>
  <c r="E103" i="5"/>
  <c r="D103" i="5"/>
  <c r="C103" i="5"/>
  <c r="O103" i="5" s="1"/>
  <c r="B103" i="5"/>
  <c r="M102" i="5"/>
  <c r="L102" i="5"/>
  <c r="K102" i="5"/>
  <c r="J102" i="5"/>
  <c r="I102" i="5"/>
  <c r="H102" i="5"/>
  <c r="G102" i="5"/>
  <c r="F102" i="5"/>
  <c r="E102" i="5"/>
  <c r="D102" i="5"/>
  <c r="O102" i="5" s="1"/>
  <c r="C102" i="5"/>
  <c r="B102" i="5"/>
  <c r="M101" i="5"/>
  <c r="L101" i="5"/>
  <c r="K101" i="5"/>
  <c r="J101" i="5"/>
  <c r="I101" i="5"/>
  <c r="H101" i="5"/>
  <c r="G101" i="5"/>
  <c r="F101" i="5"/>
  <c r="E101" i="5"/>
  <c r="D101" i="5"/>
  <c r="C101" i="5"/>
  <c r="B101" i="5"/>
  <c r="O101" i="5" s="1"/>
  <c r="M100" i="5"/>
  <c r="L100" i="5"/>
  <c r="K100" i="5"/>
  <c r="J100" i="5"/>
  <c r="I100" i="5"/>
  <c r="H100" i="5"/>
  <c r="G100" i="5"/>
  <c r="F100" i="5"/>
  <c r="O100" i="5" s="1"/>
  <c r="E100" i="5"/>
  <c r="D100" i="5"/>
  <c r="C100" i="5"/>
  <c r="B100" i="5"/>
  <c r="M99" i="5"/>
  <c r="L99" i="5"/>
  <c r="K99" i="5"/>
  <c r="J99" i="5"/>
  <c r="I99" i="5"/>
  <c r="H99" i="5"/>
  <c r="G99" i="5"/>
  <c r="F99" i="5"/>
  <c r="E99" i="5"/>
  <c r="D99" i="5"/>
  <c r="C99" i="5"/>
  <c r="B99" i="5"/>
  <c r="O99" i="5" s="1"/>
  <c r="M98" i="5"/>
  <c r="L98" i="5"/>
  <c r="K98" i="5"/>
  <c r="J98" i="5"/>
  <c r="I98" i="5"/>
  <c r="H98" i="5"/>
  <c r="G98" i="5"/>
  <c r="F98" i="5"/>
  <c r="E98" i="5"/>
  <c r="D98" i="5"/>
  <c r="C98" i="5"/>
  <c r="B98" i="5"/>
  <c r="O98" i="5" s="1"/>
  <c r="M97" i="5"/>
  <c r="L97" i="5"/>
  <c r="K97" i="5"/>
  <c r="J97" i="5"/>
  <c r="I97" i="5"/>
  <c r="H97" i="5"/>
  <c r="G97" i="5"/>
  <c r="F97" i="5"/>
  <c r="E97" i="5"/>
  <c r="O97" i="5" s="1"/>
  <c r="D97" i="5"/>
  <c r="C97" i="5"/>
  <c r="B97" i="5"/>
  <c r="M96" i="5"/>
  <c r="L96" i="5"/>
  <c r="K96" i="5"/>
  <c r="J96" i="5"/>
  <c r="I96" i="5"/>
  <c r="H96" i="5"/>
  <c r="G96" i="5"/>
  <c r="F96" i="5"/>
  <c r="E96" i="5"/>
  <c r="D96" i="5"/>
  <c r="C96" i="5"/>
  <c r="B96" i="5"/>
  <c r="O96" i="5" s="1"/>
  <c r="M95" i="5"/>
  <c r="L95" i="5"/>
  <c r="K95" i="5"/>
  <c r="J95" i="5"/>
  <c r="I95" i="5"/>
  <c r="H95" i="5"/>
  <c r="G95" i="5"/>
  <c r="F95" i="5"/>
  <c r="E95" i="5"/>
  <c r="D95" i="5"/>
  <c r="C95" i="5"/>
  <c r="O95" i="5" s="1"/>
  <c r="B95" i="5"/>
  <c r="M94" i="5"/>
  <c r="L94" i="5"/>
  <c r="K94" i="5"/>
  <c r="J94" i="5"/>
  <c r="I94" i="5"/>
  <c r="H94" i="5"/>
  <c r="G94" i="5"/>
  <c r="F94" i="5"/>
  <c r="E94" i="5"/>
  <c r="D94" i="5"/>
  <c r="O94" i="5" s="1"/>
  <c r="C94" i="5"/>
  <c r="B94" i="5"/>
  <c r="M93" i="5"/>
  <c r="L93" i="5"/>
  <c r="K93" i="5"/>
  <c r="J93" i="5"/>
  <c r="I93" i="5"/>
  <c r="H93" i="5"/>
  <c r="G93" i="5"/>
  <c r="F93" i="5"/>
  <c r="E93" i="5"/>
  <c r="D93" i="5"/>
  <c r="C93" i="5"/>
  <c r="B93" i="5"/>
  <c r="O93" i="5" s="1"/>
  <c r="M92" i="5"/>
  <c r="L92" i="5"/>
  <c r="K92" i="5"/>
  <c r="J92" i="5"/>
  <c r="I92" i="5"/>
  <c r="H92" i="5"/>
  <c r="G92" i="5"/>
  <c r="F92" i="5"/>
  <c r="O92" i="5" s="1"/>
  <c r="E92" i="5"/>
  <c r="D92" i="5"/>
  <c r="C92" i="5"/>
  <c r="B92" i="5"/>
  <c r="M91" i="5"/>
  <c r="L91" i="5"/>
  <c r="K91" i="5"/>
  <c r="J91" i="5"/>
  <c r="I91" i="5"/>
  <c r="H91" i="5"/>
  <c r="G91" i="5"/>
  <c r="F91" i="5"/>
  <c r="E91" i="5"/>
  <c r="D91" i="5"/>
  <c r="C91" i="5"/>
  <c r="B91" i="5"/>
  <c r="O91" i="5" s="1"/>
  <c r="M90" i="5"/>
  <c r="L90" i="5"/>
  <c r="K90" i="5"/>
  <c r="J90" i="5"/>
  <c r="I90" i="5"/>
  <c r="H90" i="5"/>
  <c r="G90" i="5"/>
  <c r="F90" i="5"/>
  <c r="E90" i="5"/>
  <c r="D90" i="5"/>
  <c r="C90" i="5"/>
  <c r="B90" i="5"/>
  <c r="O90" i="5" s="1"/>
  <c r="M89" i="5"/>
  <c r="L89" i="5"/>
  <c r="K89" i="5"/>
  <c r="J89" i="5"/>
  <c r="I89" i="5"/>
  <c r="H89" i="5"/>
  <c r="G89" i="5"/>
  <c r="F89" i="5"/>
  <c r="E89" i="5"/>
  <c r="O89" i="5" s="1"/>
  <c r="D89" i="5"/>
  <c r="C89" i="5"/>
  <c r="B89" i="5"/>
  <c r="M88" i="5"/>
  <c r="L88" i="5"/>
  <c r="K88" i="5"/>
  <c r="J88" i="5"/>
  <c r="I88" i="5"/>
  <c r="H88" i="5"/>
  <c r="G88" i="5"/>
  <c r="F88" i="5"/>
  <c r="E88" i="5"/>
  <c r="D88" i="5"/>
  <c r="C88" i="5"/>
  <c r="B88" i="5"/>
  <c r="O88" i="5" s="1"/>
  <c r="M87" i="5"/>
  <c r="L87" i="5"/>
  <c r="K87" i="5"/>
  <c r="J87" i="5"/>
  <c r="I87" i="5"/>
  <c r="H87" i="5"/>
  <c r="G87" i="5"/>
  <c r="F87" i="5"/>
  <c r="E87" i="5"/>
  <c r="D87" i="5"/>
  <c r="C87" i="5"/>
  <c r="O87" i="5" s="1"/>
  <c r="B87" i="5"/>
  <c r="M86" i="5"/>
  <c r="L86" i="5"/>
  <c r="K86" i="5"/>
  <c r="J86" i="5"/>
  <c r="I86" i="5"/>
  <c r="H86" i="5"/>
  <c r="G86" i="5"/>
  <c r="F86" i="5"/>
  <c r="E86" i="5"/>
  <c r="D86" i="5"/>
  <c r="O86" i="5" s="1"/>
  <c r="C86" i="5"/>
  <c r="B86" i="5"/>
  <c r="M85" i="5"/>
  <c r="L85" i="5"/>
  <c r="K85" i="5"/>
  <c r="J85" i="5"/>
  <c r="I85" i="5"/>
  <c r="H85" i="5"/>
  <c r="G85" i="5"/>
  <c r="F85" i="5"/>
  <c r="E85" i="5"/>
  <c r="D85" i="5"/>
  <c r="C85" i="5"/>
  <c r="B85" i="5"/>
  <c r="O85" i="5" s="1"/>
  <c r="M84" i="5"/>
  <c r="L84" i="5"/>
  <c r="K84" i="5"/>
  <c r="J84" i="5"/>
  <c r="I84" i="5"/>
  <c r="H84" i="5"/>
  <c r="G84" i="5"/>
  <c r="F84" i="5"/>
  <c r="O84" i="5" s="1"/>
  <c r="E84" i="5"/>
  <c r="D84" i="5"/>
  <c r="C84" i="5"/>
  <c r="B84" i="5"/>
  <c r="M83" i="5"/>
  <c r="L83" i="5"/>
  <c r="K83" i="5"/>
  <c r="J83" i="5"/>
  <c r="I83" i="5"/>
  <c r="H83" i="5"/>
  <c r="G83" i="5"/>
  <c r="F83" i="5"/>
  <c r="E83" i="5"/>
  <c r="D83" i="5"/>
  <c r="C83" i="5"/>
  <c r="B83" i="5"/>
  <c r="O83" i="5" s="1"/>
  <c r="M82" i="5"/>
  <c r="L82" i="5"/>
  <c r="K82" i="5"/>
  <c r="J82" i="5"/>
  <c r="I82" i="5"/>
  <c r="H82" i="5"/>
  <c r="G82" i="5"/>
  <c r="F82" i="5"/>
  <c r="E82" i="5"/>
  <c r="D82" i="5"/>
  <c r="C82" i="5"/>
  <c r="B82" i="5"/>
  <c r="O82" i="5" s="1"/>
  <c r="M81" i="5"/>
  <c r="L81" i="5"/>
  <c r="K81" i="5"/>
  <c r="J81" i="5"/>
  <c r="I81" i="5"/>
  <c r="H81" i="5"/>
  <c r="G81" i="5"/>
  <c r="F81" i="5"/>
  <c r="E81" i="5"/>
  <c r="O81" i="5" s="1"/>
  <c r="D81" i="5"/>
  <c r="C81" i="5"/>
  <c r="B81" i="5"/>
  <c r="M80" i="5"/>
  <c r="L80" i="5"/>
  <c r="K80" i="5"/>
  <c r="J80" i="5"/>
  <c r="I80" i="5"/>
  <c r="H80" i="5"/>
  <c r="G80" i="5"/>
  <c r="F80" i="5"/>
  <c r="E80" i="5"/>
  <c r="D80" i="5"/>
  <c r="C80" i="5"/>
  <c r="B80" i="5"/>
  <c r="O80" i="5" s="1"/>
  <c r="M79" i="5"/>
  <c r="L79" i="5"/>
  <c r="K79" i="5"/>
  <c r="J79" i="5"/>
  <c r="I79" i="5"/>
  <c r="H79" i="5"/>
  <c r="G79" i="5"/>
  <c r="F79" i="5"/>
  <c r="E79" i="5"/>
  <c r="D79" i="5"/>
  <c r="C79" i="5"/>
  <c r="O79" i="5" s="1"/>
  <c r="B79" i="5"/>
  <c r="M78" i="5"/>
  <c r="L78" i="5"/>
  <c r="K78" i="5"/>
  <c r="J78" i="5"/>
  <c r="I78" i="5"/>
  <c r="H78" i="5"/>
  <c r="G78" i="5"/>
  <c r="F78" i="5"/>
  <c r="E78" i="5"/>
  <c r="D78" i="5"/>
  <c r="O78" i="5" s="1"/>
  <c r="C78" i="5"/>
  <c r="B78" i="5"/>
  <c r="M77" i="5"/>
  <c r="L77" i="5"/>
  <c r="K77" i="5"/>
  <c r="J77" i="5"/>
  <c r="I77" i="5"/>
  <c r="H77" i="5"/>
  <c r="G77" i="5"/>
  <c r="F77" i="5"/>
  <c r="E77" i="5"/>
  <c r="D77" i="5"/>
  <c r="C77" i="5"/>
  <c r="B77" i="5"/>
  <c r="O77" i="5" s="1"/>
  <c r="M76" i="5"/>
  <c r="L76" i="5"/>
  <c r="K76" i="5"/>
  <c r="J76" i="5"/>
  <c r="I76" i="5"/>
  <c r="H76" i="5"/>
  <c r="G76" i="5"/>
  <c r="F76" i="5"/>
  <c r="O76" i="5" s="1"/>
  <c r="E76" i="5"/>
  <c r="D76" i="5"/>
  <c r="C76" i="5"/>
  <c r="B76" i="5"/>
  <c r="M75" i="5"/>
  <c r="L75" i="5"/>
  <c r="K75" i="5"/>
  <c r="J75" i="5"/>
  <c r="I75" i="5"/>
  <c r="H75" i="5"/>
  <c r="G75" i="5"/>
  <c r="F75" i="5"/>
  <c r="E75" i="5"/>
  <c r="D75" i="5"/>
  <c r="C75" i="5"/>
  <c r="B75" i="5"/>
  <c r="O75" i="5" s="1"/>
  <c r="M74" i="5"/>
  <c r="L74" i="5"/>
  <c r="K74" i="5"/>
  <c r="J74" i="5"/>
  <c r="I74" i="5"/>
  <c r="H74" i="5"/>
  <c r="G74" i="5"/>
  <c r="F74" i="5"/>
  <c r="E74" i="5"/>
  <c r="D74" i="5"/>
  <c r="C74" i="5"/>
  <c r="B74" i="5"/>
  <c r="O74" i="5" s="1"/>
  <c r="M73" i="5"/>
  <c r="L73" i="5"/>
  <c r="K73" i="5"/>
  <c r="J73" i="5"/>
  <c r="I73" i="5"/>
  <c r="H73" i="5"/>
  <c r="G73" i="5"/>
  <c r="F73" i="5"/>
  <c r="E73" i="5"/>
  <c r="O73" i="5" s="1"/>
  <c r="D73" i="5"/>
  <c r="C73" i="5"/>
  <c r="B73" i="5"/>
  <c r="M72" i="5"/>
  <c r="L72" i="5"/>
  <c r="K72" i="5"/>
  <c r="J72" i="5"/>
  <c r="I72" i="5"/>
  <c r="H72" i="5"/>
  <c r="G72" i="5"/>
  <c r="F72" i="5"/>
  <c r="E72" i="5"/>
  <c r="D72" i="5"/>
  <c r="C72" i="5"/>
  <c r="B72" i="5"/>
  <c r="O72" i="5" s="1"/>
  <c r="M71" i="5"/>
  <c r="L71" i="5"/>
  <c r="K71" i="5"/>
  <c r="J71" i="5"/>
  <c r="I71" i="5"/>
  <c r="H71" i="5"/>
  <c r="G71" i="5"/>
  <c r="F71" i="5"/>
  <c r="E71" i="5"/>
  <c r="D71" i="5"/>
  <c r="C71" i="5"/>
  <c r="O71" i="5" s="1"/>
  <c r="B71" i="5"/>
  <c r="M70" i="5"/>
  <c r="L70" i="5"/>
  <c r="K70" i="5"/>
  <c r="J70" i="5"/>
  <c r="I70" i="5"/>
  <c r="H70" i="5"/>
  <c r="G70" i="5"/>
  <c r="F70" i="5"/>
  <c r="E70" i="5"/>
  <c r="D70" i="5"/>
  <c r="O70" i="5" s="1"/>
  <c r="C70" i="5"/>
  <c r="B70" i="5"/>
  <c r="M69" i="5"/>
  <c r="L69" i="5"/>
  <c r="K69" i="5"/>
  <c r="J69" i="5"/>
  <c r="I69" i="5"/>
  <c r="H69" i="5"/>
  <c r="G69" i="5"/>
  <c r="F69" i="5"/>
  <c r="E69" i="5"/>
  <c r="D69" i="5"/>
  <c r="C69" i="5"/>
  <c r="B69" i="5"/>
  <c r="O69" i="5" s="1"/>
  <c r="M68" i="5"/>
  <c r="L68" i="5"/>
  <c r="K68" i="5"/>
  <c r="J68" i="5"/>
  <c r="I68" i="5"/>
  <c r="H68" i="5"/>
  <c r="G68" i="5"/>
  <c r="F68" i="5"/>
  <c r="O68" i="5" s="1"/>
  <c r="E68" i="5"/>
  <c r="D68" i="5"/>
  <c r="C68" i="5"/>
  <c r="B68" i="5"/>
  <c r="M67" i="5"/>
  <c r="L67" i="5"/>
  <c r="K67" i="5"/>
  <c r="J67" i="5"/>
  <c r="I67" i="5"/>
  <c r="H67" i="5"/>
  <c r="G67" i="5"/>
  <c r="F67" i="5"/>
  <c r="E67" i="5"/>
  <c r="D67" i="5"/>
  <c r="C67" i="5"/>
  <c r="B67" i="5"/>
  <c r="O67" i="5" s="1"/>
  <c r="M66" i="5"/>
  <c r="L66" i="5"/>
  <c r="K66" i="5"/>
  <c r="J66" i="5"/>
  <c r="I66" i="5"/>
  <c r="H66" i="5"/>
  <c r="G66" i="5"/>
  <c r="F66" i="5"/>
  <c r="E66" i="5"/>
  <c r="D66" i="5"/>
  <c r="C66" i="5"/>
  <c r="B66" i="5"/>
  <c r="O66" i="5" s="1"/>
  <c r="M65" i="5"/>
  <c r="L65" i="5"/>
  <c r="K65" i="5"/>
  <c r="J65" i="5"/>
  <c r="I65" i="5"/>
  <c r="H65" i="5"/>
  <c r="G65" i="5"/>
  <c r="F65" i="5"/>
  <c r="E65" i="5"/>
  <c r="O65" i="5" s="1"/>
  <c r="D65" i="5"/>
  <c r="C65" i="5"/>
  <c r="B65" i="5"/>
  <c r="M64" i="5"/>
  <c r="L64" i="5"/>
  <c r="K64" i="5"/>
  <c r="J64" i="5"/>
  <c r="I64" i="5"/>
  <c r="H64" i="5"/>
  <c r="G64" i="5"/>
  <c r="F64" i="5"/>
  <c r="E64" i="5"/>
  <c r="D64" i="5"/>
  <c r="C64" i="5"/>
  <c r="B64" i="5"/>
  <c r="O64" i="5" s="1"/>
  <c r="M63" i="5"/>
  <c r="L63" i="5"/>
  <c r="K63" i="5"/>
  <c r="J63" i="5"/>
  <c r="I63" i="5"/>
  <c r="H63" i="5"/>
  <c r="G63" i="5"/>
  <c r="F63" i="5"/>
  <c r="E63" i="5"/>
  <c r="D63" i="5"/>
  <c r="O63" i="5" s="1"/>
  <c r="C63" i="5"/>
  <c r="B63" i="5"/>
  <c r="M62" i="5"/>
  <c r="L62" i="5"/>
  <c r="K62" i="5"/>
  <c r="J62" i="5"/>
  <c r="I62" i="5"/>
  <c r="H62" i="5"/>
  <c r="G62" i="5"/>
  <c r="F62" i="5"/>
  <c r="E62" i="5"/>
  <c r="D62" i="5"/>
  <c r="O62" i="5" s="1"/>
  <c r="C62" i="5"/>
  <c r="B62" i="5"/>
  <c r="M61" i="5"/>
  <c r="L61" i="5"/>
  <c r="K61" i="5"/>
  <c r="J61" i="5"/>
  <c r="I61" i="5"/>
  <c r="H61" i="5"/>
  <c r="G61" i="5"/>
  <c r="F61" i="5"/>
  <c r="E61" i="5"/>
  <c r="D61" i="5"/>
  <c r="C61" i="5"/>
  <c r="B61" i="5"/>
  <c r="O61" i="5" s="1"/>
  <c r="M60" i="5"/>
  <c r="L60" i="5"/>
  <c r="K60" i="5"/>
  <c r="J60" i="5"/>
  <c r="I60" i="5"/>
  <c r="H60" i="5"/>
  <c r="G60" i="5"/>
  <c r="F60" i="5"/>
  <c r="O60" i="5" s="1"/>
  <c r="E60" i="5"/>
  <c r="D60" i="5"/>
  <c r="C60" i="5"/>
  <c r="B60" i="5"/>
  <c r="M59" i="5"/>
  <c r="L59" i="5"/>
  <c r="K59" i="5"/>
  <c r="J59" i="5"/>
  <c r="I59" i="5"/>
  <c r="H59" i="5"/>
  <c r="G59" i="5"/>
  <c r="F59" i="5"/>
  <c r="E59" i="5"/>
  <c r="D59" i="5"/>
  <c r="C59" i="5"/>
  <c r="B59" i="5"/>
  <c r="O59" i="5" s="1"/>
  <c r="M58" i="5"/>
  <c r="L58" i="5"/>
  <c r="K58" i="5"/>
  <c r="J58" i="5"/>
  <c r="I58" i="5"/>
  <c r="H58" i="5"/>
  <c r="G58" i="5"/>
  <c r="F58" i="5"/>
  <c r="E58" i="5"/>
  <c r="D58" i="5"/>
  <c r="C58" i="5"/>
  <c r="B58" i="5"/>
  <c r="O58" i="5" s="1"/>
  <c r="M57" i="5"/>
  <c r="L57" i="5"/>
  <c r="K57" i="5"/>
  <c r="J57" i="5"/>
  <c r="I57" i="5"/>
  <c r="H57" i="5"/>
  <c r="G57" i="5"/>
  <c r="F57" i="5"/>
  <c r="E57" i="5"/>
  <c r="O57" i="5" s="1"/>
  <c r="D57" i="5"/>
  <c r="C57" i="5"/>
  <c r="B57" i="5"/>
  <c r="M56" i="5"/>
  <c r="L56" i="5"/>
  <c r="K56" i="5"/>
  <c r="J56" i="5"/>
  <c r="I56" i="5"/>
  <c r="H56" i="5"/>
  <c r="G56" i="5"/>
  <c r="F56" i="5"/>
  <c r="E56" i="5"/>
  <c r="D56" i="5"/>
  <c r="C56" i="5"/>
  <c r="B56" i="5"/>
  <c r="O56" i="5" s="1"/>
  <c r="M55" i="5"/>
  <c r="L55" i="5"/>
  <c r="K55" i="5"/>
  <c r="J55" i="5"/>
  <c r="I55" i="5"/>
  <c r="H55" i="5"/>
  <c r="G55" i="5"/>
  <c r="F55" i="5"/>
  <c r="E55" i="5"/>
  <c r="D55" i="5"/>
  <c r="O55" i="5" s="1"/>
  <c r="C55" i="5"/>
  <c r="B55" i="5"/>
  <c r="M54" i="5"/>
  <c r="L54" i="5"/>
  <c r="K54" i="5"/>
  <c r="J54" i="5"/>
  <c r="I54" i="5"/>
  <c r="H54" i="5"/>
  <c r="G54" i="5"/>
  <c r="F54" i="5"/>
  <c r="E54" i="5"/>
  <c r="D54" i="5"/>
  <c r="O54" i="5" s="1"/>
  <c r="C54" i="5"/>
  <c r="B54" i="5"/>
  <c r="M53" i="5"/>
  <c r="L53" i="5"/>
  <c r="K53" i="5"/>
  <c r="J53" i="5"/>
  <c r="I53" i="5"/>
  <c r="H53" i="5"/>
  <c r="G53" i="5"/>
  <c r="F53" i="5"/>
  <c r="E53" i="5"/>
  <c r="D53" i="5"/>
  <c r="C53" i="5"/>
  <c r="B53" i="5"/>
  <c r="O53" i="5" s="1"/>
  <c r="M52" i="5"/>
  <c r="L52" i="5"/>
  <c r="K52" i="5"/>
  <c r="J52" i="5"/>
  <c r="I52" i="5"/>
  <c r="H52" i="5"/>
  <c r="G52" i="5"/>
  <c r="F52" i="5"/>
  <c r="O52" i="5" s="1"/>
  <c r="E52" i="5"/>
  <c r="D52" i="5"/>
  <c r="C52" i="5"/>
  <c r="B52" i="5"/>
  <c r="M51" i="5"/>
  <c r="L51" i="5"/>
  <c r="K51" i="5"/>
  <c r="J51" i="5"/>
  <c r="I51" i="5"/>
  <c r="H51" i="5"/>
  <c r="G51" i="5"/>
  <c r="F51" i="5"/>
  <c r="E51" i="5"/>
  <c r="D51" i="5"/>
  <c r="C51" i="5"/>
  <c r="B51" i="5"/>
  <c r="O51" i="5" s="1"/>
  <c r="M50" i="5"/>
  <c r="L50" i="5"/>
  <c r="K50" i="5"/>
  <c r="J50" i="5"/>
  <c r="I50" i="5"/>
  <c r="H50" i="5"/>
  <c r="G50" i="5"/>
  <c r="F50" i="5"/>
  <c r="E50" i="5"/>
  <c r="D50" i="5"/>
  <c r="C50" i="5"/>
  <c r="B50" i="5"/>
  <c r="O50" i="5" s="1"/>
  <c r="M49" i="5"/>
  <c r="L49" i="5"/>
  <c r="K49" i="5"/>
  <c r="J49" i="5"/>
  <c r="I49" i="5"/>
  <c r="H49" i="5"/>
  <c r="G49" i="5"/>
  <c r="F49" i="5"/>
  <c r="E49" i="5"/>
  <c r="O49" i="5" s="1"/>
  <c r="D49" i="5"/>
  <c r="C49" i="5"/>
  <c r="B49" i="5"/>
  <c r="M48" i="5"/>
  <c r="L48" i="5"/>
  <c r="K48" i="5"/>
  <c r="J48" i="5"/>
  <c r="I48" i="5"/>
  <c r="H48" i="5"/>
  <c r="G48" i="5"/>
  <c r="F48" i="5"/>
  <c r="E48" i="5"/>
  <c r="D48" i="5"/>
  <c r="C48" i="5"/>
  <c r="B48" i="5"/>
  <c r="O48" i="5" s="1"/>
  <c r="M47" i="5"/>
  <c r="L47" i="5"/>
  <c r="K47" i="5"/>
  <c r="J47" i="5"/>
  <c r="I47" i="5"/>
  <c r="H47" i="5"/>
  <c r="G47" i="5"/>
  <c r="F47" i="5"/>
  <c r="E47" i="5"/>
  <c r="D47" i="5"/>
  <c r="O47" i="5" s="1"/>
  <c r="C47" i="5"/>
  <c r="B47" i="5"/>
  <c r="M46" i="5"/>
  <c r="L46" i="5"/>
  <c r="K46" i="5"/>
  <c r="J46" i="5"/>
  <c r="I46" i="5"/>
  <c r="H46" i="5"/>
  <c r="G46" i="5"/>
  <c r="F46" i="5"/>
  <c r="E46" i="5"/>
  <c r="D46" i="5"/>
  <c r="O46" i="5" s="1"/>
  <c r="C46" i="5"/>
  <c r="B46" i="5"/>
  <c r="M45" i="5"/>
  <c r="L45" i="5"/>
  <c r="K45" i="5"/>
  <c r="J45" i="5"/>
  <c r="I45" i="5"/>
  <c r="H45" i="5"/>
  <c r="G45" i="5"/>
  <c r="F45" i="5"/>
  <c r="E45" i="5"/>
  <c r="D45" i="5"/>
  <c r="C45" i="5"/>
  <c r="B45" i="5"/>
  <c r="O45" i="5" s="1"/>
  <c r="M44" i="5"/>
  <c r="L44" i="5"/>
  <c r="K44" i="5"/>
  <c r="J44" i="5"/>
  <c r="I44" i="5"/>
  <c r="H44" i="5"/>
  <c r="G44" i="5"/>
  <c r="F44" i="5"/>
  <c r="O44" i="5" s="1"/>
  <c r="E44" i="5"/>
  <c r="D44" i="5"/>
  <c r="C44" i="5"/>
  <c r="B44" i="5"/>
  <c r="M43" i="5"/>
  <c r="L43" i="5"/>
  <c r="K43" i="5"/>
  <c r="J43" i="5"/>
  <c r="I43" i="5"/>
  <c r="H43" i="5"/>
  <c r="G43" i="5"/>
  <c r="F43" i="5"/>
  <c r="E43" i="5"/>
  <c r="D43" i="5"/>
  <c r="C43" i="5"/>
  <c r="B43" i="5"/>
  <c r="O43" i="5" s="1"/>
  <c r="M42" i="5"/>
  <c r="L42" i="5"/>
  <c r="K42" i="5"/>
  <c r="J42" i="5"/>
  <c r="I42" i="5"/>
  <c r="H42" i="5"/>
  <c r="G42" i="5"/>
  <c r="F42" i="5"/>
  <c r="E42" i="5"/>
  <c r="D42" i="5"/>
  <c r="C42" i="5"/>
  <c r="B42" i="5"/>
  <c r="O42" i="5" s="1"/>
  <c r="M41" i="5"/>
  <c r="L41" i="5"/>
  <c r="K41" i="5"/>
  <c r="J41" i="5"/>
  <c r="I41" i="5"/>
  <c r="H41" i="5"/>
  <c r="G41" i="5"/>
  <c r="F41" i="5"/>
  <c r="E41" i="5"/>
  <c r="O41" i="5" s="1"/>
  <c r="D41" i="5"/>
  <c r="C41" i="5"/>
  <c r="B41" i="5"/>
  <c r="M40" i="5"/>
  <c r="L40" i="5"/>
  <c r="K40" i="5"/>
  <c r="J40" i="5"/>
  <c r="I40" i="5"/>
  <c r="H40" i="5"/>
  <c r="G40" i="5"/>
  <c r="F40" i="5"/>
  <c r="E40" i="5"/>
  <c r="D40" i="5"/>
  <c r="C40" i="5"/>
  <c r="B40" i="5"/>
  <c r="O40" i="5" s="1"/>
  <c r="M39" i="5"/>
  <c r="L39" i="5"/>
  <c r="K39" i="5"/>
  <c r="J39" i="5"/>
  <c r="I39" i="5"/>
  <c r="H39" i="5"/>
  <c r="G39" i="5"/>
  <c r="F39" i="5"/>
  <c r="E39" i="5"/>
  <c r="D39" i="5"/>
  <c r="C39" i="5"/>
  <c r="O39" i="5" s="1"/>
  <c r="B39" i="5"/>
  <c r="M38" i="5"/>
  <c r="L38" i="5"/>
  <c r="K38" i="5"/>
  <c r="J38" i="5"/>
  <c r="I38" i="5"/>
  <c r="H38" i="5"/>
  <c r="G38" i="5"/>
  <c r="F38" i="5"/>
  <c r="E38" i="5"/>
  <c r="D38" i="5"/>
  <c r="O38" i="5" s="1"/>
  <c r="C38" i="5"/>
  <c r="B38" i="5"/>
  <c r="M37" i="5"/>
  <c r="L37" i="5"/>
  <c r="K37" i="5"/>
  <c r="J37" i="5"/>
  <c r="I37" i="5"/>
  <c r="H37" i="5"/>
  <c r="G37" i="5"/>
  <c r="F37" i="5"/>
  <c r="E37" i="5"/>
  <c r="D37" i="5"/>
  <c r="C37" i="5"/>
  <c r="B37" i="5"/>
  <c r="O37" i="5" s="1"/>
  <c r="M36" i="5"/>
  <c r="L36" i="5"/>
  <c r="K36" i="5"/>
  <c r="J36" i="5"/>
  <c r="I36" i="5"/>
  <c r="H36" i="5"/>
  <c r="G36" i="5"/>
  <c r="F36" i="5"/>
  <c r="O36" i="5" s="1"/>
  <c r="E36" i="5"/>
  <c r="D36" i="5"/>
  <c r="C36" i="5"/>
  <c r="B36" i="5"/>
  <c r="M35" i="5"/>
  <c r="L35" i="5"/>
  <c r="K35" i="5"/>
  <c r="J35" i="5"/>
  <c r="I35" i="5"/>
  <c r="H35" i="5"/>
  <c r="G35" i="5"/>
  <c r="F35" i="5"/>
  <c r="E35" i="5"/>
  <c r="D35" i="5"/>
  <c r="C35" i="5"/>
  <c r="B35" i="5"/>
  <c r="O35" i="5" s="1"/>
  <c r="M34" i="5"/>
  <c r="L34" i="5"/>
  <c r="K34" i="5"/>
  <c r="J34" i="5"/>
  <c r="I34" i="5"/>
  <c r="H34" i="5"/>
  <c r="G34" i="5"/>
  <c r="F34" i="5"/>
  <c r="E34" i="5"/>
  <c r="D34" i="5"/>
  <c r="C34" i="5"/>
  <c r="B34" i="5"/>
  <c r="O34" i="5" s="1"/>
  <c r="M33" i="5"/>
  <c r="L33" i="5"/>
  <c r="K33" i="5"/>
  <c r="J33" i="5"/>
  <c r="I33" i="5"/>
  <c r="H33" i="5"/>
  <c r="G33" i="5"/>
  <c r="F33" i="5"/>
  <c r="E33" i="5"/>
  <c r="O33" i="5" s="1"/>
  <c r="D33" i="5"/>
  <c r="C33" i="5"/>
  <c r="B33" i="5"/>
  <c r="M32" i="5"/>
  <c r="L32" i="5"/>
  <c r="K32" i="5"/>
  <c r="J32" i="5"/>
  <c r="I32" i="5"/>
  <c r="H32" i="5"/>
  <c r="G32" i="5"/>
  <c r="F32" i="5"/>
  <c r="E32" i="5"/>
  <c r="D32" i="5"/>
  <c r="C32" i="5"/>
  <c r="B32" i="5"/>
  <c r="O32" i="5" s="1"/>
  <c r="M31" i="5"/>
  <c r="L31" i="5"/>
  <c r="K31" i="5"/>
  <c r="J31" i="5"/>
  <c r="I31" i="5"/>
  <c r="H31" i="5"/>
  <c r="G31" i="5"/>
  <c r="F31" i="5"/>
  <c r="E31" i="5"/>
  <c r="D31" i="5"/>
  <c r="C31" i="5"/>
  <c r="O31" i="5" s="1"/>
  <c r="B31" i="5"/>
  <c r="M30" i="5"/>
  <c r="L30" i="5"/>
  <c r="K30" i="5"/>
  <c r="J30" i="5"/>
  <c r="I30" i="5"/>
  <c r="H30" i="5"/>
  <c r="G30" i="5"/>
  <c r="F30" i="5"/>
  <c r="E30" i="5"/>
  <c r="D30" i="5"/>
  <c r="O30" i="5" s="1"/>
  <c r="C30" i="5"/>
  <c r="B30" i="5"/>
  <c r="M29" i="5"/>
  <c r="L29" i="5"/>
  <c r="K29" i="5"/>
  <c r="J29" i="5"/>
  <c r="I29" i="5"/>
  <c r="H29" i="5"/>
  <c r="G29" i="5"/>
  <c r="F29" i="5"/>
  <c r="E29" i="5"/>
  <c r="D29" i="5"/>
  <c r="C29" i="5"/>
  <c r="B29" i="5"/>
  <c r="O29" i="5" s="1"/>
  <c r="M28" i="5"/>
  <c r="L28" i="5"/>
  <c r="K28" i="5"/>
  <c r="J28" i="5"/>
  <c r="I28" i="5"/>
  <c r="H28" i="5"/>
  <c r="G28" i="5"/>
  <c r="F28" i="5"/>
  <c r="O28" i="5" s="1"/>
  <c r="E28" i="5"/>
  <c r="D28" i="5"/>
  <c r="C28" i="5"/>
  <c r="B28" i="5"/>
  <c r="M27" i="5"/>
  <c r="L27" i="5"/>
  <c r="K27" i="5"/>
  <c r="J27" i="5"/>
  <c r="I27" i="5"/>
  <c r="H27" i="5"/>
  <c r="G27" i="5"/>
  <c r="F27" i="5"/>
  <c r="E27" i="5"/>
  <c r="D27" i="5"/>
  <c r="C27" i="5"/>
  <c r="B27" i="5"/>
  <c r="O27" i="5" s="1"/>
  <c r="M26" i="5"/>
  <c r="L26" i="5"/>
  <c r="K26" i="5"/>
  <c r="J26" i="5"/>
  <c r="I26" i="5"/>
  <c r="H26" i="5"/>
  <c r="G26" i="5"/>
  <c r="F26" i="5"/>
  <c r="E26" i="5"/>
  <c r="D26" i="5"/>
  <c r="C26" i="5"/>
  <c r="B26" i="5"/>
  <c r="O26" i="5" s="1"/>
  <c r="M25" i="5"/>
  <c r="L25" i="5"/>
  <c r="K25" i="5"/>
  <c r="J25" i="5"/>
  <c r="I25" i="5"/>
  <c r="H25" i="5"/>
  <c r="G25" i="5"/>
  <c r="F25" i="5"/>
  <c r="E25" i="5"/>
  <c r="O25" i="5" s="1"/>
  <c r="D25" i="5"/>
  <c r="C25" i="5"/>
  <c r="B25" i="5"/>
  <c r="M24" i="5"/>
  <c r="L24" i="5"/>
  <c r="K24" i="5"/>
  <c r="J24" i="5"/>
  <c r="I24" i="5"/>
  <c r="H24" i="5"/>
  <c r="G24" i="5"/>
  <c r="F24" i="5"/>
  <c r="E24" i="5"/>
  <c r="D24" i="5"/>
  <c r="C24" i="5"/>
  <c r="B24" i="5"/>
  <c r="O24" i="5" s="1"/>
  <c r="M23" i="5"/>
  <c r="L23" i="5"/>
  <c r="K23" i="5"/>
  <c r="J23" i="5"/>
  <c r="I23" i="5"/>
  <c r="H23" i="5"/>
  <c r="G23" i="5"/>
  <c r="F23" i="5"/>
  <c r="E23" i="5"/>
  <c r="D23" i="5"/>
  <c r="C23" i="5"/>
  <c r="O23" i="5" s="1"/>
  <c r="B23" i="5"/>
  <c r="M22" i="5"/>
  <c r="L22" i="5"/>
  <c r="K22" i="5"/>
  <c r="J22" i="5"/>
  <c r="I22" i="5"/>
  <c r="H22" i="5"/>
  <c r="G22" i="5"/>
  <c r="F22" i="5"/>
  <c r="E22" i="5"/>
  <c r="D22" i="5"/>
  <c r="O22" i="5" s="1"/>
  <c r="C22" i="5"/>
  <c r="B22" i="5"/>
  <c r="M21" i="5"/>
  <c r="L21" i="5"/>
  <c r="K21" i="5"/>
  <c r="J21" i="5"/>
  <c r="I21" i="5"/>
  <c r="H21" i="5"/>
  <c r="G21" i="5"/>
  <c r="F21" i="5"/>
  <c r="E21" i="5"/>
  <c r="D21" i="5"/>
  <c r="C21" i="5"/>
  <c r="B21" i="5"/>
  <c r="O21" i="5" s="1"/>
  <c r="M20" i="5"/>
  <c r="L20" i="5"/>
  <c r="K20" i="5"/>
  <c r="J20" i="5"/>
  <c r="I20" i="5"/>
  <c r="H20" i="5"/>
  <c r="G20" i="5"/>
  <c r="F20" i="5"/>
  <c r="O20" i="5" s="1"/>
  <c r="E20" i="5"/>
  <c r="D20" i="5"/>
  <c r="C20" i="5"/>
  <c r="B20" i="5"/>
  <c r="M19" i="5"/>
  <c r="L19" i="5"/>
  <c r="K19" i="5"/>
  <c r="J19" i="5"/>
  <c r="I19" i="5"/>
  <c r="H19" i="5"/>
  <c r="G19" i="5"/>
  <c r="F19" i="5"/>
  <c r="E19" i="5"/>
  <c r="D19" i="5"/>
  <c r="C19" i="5"/>
  <c r="B19" i="5"/>
  <c r="O19" i="5" s="1"/>
  <c r="M18" i="5"/>
  <c r="L18" i="5"/>
  <c r="K18" i="5"/>
  <c r="J18" i="5"/>
  <c r="I18" i="5"/>
  <c r="H18" i="5"/>
  <c r="G18" i="5"/>
  <c r="F18" i="5"/>
  <c r="E18" i="5"/>
  <c r="D18" i="5"/>
  <c r="C18" i="5"/>
  <c r="B18" i="5"/>
  <c r="O18" i="5" s="1"/>
  <c r="M17" i="5"/>
  <c r="L17" i="5"/>
  <c r="K17" i="5"/>
  <c r="J17" i="5"/>
  <c r="I17" i="5"/>
  <c r="H17" i="5"/>
  <c r="G17" i="5"/>
  <c r="F17" i="5"/>
  <c r="E17" i="5"/>
  <c r="O17" i="5" s="1"/>
  <c r="D17" i="5"/>
  <c r="C17" i="5"/>
  <c r="B17" i="5"/>
  <c r="M16" i="5"/>
  <c r="L16" i="5"/>
  <c r="K16" i="5"/>
  <c r="J16" i="5"/>
  <c r="I16" i="5"/>
  <c r="H16" i="5"/>
  <c r="G16" i="5"/>
  <c r="F16" i="5"/>
  <c r="E16" i="5"/>
  <c r="D16" i="5"/>
  <c r="C16" i="5"/>
  <c r="B16" i="5"/>
  <c r="O16" i="5" s="1"/>
  <c r="M15" i="5"/>
  <c r="L15" i="5"/>
  <c r="K15" i="5"/>
  <c r="J15" i="5"/>
  <c r="I15" i="5"/>
  <c r="H15" i="5"/>
  <c r="G15" i="5"/>
  <c r="F15" i="5"/>
  <c r="E15" i="5"/>
  <c r="D15" i="5"/>
  <c r="C15" i="5"/>
  <c r="O15" i="5" s="1"/>
  <c r="B15" i="5"/>
  <c r="M14" i="5"/>
  <c r="L14" i="5"/>
  <c r="K14" i="5"/>
  <c r="J14" i="5"/>
  <c r="I14" i="5"/>
  <c r="H14" i="5"/>
  <c r="G14" i="5"/>
  <c r="F14" i="5"/>
  <c r="E14" i="5"/>
  <c r="D14" i="5"/>
  <c r="O14" i="5" s="1"/>
  <c r="C14" i="5"/>
  <c r="B14" i="5"/>
  <c r="M13" i="5"/>
  <c r="L13" i="5"/>
  <c r="K13" i="5"/>
  <c r="J13" i="5"/>
  <c r="I13" i="5"/>
  <c r="H13" i="5"/>
  <c r="G13" i="5"/>
  <c r="F13" i="5"/>
  <c r="E13" i="5"/>
  <c r="D13" i="5"/>
  <c r="C13" i="5"/>
  <c r="B13" i="5"/>
  <c r="O13" i="5" s="1"/>
  <c r="M12" i="5"/>
  <c r="L12" i="5"/>
  <c r="K12" i="5"/>
  <c r="J12" i="5"/>
  <c r="I12" i="5"/>
  <c r="H12" i="5"/>
  <c r="G12" i="5"/>
  <c r="F12" i="5"/>
  <c r="O12" i="5" s="1"/>
  <c r="E12" i="5"/>
  <c r="D12" i="5"/>
  <c r="C12" i="5"/>
  <c r="B12" i="5"/>
  <c r="M11" i="5"/>
  <c r="L11" i="5"/>
  <c r="K11" i="5"/>
  <c r="J11" i="5"/>
  <c r="I11" i="5"/>
  <c r="H11" i="5"/>
  <c r="G11" i="5"/>
  <c r="F11" i="5"/>
  <c r="E11" i="5"/>
  <c r="D11" i="5"/>
  <c r="C11" i="5"/>
  <c r="B11" i="5"/>
  <c r="O11" i="5" s="1"/>
  <c r="M10" i="5"/>
  <c r="L10" i="5"/>
  <c r="K10" i="5"/>
  <c r="J10" i="5"/>
  <c r="I10" i="5"/>
  <c r="H10" i="5"/>
  <c r="G10" i="5"/>
  <c r="F10" i="5"/>
  <c r="E10" i="5"/>
  <c r="D10" i="5"/>
  <c r="C10" i="5"/>
  <c r="B10" i="5"/>
  <c r="O10" i="5" s="1"/>
  <c r="M9" i="5"/>
  <c r="L9" i="5"/>
  <c r="K9" i="5"/>
  <c r="J9" i="5"/>
  <c r="I9" i="5"/>
  <c r="H9" i="5"/>
  <c r="G9" i="5"/>
  <c r="F9" i="5"/>
  <c r="E9" i="5"/>
  <c r="O9" i="5" s="1"/>
  <c r="D9" i="5"/>
  <c r="C9" i="5"/>
  <c r="B9" i="5"/>
  <c r="M8" i="5"/>
  <c r="L8" i="5"/>
  <c r="K8" i="5"/>
  <c r="J8" i="5"/>
  <c r="I8" i="5"/>
  <c r="H8" i="5"/>
  <c r="G8" i="5"/>
  <c r="F8" i="5"/>
  <c r="E8" i="5"/>
  <c r="D8" i="5"/>
  <c r="C8" i="5"/>
  <c r="B8" i="5"/>
  <c r="O8" i="5" s="1"/>
  <c r="M7" i="5"/>
  <c r="L7" i="5"/>
  <c r="K7" i="5"/>
  <c r="J7" i="5"/>
  <c r="I7" i="5"/>
  <c r="H7" i="5"/>
  <c r="G7" i="5"/>
  <c r="F7" i="5"/>
  <c r="E7" i="5"/>
  <c r="D7" i="5"/>
  <c r="C7" i="5"/>
  <c r="O7" i="5" s="1"/>
  <c r="B7" i="5"/>
  <c r="M6" i="5"/>
  <c r="L6" i="5"/>
  <c r="K6" i="5"/>
  <c r="J6" i="5"/>
  <c r="I6" i="5"/>
  <c r="H6" i="5"/>
  <c r="G6" i="5"/>
  <c r="F6" i="5"/>
  <c r="E6" i="5"/>
  <c r="D6" i="5"/>
  <c r="O6" i="5" s="1"/>
  <c r="C6" i="5"/>
  <c r="B6" i="5"/>
  <c r="M5" i="5"/>
  <c r="L5" i="5"/>
  <c r="K5" i="5"/>
  <c r="J5" i="5"/>
  <c r="I5" i="5"/>
  <c r="H5" i="5"/>
  <c r="G5" i="5"/>
  <c r="F5" i="5"/>
  <c r="E5" i="5"/>
  <c r="D5" i="5"/>
  <c r="C5" i="5"/>
  <c r="B5" i="5"/>
  <c r="O5" i="5" s="1"/>
  <c r="F78" i="1"/>
  <c r="E78" i="1"/>
  <c r="D78" i="1"/>
  <c r="C78" i="1"/>
  <c r="F77" i="1"/>
  <c r="E77" i="1"/>
  <c r="D77" i="1"/>
  <c r="C77" i="1"/>
  <c r="F76" i="1"/>
  <c r="E76" i="1"/>
  <c r="D76" i="1"/>
  <c r="C76" i="1"/>
  <c r="F75" i="1"/>
  <c r="E75" i="1"/>
  <c r="D75" i="1"/>
  <c r="C75" i="1"/>
  <c r="F74" i="1"/>
  <c r="E74" i="1"/>
  <c r="D74" i="1"/>
  <c r="C74" i="1"/>
  <c r="F73" i="1"/>
  <c r="E73" i="1"/>
  <c r="D73" i="1"/>
  <c r="C73" i="1"/>
  <c r="F72" i="1"/>
  <c r="E72" i="1"/>
  <c r="D72" i="1"/>
  <c r="C72" i="1"/>
  <c r="F71" i="1"/>
  <c r="E71" i="1"/>
  <c r="D71" i="1"/>
  <c r="C71" i="1"/>
  <c r="F70" i="1"/>
  <c r="E70" i="1"/>
  <c r="D70" i="1"/>
  <c r="C70" i="1"/>
  <c r="F69" i="1"/>
  <c r="E69" i="1"/>
  <c r="D69" i="1"/>
  <c r="C69" i="1"/>
  <c r="F68" i="1"/>
  <c r="E68" i="1"/>
  <c r="D68" i="1"/>
  <c r="C68" i="1"/>
  <c r="F67" i="1"/>
  <c r="E67" i="1"/>
  <c r="D67" i="1"/>
  <c r="C67" i="1"/>
  <c r="L61" i="1"/>
  <c r="K61" i="1"/>
  <c r="G61" i="1"/>
  <c r="I61" i="1" s="1"/>
  <c r="D61" i="1"/>
  <c r="H61" i="1" s="1"/>
  <c r="C61" i="1"/>
  <c r="E61" i="1" s="1"/>
  <c r="L60" i="1"/>
  <c r="K60" i="1"/>
  <c r="G60" i="1"/>
  <c r="D60" i="1"/>
  <c r="H60" i="1" s="1"/>
  <c r="C60" i="1"/>
  <c r="E60" i="1" s="1"/>
  <c r="L59" i="1"/>
  <c r="K59" i="1"/>
  <c r="G59" i="1"/>
  <c r="I59" i="1" s="1"/>
  <c r="D59" i="1"/>
  <c r="H59" i="1" s="1"/>
  <c r="C59" i="1"/>
  <c r="E59" i="1" s="1"/>
  <c r="L58" i="1"/>
  <c r="K58" i="1"/>
  <c r="G58" i="1"/>
  <c r="D58" i="1"/>
  <c r="H58" i="1" s="1"/>
  <c r="C58" i="1"/>
  <c r="E58" i="1" s="1"/>
  <c r="L53" i="1"/>
  <c r="K53" i="1"/>
  <c r="G53" i="1"/>
  <c r="D53" i="1"/>
  <c r="H53" i="1" s="1"/>
  <c r="C53" i="1"/>
  <c r="E53" i="1" s="1"/>
  <c r="L52" i="1"/>
  <c r="K52" i="1"/>
  <c r="G52" i="1"/>
  <c r="D52" i="1"/>
  <c r="H52" i="1" s="1"/>
  <c r="C52" i="1"/>
  <c r="E52" i="1" s="1"/>
  <c r="L51" i="1"/>
  <c r="K51" i="1"/>
  <c r="G51" i="1"/>
  <c r="I51" i="1" s="1"/>
  <c r="D51" i="1"/>
  <c r="H51" i="1" s="1"/>
  <c r="C51" i="1"/>
  <c r="E51" i="1" s="1"/>
  <c r="L50" i="1"/>
  <c r="K50" i="1"/>
  <c r="G50" i="1"/>
  <c r="D50" i="1"/>
  <c r="H50" i="1" s="1"/>
  <c r="C50" i="1"/>
  <c r="E50" i="1" s="1"/>
  <c r="L45" i="1"/>
  <c r="K45" i="1"/>
  <c r="G45" i="1"/>
  <c r="I45" i="1" s="1"/>
  <c r="D45" i="1"/>
  <c r="H45" i="1" s="1"/>
  <c r="C45" i="1"/>
  <c r="E45" i="1" s="1"/>
  <c r="L44" i="1"/>
  <c r="K44" i="1"/>
  <c r="G44" i="1"/>
  <c r="D44" i="1"/>
  <c r="H44" i="1" s="1"/>
  <c r="C44" i="1"/>
  <c r="E44" i="1" s="1"/>
  <c r="L43" i="1"/>
  <c r="K43" i="1"/>
  <c r="G43" i="1"/>
  <c r="I43" i="1" s="1"/>
  <c r="D43" i="1"/>
  <c r="H43" i="1" s="1"/>
  <c r="C43" i="1"/>
  <c r="E43" i="1" s="1"/>
  <c r="L42" i="1"/>
  <c r="K42" i="1"/>
  <c r="G42" i="1"/>
  <c r="D42" i="1"/>
  <c r="H42" i="1" s="1"/>
  <c r="C42" i="1"/>
  <c r="E42" i="1" s="1"/>
  <c r="L37" i="1"/>
  <c r="K37" i="1"/>
  <c r="G37" i="1"/>
  <c r="I37" i="1" s="1"/>
  <c r="D37" i="1"/>
  <c r="H37" i="1" s="1"/>
  <c r="C37" i="1"/>
  <c r="E37" i="1" s="1"/>
  <c r="L36" i="1"/>
  <c r="K36" i="1"/>
  <c r="G36" i="1"/>
  <c r="D36" i="1"/>
  <c r="H36" i="1" s="1"/>
  <c r="C36" i="1"/>
  <c r="E36" i="1" s="1"/>
  <c r="L35" i="1"/>
  <c r="K35" i="1"/>
  <c r="G35" i="1"/>
  <c r="I35" i="1" s="1"/>
  <c r="D35" i="1"/>
  <c r="H35" i="1" s="1"/>
  <c r="C35" i="1"/>
  <c r="E35" i="1" s="1"/>
  <c r="L34" i="1"/>
  <c r="K34" i="1"/>
  <c r="G34" i="1"/>
  <c r="D34" i="1"/>
  <c r="H34" i="1" s="1"/>
  <c r="C34" i="1"/>
  <c r="E34" i="1" s="1"/>
  <c r="L33" i="1"/>
  <c r="K33" i="1"/>
  <c r="G33" i="1"/>
  <c r="I33" i="1" s="1"/>
  <c r="D33" i="1"/>
  <c r="H33" i="1" s="1"/>
  <c r="C33" i="1"/>
  <c r="E33" i="1" s="1"/>
  <c r="L28" i="1"/>
  <c r="K28" i="1"/>
  <c r="G28" i="1"/>
  <c r="D28" i="1"/>
  <c r="H28" i="1" s="1"/>
  <c r="C28" i="1"/>
  <c r="E28" i="1" s="1"/>
  <c r="I42" i="8" s="1"/>
  <c r="L27" i="1"/>
  <c r="K27" i="1"/>
  <c r="G27" i="1"/>
  <c r="I27" i="1" s="1"/>
  <c r="D27" i="1"/>
  <c r="H27" i="1" s="1"/>
  <c r="C27" i="1"/>
  <c r="E27" i="1" s="1"/>
  <c r="I41" i="8" s="1"/>
  <c r="L26" i="1"/>
  <c r="K26" i="1"/>
  <c r="G26" i="1"/>
  <c r="D26" i="1"/>
  <c r="H26" i="1" s="1"/>
  <c r="C26" i="1"/>
  <c r="E26" i="1" s="1"/>
  <c r="I40" i="8" s="1"/>
  <c r="L25" i="1"/>
  <c r="K25" i="1"/>
  <c r="G25" i="1"/>
  <c r="I25" i="1" s="1"/>
  <c r="D25" i="1"/>
  <c r="H25" i="1" s="1"/>
  <c r="C25" i="1"/>
  <c r="E25" i="1" s="1"/>
  <c r="I39" i="8" s="1"/>
  <c r="L24" i="1"/>
  <c r="K24" i="1"/>
  <c r="G24" i="1"/>
  <c r="D24" i="1"/>
  <c r="H24" i="1" s="1"/>
  <c r="C24" i="1"/>
  <c r="E24" i="1" s="1"/>
  <c r="I38" i="8" s="1"/>
  <c r="L23" i="1"/>
  <c r="K23" i="1"/>
  <c r="G23" i="1"/>
  <c r="I23" i="1" s="1"/>
  <c r="D23" i="1"/>
  <c r="H23" i="1" s="1"/>
  <c r="C23" i="1"/>
  <c r="E23" i="1" s="1"/>
  <c r="I37" i="8" s="1"/>
  <c r="L22" i="1"/>
  <c r="K22" i="1"/>
  <c r="G22" i="1"/>
  <c r="D22" i="1"/>
  <c r="H22" i="1" s="1"/>
  <c r="C22" i="1"/>
  <c r="E22" i="1" s="1"/>
  <c r="I36" i="8" s="1"/>
  <c r="L21" i="1"/>
  <c r="K21" i="1"/>
  <c r="G21" i="1"/>
  <c r="I21" i="1" s="1"/>
  <c r="D21" i="1"/>
  <c r="H21" i="1" s="1"/>
  <c r="C21" i="1"/>
  <c r="E21" i="1" s="1"/>
  <c r="I35" i="8" s="1"/>
  <c r="L20" i="1"/>
  <c r="K20" i="1"/>
  <c r="G20" i="1"/>
  <c r="D20" i="1"/>
  <c r="H20" i="1" s="1"/>
  <c r="C20" i="1"/>
  <c r="E20" i="1" s="1"/>
  <c r="I34" i="8" s="1"/>
  <c r="L19" i="1"/>
  <c r="K19" i="1"/>
  <c r="G19" i="1"/>
  <c r="I19" i="1" s="1"/>
  <c r="D19" i="1"/>
  <c r="H19" i="1" s="1"/>
  <c r="C19" i="1"/>
  <c r="E19" i="1" s="1"/>
  <c r="I33" i="8" s="1"/>
  <c r="L8" i="1"/>
  <c r="J8" i="1"/>
  <c r="F8" i="1"/>
  <c r="I26" i="1" l="1"/>
  <c r="I42" i="1"/>
  <c r="I58" i="1"/>
  <c r="I20" i="1"/>
  <c r="I28" i="1"/>
  <c r="I44" i="1"/>
  <c r="I60" i="1"/>
  <c r="I53" i="1"/>
  <c r="I22" i="1"/>
  <c r="I34" i="1"/>
  <c r="I50" i="1"/>
  <c r="I24" i="1"/>
  <c r="I36" i="1"/>
  <c r="I52" i="1"/>
</calcChain>
</file>

<file path=xl/sharedStrings.xml><?xml version="1.0" encoding="utf-8"?>
<sst xmlns="http://schemas.openxmlformats.org/spreadsheetml/2006/main" count="719" uniqueCount="359">
  <si>
    <t>AMP Quality Energy Services</t>
  </si>
  <si>
    <t>Executive Dashboard</t>
  </si>
  <si>
    <t>Current Period: December 2024</t>
  </si>
  <si>
    <t>Generated: December 05, 2025 14:42</t>
  </si>
  <si>
    <t>Revenue</t>
  </si>
  <si>
    <t>Net Income</t>
  </si>
  <si>
    <t>Gross Margin</t>
  </si>
  <si>
    <t>Cash Balance</t>
  </si>
  <si>
    <t>Current Ratio</t>
  </si>
  <si>
    <t>AR Days</t>
  </si>
  <si>
    <t>SUMIF('Source_PL'!$A:$A,"Total for Income",'Source_PL'!M:M)</t>
  </si>
  <si>
    <t>SUMIF('Source_PL'!$A:$A,"Net Income",'Source_PL'!M:M)</t>
  </si>
  <si>
    <t>SUMIF('Source_BS'!$A:$A,"Total for Bank Accounts",'Source_BS'!M:M)</t>
  </si>
  <si>
    <t>Current Month</t>
  </si>
  <si>
    <t>YTD Avg</t>
  </si>
  <si>
    <t>PROFITABILITY METRICS</t>
  </si>
  <si>
    <t>KPI</t>
  </si>
  <si>
    <t>Target</t>
  </si>
  <si>
    <t>Status</t>
  </si>
  <si>
    <t>YTD</t>
  </si>
  <si>
    <t>YTD Target</t>
  </si>
  <si>
    <t>YTD Status</t>
  </si>
  <si>
    <t>All-Time</t>
  </si>
  <si>
    <t>Trend</t>
  </si>
  <si>
    <t>Notes</t>
  </si>
  <si>
    <t>Gross Profit</t>
  </si>
  <si>
    <t>Gross Margin %</t>
  </si>
  <si>
    <t>Net Margin %</t>
  </si>
  <si>
    <t>EBITDA</t>
  </si>
  <si>
    <t>EBITDA Margin %</t>
  </si>
  <si>
    <t>Operating Income</t>
  </si>
  <si>
    <t>Operating Margin %</t>
  </si>
  <si>
    <t>Revenue Growth %</t>
  </si>
  <si>
    <t>LIQUIDITY METRICS</t>
  </si>
  <si>
    <t>Quick Ratio</t>
  </si>
  <si>
    <t>Cash Ratio</t>
  </si>
  <si>
    <t>Working Capital</t>
  </si>
  <si>
    <t>EFFICIENCY METRICS</t>
  </si>
  <si>
    <t>AR Days (DSO)</t>
  </si>
  <si>
    <t>AP Days (DPO)</t>
  </si>
  <si>
    <t>Asset Turnover</t>
  </si>
  <si>
    <t>Cash Conversion Cycle</t>
  </si>
  <si>
    <t>LEVERAGE METRICS</t>
  </si>
  <si>
    <t>Debt-to-Equity</t>
  </si>
  <si>
    <t>Debt-to-Assets</t>
  </si>
  <si>
    <t>Equity Ratio</t>
  </si>
  <si>
    <t>Interest Coverage</t>
  </si>
  <si>
    <t>CASH FLOW METRICS</t>
  </si>
  <si>
    <t>Operating Cash Flow</t>
  </si>
  <si>
    <t>Free Cash Flow</t>
  </si>
  <si>
    <t>Cash Burn Rate</t>
  </si>
  <si>
    <t>Cash Runway (Months)</t>
  </si>
  <si>
    <t>TREND ANALYSIS</t>
  </si>
  <si>
    <t>Month</t>
  </si>
  <si>
    <t>Cash</t>
  </si>
  <si>
    <t>Jan 2024</t>
  </si>
  <si>
    <t>Feb 2024</t>
  </si>
  <si>
    <t>Mar 2024</t>
  </si>
  <si>
    <t>Apr 2024</t>
  </si>
  <si>
    <t>May 2024</t>
  </si>
  <si>
    <t>Jun 2024</t>
  </si>
  <si>
    <t>Jul 2024</t>
  </si>
  <si>
    <t>Aug 2024</t>
  </si>
  <si>
    <t>Sep 2024</t>
  </si>
  <si>
    <t>Oct 2024</t>
  </si>
  <si>
    <t>Nov 2024</t>
  </si>
  <si>
    <t>Dec 2024</t>
  </si>
  <si>
    <t>DNA Financial Model</t>
  </si>
  <si>
    <t>Current Month:</t>
  </si>
  <si>
    <t>MACROS (Press Alt+F8)</t>
  </si>
  <si>
    <t>UploadPLFile - Import new P&amp;L</t>
  </si>
  <si>
    <t>UploadBSFile - Import new Balance Sheet</t>
  </si>
  <si>
    <t>RefreshAll - Recalculate formulas</t>
  </si>
  <si>
    <t>Account</t>
  </si>
  <si>
    <t>Income</t>
  </si>
  <si>
    <t>4000 Service Revenue</t>
  </si>
  <si>
    <t>4001 Quoted Revenue</t>
  </si>
  <si>
    <t>4002 T&amp;M Revenue</t>
  </si>
  <si>
    <t>4003 Rental Revenue</t>
  </si>
  <si>
    <t>4004 Late Fee Income</t>
  </si>
  <si>
    <t>4005 Discounts given</t>
  </si>
  <si>
    <t>4006 Sales Income</t>
  </si>
  <si>
    <t>4007 Training Classes Revenue</t>
  </si>
  <si>
    <t>Total for 4000 Service Revenue</t>
  </si>
  <si>
    <t>4050 Dividend Income</t>
  </si>
  <si>
    <t>4990 Unapplied Cash Payment Income</t>
  </si>
  <si>
    <t>Total for Income</t>
  </si>
  <si>
    <t>Cost of Sales</t>
  </si>
  <si>
    <t>5000 Cost of Goods Sold</t>
  </si>
  <si>
    <t>5001 Direct Costs - Job Materials</t>
  </si>
  <si>
    <t>5002 Direct Cost- Fuel</t>
  </si>
  <si>
    <t>5003 Direct Cost- Meals</t>
  </si>
  <si>
    <t>5004 Direct Cost- Travel &amp; Lodging</t>
  </si>
  <si>
    <t>5005 Direct Cost- Postage &amp; Delivery</t>
  </si>
  <si>
    <t>5006 Direct Cost- Wages</t>
  </si>
  <si>
    <t>5007 Direct Costs - Rental Equipment</t>
  </si>
  <si>
    <t>5008 Direct Costs - Contract Labor</t>
  </si>
  <si>
    <t>5009 Direct Cost - Third Party Testing</t>
  </si>
  <si>
    <t>5050 Direct Costs - Insurance</t>
  </si>
  <si>
    <t>Total for 5000 Cost of Goods Sold</t>
  </si>
  <si>
    <t>Total for Cost of Sales</t>
  </si>
  <si>
    <t>Expenses</t>
  </si>
  <si>
    <t>6000 Payroll Expenses</t>
  </si>
  <si>
    <t>6001 Wages</t>
  </si>
  <si>
    <t>6003 Taxes</t>
  </si>
  <si>
    <t>6005 Payroll Reimbursement from Calibration</t>
  </si>
  <si>
    <t>Total for 6000 Payroll Expenses</t>
  </si>
  <si>
    <t>6020 Automobile Expense</t>
  </si>
  <si>
    <t>6040 Bank Service Charges</t>
  </si>
  <si>
    <t>6041 Credit Card Processing Fees</t>
  </si>
  <si>
    <t>6050 Charitable Donations</t>
  </si>
  <si>
    <t>6051 Quarterly Charitable Giving</t>
  </si>
  <si>
    <t>6052 Quarterly Employee Giving</t>
  </si>
  <si>
    <t>6060 Advertising and Promotion</t>
  </si>
  <si>
    <t>6061 Gift Non-Employee</t>
  </si>
  <si>
    <t>6062 Gifts - Employee</t>
  </si>
  <si>
    <t>6065 Computer &amp; Internet Expense</t>
  </si>
  <si>
    <t>6090 Depreciation Expense</t>
  </si>
  <si>
    <t>6100 Dues &amp; Subscriptions</t>
  </si>
  <si>
    <t>6130 Fuel</t>
  </si>
  <si>
    <t>6140 Insurance - General Liability</t>
  </si>
  <si>
    <t>6155 Health and Wellness</t>
  </si>
  <si>
    <t>6160 Insurance - Auto</t>
  </si>
  <si>
    <t>6170 Benefit Expenses</t>
  </si>
  <si>
    <t>6171 Basic Life Insurance</t>
  </si>
  <si>
    <t>6172 Long-Term Disability</t>
  </si>
  <si>
    <t>6173 Health Insurance- EE Only</t>
  </si>
  <si>
    <t>6174 Health Insurance- EE+DEP (AMP Cost)</t>
  </si>
  <si>
    <t>6175 BCBS Adjustments</t>
  </si>
  <si>
    <t>6176 Principal Adjustments</t>
  </si>
  <si>
    <t>6177 GAP Insurance</t>
  </si>
  <si>
    <t>Total for 6170 Benefit Expenses</t>
  </si>
  <si>
    <t>6179 Insurance - Workers' Comp</t>
  </si>
  <si>
    <t>6180 Insurance - Officer's Life</t>
  </si>
  <si>
    <t>6190 Insurance - Umbrella</t>
  </si>
  <si>
    <t>6260 Licenses, Permits &amp; Taxes</t>
  </si>
  <si>
    <t>6270 Meals &amp; Entertainment 50%</t>
  </si>
  <si>
    <t>6275 Meals &amp; Entertainment 100%</t>
  </si>
  <si>
    <t>6280 Miscellaneous</t>
  </si>
  <si>
    <t>6300 Office Supplies</t>
  </si>
  <si>
    <t>6340 Postage &amp; Delivery</t>
  </si>
  <si>
    <t>6370 Professional Fees</t>
  </si>
  <si>
    <t>6380 Training and Education</t>
  </si>
  <si>
    <t>6385 Recruiting Expenses</t>
  </si>
  <si>
    <t>6390 Per Diem</t>
  </si>
  <si>
    <t>6400 Rent - Building</t>
  </si>
  <si>
    <t>6410 Rent - Equipment</t>
  </si>
  <si>
    <t>6420 Repairs &amp; Maint.- Equipment</t>
  </si>
  <si>
    <t>6423 Repairs &amp; Maint. - Office</t>
  </si>
  <si>
    <t>6460 Salaries &amp; Wages</t>
  </si>
  <si>
    <t>6475 Shop Supplies</t>
  </si>
  <si>
    <t>6490 Small Tools Expense</t>
  </si>
  <si>
    <t>6520 Safety Expense</t>
  </si>
  <si>
    <t>6550 Software Renewal</t>
  </si>
  <si>
    <t>6580 Taxes - Other</t>
  </si>
  <si>
    <t>6585 Penalties</t>
  </si>
  <si>
    <t>6660 Telephone Expense</t>
  </si>
  <si>
    <t>6665 Third-Party Testing</t>
  </si>
  <si>
    <t>6670 Travel &amp; Lodging</t>
  </si>
  <si>
    <t>6680 Uniforms Expense</t>
  </si>
  <si>
    <t>6690 Utilities</t>
  </si>
  <si>
    <t>7050 Bad Debt Expense</t>
  </si>
  <si>
    <t>7998 Unapplied Cash Bill Payment Expense</t>
  </si>
  <si>
    <t>8000 Interest Expense</t>
  </si>
  <si>
    <t>Total for Expenses</t>
  </si>
  <si>
    <t>Net Operating Income</t>
  </si>
  <si>
    <t>Other Income</t>
  </si>
  <si>
    <t>7000 Other Income</t>
  </si>
  <si>
    <t>Total for Other Income</t>
  </si>
  <si>
    <t>Other Expenses</t>
  </si>
  <si>
    <t>8500 Loss(Gain) on Asset Disposal</t>
  </si>
  <si>
    <t>Total for Other Expenses</t>
  </si>
  <si>
    <t>Net Other Income</t>
  </si>
  <si>
    <t>Assets</t>
  </si>
  <si>
    <t>Current Assets</t>
  </si>
  <si>
    <t>Bank Accounts</t>
  </si>
  <si>
    <t>1000 UCBI Operating (2844)</t>
  </si>
  <si>
    <t>1010 UCBI Payroll (2851)</t>
  </si>
  <si>
    <t>1014 UCBI Holding (1738)</t>
  </si>
  <si>
    <t>1019 UCBI Freedom (0011) (deleted)</t>
  </si>
  <si>
    <t>1030 UCBI Prombo (1746)</t>
  </si>
  <si>
    <t>1051 Investments</t>
  </si>
  <si>
    <t>1099 zClearing (should be $0)</t>
  </si>
  <si>
    <t>Total for Bank Accounts</t>
  </si>
  <si>
    <t>Accounts Receivable</t>
  </si>
  <si>
    <t>1100 Accounts Receivable</t>
  </si>
  <si>
    <t>Total for Accounts Receivable</t>
  </si>
  <si>
    <t>Other Current Assets</t>
  </si>
  <si>
    <t>1101 Undeposited Funds</t>
  </si>
  <si>
    <t>1150 Due From Calibration</t>
  </si>
  <si>
    <t>1155 Due from Armadillo</t>
  </si>
  <si>
    <t>1250 Employee Advances</t>
  </si>
  <si>
    <t>1255 Employee Repayment</t>
  </si>
  <si>
    <t>Total for Other Current Assets</t>
  </si>
  <si>
    <t>Total for Current Assets</t>
  </si>
  <si>
    <t>Fixed Assets</t>
  </si>
  <si>
    <t>1500 Company Assets</t>
  </si>
  <si>
    <t>1510 Machinery &amp; Equipment</t>
  </si>
  <si>
    <t>1530 Furniture and Small Equipment</t>
  </si>
  <si>
    <t>1600 Buildings</t>
  </si>
  <si>
    <t>1601 AMP New Building #1</t>
  </si>
  <si>
    <t>1602 AMP New Building #2</t>
  </si>
  <si>
    <t>1603 Building Renovations</t>
  </si>
  <si>
    <t>Total for 1600 Buildings</t>
  </si>
  <si>
    <t>1700 Computers &amp; Software</t>
  </si>
  <si>
    <t>1800 Automobiles &amp; Trucks</t>
  </si>
  <si>
    <t>1805 Truck 26 - 2018 Ford F150</t>
  </si>
  <si>
    <t>1801 Truck 22 - 2022 Ford Bronco</t>
  </si>
  <si>
    <t>Total for 1800 Automobiles &amp; Trucks</t>
  </si>
  <si>
    <t>1899 Accumulated Depreciation</t>
  </si>
  <si>
    <t>Total for 1500 Company Assets</t>
  </si>
  <si>
    <t>Total for Fixed Assets</t>
  </si>
  <si>
    <t>Other Assets</t>
  </si>
  <si>
    <t>1925 Atlis Motors Inc</t>
  </si>
  <si>
    <t>1950 Trademarks</t>
  </si>
  <si>
    <t>Total for Other Assets</t>
  </si>
  <si>
    <t>Total for Assets</t>
  </si>
  <si>
    <t>Liabilities and Equity</t>
  </si>
  <si>
    <t>Liabilities</t>
  </si>
  <si>
    <t>Current Liabilities</t>
  </si>
  <si>
    <t>Accounts Payable</t>
  </si>
  <si>
    <t>Credit Cards</t>
  </si>
  <si>
    <t>2100 Pcard Billing (1784)</t>
  </si>
  <si>
    <t>2105 CC Billing (1707)</t>
  </si>
  <si>
    <t>2110 Brian Rodgers AMEX Bonvoy</t>
  </si>
  <si>
    <t>2111 Brian Rodgers AMEX Green</t>
  </si>
  <si>
    <t>2112 Brian Rodgers Amex (1000) Delta</t>
  </si>
  <si>
    <t>2130 B.Rodgers (7408) Chase Ink Intl Group</t>
  </si>
  <si>
    <t>2131 M.Prombo (7416) Chase Ink Intl</t>
  </si>
  <si>
    <t>2132 L.Wright (2564) Chase</t>
  </si>
  <si>
    <t>2133 R.Bennett (4397) Chase</t>
  </si>
  <si>
    <t>2134 B Rodgers (8621) Chase</t>
  </si>
  <si>
    <t>2140 Brian (7718) Citi Diamond Preferred</t>
  </si>
  <si>
    <t>2150 Brian Discover IT Card</t>
  </si>
  <si>
    <t>Total for Credit Cards</t>
  </si>
  <si>
    <t>Other Current Liabilities</t>
  </si>
  <si>
    <t>2250 LOC - United Community Bank (4344)</t>
  </si>
  <si>
    <t>2300A Payroll Tax Liabilities OLD (deleted)</t>
  </si>
  <si>
    <t>2300 Payroll Tax Liabilities</t>
  </si>
  <si>
    <t>2301 941</t>
  </si>
  <si>
    <t>2302 940</t>
  </si>
  <si>
    <t>2303 AL Withholding</t>
  </si>
  <si>
    <t>2304 AL Unemployment Tax</t>
  </si>
  <si>
    <t>2310 GA Income Tax</t>
  </si>
  <si>
    <t>2311 GA Unemployment Tax</t>
  </si>
  <si>
    <t>2312 MD Income Tax</t>
  </si>
  <si>
    <t>2313 MD Unemployment Tax</t>
  </si>
  <si>
    <t>2314 TN Unemployment Taxes</t>
  </si>
  <si>
    <t>Total for 2300 Payroll Tax Liabilities</t>
  </si>
  <si>
    <t>2350 Benefits Payable</t>
  </si>
  <si>
    <t>2351 Dental Insurance</t>
  </si>
  <si>
    <t>2352 Vision Insurance</t>
  </si>
  <si>
    <t>2353 Short-Term Disability</t>
  </si>
  <si>
    <t>2354 Voluntary Life Insurance</t>
  </si>
  <si>
    <t>2355 Critical Illness/Accident/Hospital Indemnity</t>
  </si>
  <si>
    <t>2356 Health Insurance- EE+DEP</t>
  </si>
  <si>
    <t>2360 Simple IRA (B Rodgers)</t>
  </si>
  <si>
    <t>Total for 2350 Benefits Payable</t>
  </si>
  <si>
    <t>2530 City of Decatur Payable</t>
  </si>
  <si>
    <t>2536 Sales Tax Agency Payable</t>
  </si>
  <si>
    <t>2560 Tennessee Department of Revenue Payable</t>
  </si>
  <si>
    <t>2570 Note-Byline Financial Group (201036) $2,203.24 120 Generator (deleted)</t>
  </si>
  <si>
    <t>Direct Deposit Payable</t>
  </si>
  <si>
    <t>Total for Other Current Liabilities</t>
  </si>
  <si>
    <t>Total for Current Liabilities</t>
  </si>
  <si>
    <t>Long-term Liabilities</t>
  </si>
  <si>
    <t>2600 Loans from Shareholders</t>
  </si>
  <si>
    <t>2910 Note - Kubota Tractor $388.44</t>
  </si>
  <si>
    <t>2921 Note - UCB (0000) $673.75 Truck 13 (deleted)</t>
  </si>
  <si>
    <t>2922 Note - UCB (0200) $939.25 Truck 14 (deleted)</t>
  </si>
  <si>
    <t>2923 Note - UCB (1700) $795.19 Truck 15 (deleted)</t>
  </si>
  <si>
    <t>2924 Note - UCB (1900) $1373.19 Truck 17</t>
  </si>
  <si>
    <t>2925 Note - UCB (2100) $1206.15 Truck 19</t>
  </si>
  <si>
    <t>2926 Note - UCB (6800) $1580.19 Truck 20</t>
  </si>
  <si>
    <t>2927 Note - UCB (1000) $1783.08 Truck 21</t>
  </si>
  <si>
    <t>2928 Note - UCB (1772) $1296.19 Truck 22</t>
  </si>
  <si>
    <t>2929 Note - Chase (5918) $721.37 Truck 23</t>
  </si>
  <si>
    <t>2931 Note - Bank Ind 1016.34 TRUCK 26</t>
  </si>
  <si>
    <t>2932 Note - Santander (4970) $2140.42 Truck 27</t>
  </si>
  <si>
    <t>2942 Note - UCB (4343) SPI-4000</t>
  </si>
  <si>
    <t>2943 Note - Kubota Credit (4957) $2225.02 Skid Loader</t>
  </si>
  <si>
    <t>2900 EIDL SBA Loan (8201)</t>
  </si>
  <si>
    <t>Total for Long-term Liabilities</t>
  </si>
  <si>
    <t>Total for Liabilities</t>
  </si>
  <si>
    <t>Equity</t>
  </si>
  <si>
    <t>3200 Shareholder Calibration</t>
  </si>
  <si>
    <t>3300 Shareholder Distributions</t>
  </si>
  <si>
    <t>3900 Retained Earnings</t>
  </si>
  <si>
    <t>Total for Equity</t>
  </si>
  <si>
    <t>Total for Liabilities and Equity</t>
  </si>
  <si>
    <t>Profit &amp; Loss Statement</t>
  </si>
  <si>
    <t>Balance Sheet</t>
  </si>
  <si>
    <t>Cash Flow Statement</t>
  </si>
  <si>
    <t>Description</t>
  </si>
  <si>
    <t>OPERATING ACTIVITIES</t>
  </si>
  <si>
    <t>Depreciation</t>
  </si>
  <si>
    <t>Change in Working Capital</t>
  </si>
  <si>
    <t xml:space="preserve">  (Inc)/Dec in Accounts Receivable</t>
  </si>
  <si>
    <t xml:space="preserve">  Inc/(Dec) in Accounts Payable</t>
  </si>
  <si>
    <t>Net Cash from Operations</t>
  </si>
  <si>
    <t>INVESTING ACTIVITIES</t>
  </si>
  <si>
    <t>Capital Expenditures</t>
  </si>
  <si>
    <t>Net Cash from Investing</t>
  </si>
  <si>
    <t>FINANCING ACTIVITIES</t>
  </si>
  <si>
    <t>Debt Changes</t>
  </si>
  <si>
    <t>Distributions</t>
  </si>
  <si>
    <t>Net Cash from Financing</t>
  </si>
  <si>
    <t>NET CHANGE IN CASH</t>
  </si>
  <si>
    <t>Beginning Cash</t>
  </si>
  <si>
    <t>Ending Cash</t>
  </si>
  <si>
    <t>Dashboard Control Panel</t>
  </si>
  <si>
    <t>Configure KPI targets and thresholds</t>
  </si>
  <si>
    <t>INSTRUCTIONS</t>
  </si>
  <si>
    <t>1. Set target values for each KPI in the 'Target' column</t>
  </si>
  <si>
    <t>2. Yellow thresholds trigger caution alerts (% of target)</t>
  </si>
  <si>
    <t>3. Red thresholds trigger warning alerts (% of target)</t>
  </si>
  <si>
    <t>4. KPIs with 'User Defined' targets require your input</t>
  </si>
  <si>
    <t>5. Standard targets are industry benchmarks - adjust as needed</t>
  </si>
  <si>
    <t>KPI TARGETS AND THRESHOLDS</t>
  </si>
  <si>
    <t>Category</t>
  </si>
  <si>
    <t>KPI Name</t>
  </si>
  <si>
    <t>Yellow %</t>
  </si>
  <si>
    <t>Red %</t>
  </si>
  <si>
    <t>Direction</t>
  </si>
  <si>
    <t>Current Value</t>
  </si>
  <si>
    <t>Profitability</t>
  </si>
  <si>
    <t>Total revenue generated</t>
  </si>
  <si>
    <t>Higher</t>
  </si>
  <si>
    <t>Revenue minus cost of goods sold</t>
  </si>
  <si>
    <t>Gross profit as percentage of revenue</t>
  </si>
  <si>
    <t>Bottom line profit after all expenses</t>
  </si>
  <si>
    <t>Net income as percentage of revenue</t>
  </si>
  <si>
    <t>Earnings before interest, taxes, depreciation, amortization</t>
  </si>
  <si>
    <t>EBITDA as percentage of revenue</t>
  </si>
  <si>
    <t>Income from core operations</t>
  </si>
  <si>
    <t>Operating income as percentage of revenue</t>
  </si>
  <si>
    <t>Period-over-period revenue growth rate</t>
  </si>
  <si>
    <t>Liquidity</t>
  </si>
  <si>
    <t>Current assets / current liabilities</t>
  </si>
  <si>
    <t>(Current assets - inventory) / current liabilities</t>
  </si>
  <si>
    <t>Cash / current liabilities</t>
  </si>
  <si>
    <t>Current assets minus current liabilities</t>
  </si>
  <si>
    <t>Total cash and bank accounts</t>
  </si>
  <si>
    <t>Efficiency</t>
  </si>
  <si>
    <t>Average days to collect receivables</t>
  </si>
  <si>
    <t>Lower</t>
  </si>
  <si>
    <t>Average days to pay payables</t>
  </si>
  <si>
    <t>Revenue generated per dollar of assets</t>
  </si>
  <si>
    <t>Days from cash outflow to cash inflow</t>
  </si>
  <si>
    <t>Leverage</t>
  </si>
  <si>
    <t>Total debt relative to equity</t>
  </si>
  <si>
    <t>Percentage of assets financed by debt</t>
  </si>
  <si>
    <t>Percentage of assets financed by equity</t>
  </si>
  <si>
    <t>Operating income / interest expense</t>
  </si>
  <si>
    <t>Cashflow</t>
  </si>
  <si>
    <t>Cash generated from operations</t>
  </si>
  <si>
    <t>Operating cash flow minus capital expenditures</t>
  </si>
  <si>
    <t>Monthly cash consumption rate</t>
  </si>
  <si>
    <t>Months of cash remaining at current burn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</si>
</sst>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&quot;$&quot;#,##0"/>
    <numFmt numFmtId="166" formatCode="0.0"/>
  </numFmts>
  <fonts count="1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24"/>
      <color rgb="FF16213E"/>
      <name val="Calibri Light"/>
    </font>
    <font>
      <sz val="9"/>
      <color rgb="FF666666"/>
      <name val="Calibri Light"/>
    </font>
    <font>
      <b/>
      <sz val="14"/>
      <color rgb="FFFFFFFF"/>
      <name val="Calibri Light"/>
    </font>
    <font>
      <sz val="10"/>
      <name val="Calibri Light"/>
    </font>
    <font>
      <b/>
      <sz val="11"/>
      <color rgb="FFFFFFFF"/>
      <name val="Calibri Light"/>
    </font>
    <font>
      <b/>
      <sz val="10"/>
      <name val="Calibri Light"/>
    </font>
    <font>
      <b/>
      <sz val="14"/>
      <color rgb="FF16213E"/>
      <name val="Calibri Light"/>
    </font>
    <font>
      <b/>
      <sz val="28"/>
      <color rgb="FF16213E"/>
      <name val="Calibri Light"/>
    </font>
    <font>
      <sz val="16"/>
      <color rgb="FF7F8C8D"/>
      <name val="Calibri Light"/>
    </font>
    <font>
      <b/>
      <sz val="10"/>
      <color rgb="FF7F8C8D"/>
      <name val="Calibri Light"/>
    </font>
    <font>
      <b/>
      <sz val="20"/>
      <color rgb="FF16213E"/>
      <name val="Calibri Light"/>
    </font>
    <font>
      <b/>
      <sz val="11"/>
      <color rgb="FF2C3E50"/>
      <name val="Calibri Light"/>
    </font>
    <font>
      <b/>
      <sz val="12"/>
      <name val="Calibri Light"/>
    </font>
    <font>
      <sz val="12"/>
      <name val="Calibri Light"/>
    </font>
  </fonts>
  <fills count="7">
    <fill>
      <patternFill patternType="none"/>
    </fill>
    <fill>
      <patternFill patternType="gray125"/>
    </fill>
    <fill>
      <patternFill patternType="solid">
        <fgColor rgb="FFD3D3D3"/>
        <bgColor indexed="64"/>
      </patternFill>
    </fill>
    <fill>
      <patternFill patternType="solid">
        <fgColor rgb="FF2C3E50"/>
        <bgColor rgb="FF2C3E50"/>
      </patternFill>
    </fill>
    <fill>
      <patternFill patternType="solid">
        <fgColor rgb="FF34495E"/>
        <bgColor rgb="FF34495E"/>
      </patternFill>
    </fill>
    <fill>
      <patternFill patternType="solid">
        <fgColor rgb="FFE8F4FD"/>
        <bgColor rgb="FFE8F4FD"/>
      </patternFill>
    </fill>
    <fill>
      <patternFill patternType="solid">
        <fgColor rgb="FFF8F9FA"/>
        <bgColor rgb="FFF8F9FA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E0E0E0"/>
      </left>
      <right/>
      <top style="thin">
        <color rgb="FFE0E0E0"/>
      </top>
      <bottom/>
      <diagonal/>
    </border>
    <border>
      <left/>
      <right style="thin">
        <color rgb="FFE0E0E0"/>
      </right>
      <top style="thin">
        <color rgb="FFE0E0E0"/>
      </top>
      <bottom/>
      <diagonal/>
    </border>
    <border>
      <left style="thin">
        <color rgb="FFE0E0E0"/>
      </left>
      <right/>
      <top/>
      <bottom/>
      <diagonal/>
    </border>
    <border>
      <left/>
      <right style="thin">
        <color rgb="FFE0E0E0"/>
      </right>
      <top/>
      <bottom/>
      <diagonal/>
    </border>
    <border>
      <left style="thin">
        <color rgb="FFE0E0E0"/>
      </left>
      <right/>
      <top/>
      <bottom style="thin">
        <color rgb="FFE0E0E0"/>
      </bottom>
      <diagonal/>
    </border>
    <border>
      <left/>
      <right style="thin">
        <color rgb="FFE0E0E0"/>
      </right>
      <top/>
      <bottom style="thin">
        <color rgb="FFE0E0E0"/>
      </bottom>
      <diagonal/>
    </border>
  </borders>
  <cellStyleXfs count="1">
    <xf numFmtId="0" fontId="0" fillId="0" borderId="0"/>
  </cellStyleXfs>
  <cellXfs count="80">
    <xf numFmtId="0" fontId="0" fillId="0" borderId="0" xfId="0"/>
    <xf numFmtId="17" fontId="0" fillId="0" borderId="0" xfId="0" applyNumberFormat="1"/>
    <xf numFmtId="0" fontId="2" fillId="0" borderId="0" xfId="0" applyFont="1"/>
    <xf numFmtId="0" fontId="3" fillId="0" borderId="0" xfId="0" applyFont="1"/>
    <xf numFmtId="0" fontId="1" fillId="0" borderId="0" xfId="0" applyFont="1"/>
    <xf numFmtId="17" fontId="1" fillId="0" borderId="0" xfId="0" applyNumberFormat="1" applyFont="1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3" fontId="0" fillId="2" borderId="0" xfId="0" applyNumberFormat="1" applyFill="1"/>
    <xf numFmtId="0" fontId="4" fillId="0" borderId="0" xfId="0" applyFont="1"/>
    <xf numFmtId="0" fontId="6" fillId="0" borderId="0" xfId="0" applyFont="1"/>
    <xf numFmtId="0" fontId="7" fillId="3" borderId="0" xfId="0" applyFont="1" applyFill="1"/>
    <xf numFmtId="0" fontId="0" fillId="3" borderId="0" xfId="0" applyFill="1"/>
    <xf numFmtId="0" fontId="9" fillId="4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3" fontId="11" fillId="0" borderId="0" xfId="0" applyNumberFormat="1" applyFont="1" applyAlignment="1">
      <alignment horizontal="right" vertical="center"/>
    </xf>
    <xf numFmtId="3" fontId="8" fillId="0" borderId="0" xfId="0" applyNumberFormat="1" applyFont="1" applyAlignment="1">
      <alignment horizontal="right" vertical="center"/>
    </xf>
    <xf numFmtId="0" fontId="17" fillId="0" borderId="0" xfId="0" applyFont="1" applyAlignment="1">
      <alignment horizontal="center" vertical="center"/>
    </xf>
    <xf numFmtId="3" fontId="10" fillId="0" borderId="0" xfId="0" applyNumberFormat="1" applyFont="1" applyAlignment="1">
      <alignment horizontal="right" vertical="center"/>
    </xf>
    <xf numFmtId="0" fontId="18" fillId="0" borderId="0" xfId="0" applyFont="1" applyAlignment="1">
      <alignment horizontal="center" vertical="center"/>
    </xf>
    <xf numFmtId="0" fontId="16" fillId="6" borderId="0" xfId="0" applyFont="1" applyFill="1" applyAlignment="1">
      <alignment horizontal="left" vertical="center"/>
    </xf>
    <xf numFmtId="3" fontId="11" fillId="6" borderId="0" xfId="0" applyNumberFormat="1" applyFont="1" applyFill="1" applyAlignment="1">
      <alignment horizontal="right" vertical="center"/>
    </xf>
    <xf numFmtId="3" fontId="8" fillId="6" borderId="0" xfId="0" applyNumberFormat="1" applyFont="1" applyFill="1" applyAlignment="1">
      <alignment horizontal="right" vertical="center"/>
    </xf>
    <xf numFmtId="0" fontId="17" fillId="6" borderId="0" xfId="0" applyFont="1" applyFill="1" applyAlignment="1">
      <alignment horizontal="center" vertical="center"/>
    </xf>
    <xf numFmtId="3" fontId="10" fillId="6" borderId="0" xfId="0" applyNumberFormat="1" applyFont="1" applyFill="1" applyAlignment="1">
      <alignment horizontal="right" vertical="center"/>
    </xf>
    <xf numFmtId="0" fontId="18" fillId="6" borderId="0" xfId="0" applyFont="1" applyFill="1" applyAlignment="1">
      <alignment horizontal="center" vertical="center"/>
    </xf>
    <xf numFmtId="0" fontId="6" fillId="6" borderId="0" xfId="0" applyFont="1" applyFill="1"/>
    <xf numFmtId="164" fontId="11" fillId="0" borderId="0" xfId="0" applyNumberFormat="1" applyFont="1" applyAlignment="1">
      <alignment horizontal="right" vertical="center"/>
    </xf>
    <xf numFmtId="164" fontId="8" fillId="0" borderId="0" xfId="0" applyNumberFormat="1" applyFont="1" applyAlignment="1">
      <alignment horizontal="right" vertical="center"/>
    </xf>
    <xf numFmtId="164" fontId="10" fillId="0" borderId="0" xfId="0" applyNumberFormat="1" applyFont="1" applyAlignment="1">
      <alignment horizontal="right" vertical="center"/>
    </xf>
    <xf numFmtId="164" fontId="11" fillId="6" borderId="0" xfId="0" applyNumberFormat="1" applyFont="1" applyFill="1" applyAlignment="1">
      <alignment horizontal="right" vertical="center"/>
    </xf>
    <xf numFmtId="164" fontId="8" fillId="6" borderId="0" xfId="0" applyNumberFormat="1" applyFont="1" applyFill="1" applyAlignment="1">
      <alignment horizontal="right" vertical="center"/>
    </xf>
    <xf numFmtId="164" fontId="10" fillId="6" borderId="0" xfId="0" applyNumberFormat="1" applyFont="1" applyFill="1" applyAlignment="1">
      <alignment horizontal="right" vertical="center"/>
    </xf>
    <xf numFmtId="2" fontId="11" fillId="0" borderId="0" xfId="0" applyNumberFormat="1" applyFont="1" applyAlignment="1">
      <alignment horizontal="right" vertical="center"/>
    </xf>
    <xf numFmtId="2" fontId="8" fillId="0" borderId="0" xfId="0" applyNumberFormat="1" applyFont="1" applyAlignment="1">
      <alignment horizontal="right" vertical="center"/>
    </xf>
    <xf numFmtId="2" fontId="10" fillId="0" borderId="0" xfId="0" applyNumberFormat="1" applyFont="1" applyAlignment="1">
      <alignment horizontal="right" vertical="center"/>
    </xf>
    <xf numFmtId="2" fontId="11" fillId="6" borderId="0" xfId="0" applyNumberFormat="1" applyFont="1" applyFill="1" applyAlignment="1">
      <alignment horizontal="right" vertical="center"/>
    </xf>
    <xf numFmtId="2" fontId="8" fillId="6" borderId="0" xfId="0" applyNumberFormat="1" applyFont="1" applyFill="1" applyAlignment="1">
      <alignment horizontal="right" vertical="center"/>
    </xf>
    <xf numFmtId="2" fontId="10" fillId="6" borderId="0" xfId="0" applyNumberFormat="1" applyFont="1" applyFill="1" applyAlignment="1">
      <alignment horizontal="right" vertical="center"/>
    </xf>
    <xf numFmtId="1" fontId="11" fillId="6" borderId="0" xfId="0" applyNumberFormat="1" applyFont="1" applyFill="1" applyAlignment="1">
      <alignment horizontal="right" vertical="center"/>
    </xf>
    <xf numFmtId="1" fontId="8" fillId="6" borderId="0" xfId="0" applyNumberFormat="1" applyFont="1" applyFill="1" applyAlignment="1">
      <alignment horizontal="right" vertical="center"/>
    </xf>
    <xf numFmtId="1" fontId="10" fillId="6" borderId="0" xfId="0" applyNumberFormat="1" applyFont="1" applyFill="1" applyAlignment="1">
      <alignment horizontal="right" vertical="center"/>
    </xf>
    <xf numFmtId="1" fontId="11" fillId="0" borderId="0" xfId="0" applyNumberFormat="1" applyFont="1" applyAlignment="1">
      <alignment horizontal="right" vertical="center"/>
    </xf>
    <xf numFmtId="1" fontId="8" fillId="0" borderId="0" xfId="0" applyNumberFormat="1" applyFont="1" applyAlignment="1">
      <alignment horizontal="right" vertical="center"/>
    </xf>
    <xf numFmtId="1" fontId="10" fillId="0" borderId="0" xfId="0" applyNumberFormat="1" applyFont="1" applyAlignment="1">
      <alignment horizontal="right" vertical="center"/>
    </xf>
    <xf numFmtId="166" fontId="11" fillId="0" borderId="0" xfId="0" applyNumberFormat="1" applyFont="1" applyAlignment="1">
      <alignment horizontal="right" vertical="center"/>
    </xf>
    <xf numFmtId="166" fontId="8" fillId="0" borderId="0" xfId="0" applyNumberFormat="1" applyFont="1" applyAlignment="1">
      <alignment horizontal="right" vertical="center"/>
    </xf>
    <xf numFmtId="166" fontId="10" fillId="0" borderId="0" xfId="0" applyNumberFormat="1" applyFont="1" applyAlignment="1">
      <alignment horizontal="right" vertical="center"/>
    </xf>
    <xf numFmtId="0" fontId="9" fillId="4" borderId="0" xfId="0" applyFont="1" applyFill="1" applyAlignment="1">
      <alignment horizontal="center" vertical="center"/>
    </xf>
    <xf numFmtId="0" fontId="8" fillId="0" borderId="0" xfId="0" applyFont="1"/>
    <xf numFmtId="164" fontId="0" fillId="0" borderId="0" xfId="0" applyNumberFormat="1"/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6" fillId="0" borderId="0" xfId="0" applyFont="1" applyAlignment="1">
      <alignment horizontal="left" vertical="top" wrapText="1"/>
    </xf>
    <xf numFmtId="3" fontId="8" fillId="5" borderId="1" xfId="0" applyNumberFormat="1" applyFont="1" applyFill="1" applyBorder="1" applyAlignment="1">
      <alignment horizontal="right" vertical="center"/>
    </xf>
    <xf numFmtId="9" fontId="8" fillId="5" borderId="1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1" fillId="0" borderId="0" xfId="0" applyFont="1" applyAlignment="1">
      <alignment horizontal="right" vertical="center"/>
    </xf>
    <xf numFmtId="0" fontId="8" fillId="6" borderId="0" xfId="0" applyFont="1" applyFill="1" applyAlignment="1">
      <alignment horizontal="left" vertical="center"/>
    </xf>
    <xf numFmtId="0" fontId="10" fillId="6" borderId="0" xfId="0" applyFont="1" applyFill="1" applyAlignment="1">
      <alignment horizontal="left" vertical="center"/>
    </xf>
    <xf numFmtId="0" fontId="6" fillId="6" borderId="0" xfId="0" applyFont="1" applyFill="1" applyAlignment="1">
      <alignment horizontal="left" vertical="top" wrapText="1"/>
    </xf>
    <xf numFmtId="0" fontId="8" fillId="6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right" vertical="center"/>
    </xf>
    <xf numFmtId="164" fontId="8" fillId="5" borderId="1" xfId="0" applyNumberFormat="1" applyFont="1" applyFill="1" applyBorder="1" applyAlignment="1">
      <alignment horizontal="right" vertical="center"/>
    </xf>
    <xf numFmtId="2" fontId="8" fillId="5" borderId="1" xfId="0" applyNumberFormat="1" applyFont="1" applyFill="1" applyBorder="1" applyAlignment="1">
      <alignment horizontal="right" vertical="center"/>
    </xf>
    <xf numFmtId="0" fontId="14" fillId="0" borderId="2" xfId="0" applyFont="1" applyBorder="1" applyAlignment="1">
      <alignment horizontal="center" vertical="center"/>
    </xf>
    <xf numFmtId="0" fontId="0" fillId="0" borderId="3" xfId="0" applyBorder="1"/>
    <xf numFmtId="0" fontId="13" fillId="0" borderId="0" xfId="0" applyFont="1"/>
    <xf numFmtId="0" fontId="0" fillId="0" borderId="0" xfId="0"/>
    <xf numFmtId="0" fontId="6" fillId="0" borderId="6" xfId="0" applyFont="1" applyBorder="1" applyAlignment="1">
      <alignment horizontal="center" vertical="center"/>
    </xf>
    <xf numFmtId="0" fontId="0" fillId="0" borderId="7" xfId="0" applyBorder="1"/>
    <xf numFmtId="0" fontId="12" fillId="0" borderId="0" xfId="0" applyFont="1"/>
    <xf numFmtId="1" fontId="15" fillId="0" borderId="4" xfId="0" applyNumberFormat="1" applyFont="1" applyBorder="1" applyAlignment="1">
      <alignment horizontal="center" vertical="center"/>
    </xf>
    <xf numFmtId="0" fontId="0" fillId="0" borderId="5" xfId="0" applyBorder="1"/>
    <xf numFmtId="165" fontId="15" fillId="0" borderId="4" xfId="0" applyNumberFormat="1" applyFont="1" applyBorder="1" applyAlignment="1">
      <alignment horizontal="center" vertical="center"/>
    </xf>
    <xf numFmtId="164" fontId="15" fillId="0" borderId="4" xfId="0" applyNumberFormat="1" applyFont="1" applyBorder="1" applyAlignment="1">
      <alignment horizontal="center" vertical="center"/>
    </xf>
    <xf numFmtId="2" fontId="15" fillId="0" borderId="4" xfId="0" applyNumberFormat="1" applyFont="1" applyBorder="1" applyAlignment="1">
      <alignment horizontal="center" vertical="center"/>
    </xf>
    <xf numFmtId="0" fontId="5" fillId="0" borderId="0" xfId="0" applyFont="1"/>
    <xf numFmtId="0" fontId="6" fillId="0" borderId="0" xfId="0" applyFont="1"/>
  </cellXfs>
  <cellStyles count="1">
    <cellStyle name="Normal" xfId="0" builtinId="0"/>
  </cellStyles>
  <dxfs count="40">
    <dxf>
      <font>
        <b/>
        <color rgb="FFE74C3C"/>
      </font>
    </dxf>
    <dxf>
      <font>
        <b/>
        <color rgb="FF27AE60"/>
      </font>
    </dxf>
    <dxf>
      <font>
        <b/>
        <color rgb="FFFFFFFF"/>
      </font>
      <fill>
        <patternFill patternType="solid">
          <fgColor rgb="FFE74C3C"/>
          <bgColor rgb="FFE74C3C"/>
        </patternFill>
      </fill>
    </dxf>
    <dxf>
      <font>
        <b/>
        <color rgb="FF000000"/>
      </font>
      <fill>
        <patternFill patternType="solid">
          <fgColor rgb="FFF39C12"/>
          <bgColor rgb="FFF39C12"/>
        </patternFill>
      </fill>
    </dxf>
    <dxf>
      <font>
        <b/>
        <color rgb="FFFFFFFF"/>
      </font>
      <fill>
        <patternFill patternType="solid">
          <fgColor rgb="FF27AE60"/>
          <bgColor rgb="FF27AE60"/>
        </patternFill>
      </fill>
    </dxf>
    <dxf>
      <font>
        <b/>
        <color rgb="FFFFFFFF"/>
      </font>
      <fill>
        <patternFill patternType="solid">
          <fgColor rgb="FFE74C3C"/>
          <bgColor rgb="FFE74C3C"/>
        </patternFill>
      </fill>
    </dxf>
    <dxf>
      <font>
        <b/>
        <color rgb="FF000000"/>
      </font>
      <fill>
        <patternFill patternType="solid">
          <fgColor rgb="FFF39C12"/>
          <bgColor rgb="FFF39C12"/>
        </patternFill>
      </fill>
    </dxf>
    <dxf>
      <font>
        <b/>
        <color rgb="FFFFFFFF"/>
      </font>
      <fill>
        <patternFill patternType="solid">
          <fgColor rgb="FF27AE60"/>
          <bgColor rgb="FF27AE60"/>
        </patternFill>
      </fill>
    </dxf>
    <dxf>
      <font>
        <b/>
        <color rgb="FFE74C3C"/>
      </font>
    </dxf>
    <dxf>
      <font>
        <b/>
        <color rgb="FF27AE60"/>
      </font>
    </dxf>
    <dxf>
      <font>
        <b/>
        <color rgb="FFFFFFFF"/>
      </font>
      <fill>
        <patternFill patternType="solid">
          <fgColor rgb="FFE74C3C"/>
          <bgColor rgb="FFE74C3C"/>
        </patternFill>
      </fill>
    </dxf>
    <dxf>
      <font>
        <b/>
        <color rgb="FF000000"/>
      </font>
      <fill>
        <patternFill patternType="solid">
          <fgColor rgb="FFF39C12"/>
          <bgColor rgb="FFF39C12"/>
        </patternFill>
      </fill>
    </dxf>
    <dxf>
      <font>
        <b/>
        <color rgb="FFFFFFFF"/>
      </font>
      <fill>
        <patternFill patternType="solid">
          <fgColor rgb="FF27AE60"/>
          <bgColor rgb="FF27AE60"/>
        </patternFill>
      </fill>
    </dxf>
    <dxf>
      <font>
        <b/>
        <color rgb="FFFFFFFF"/>
      </font>
      <fill>
        <patternFill patternType="solid">
          <fgColor rgb="FFE74C3C"/>
          <bgColor rgb="FFE74C3C"/>
        </patternFill>
      </fill>
    </dxf>
    <dxf>
      <font>
        <b/>
        <color rgb="FF000000"/>
      </font>
      <fill>
        <patternFill patternType="solid">
          <fgColor rgb="FFF39C12"/>
          <bgColor rgb="FFF39C12"/>
        </patternFill>
      </fill>
    </dxf>
    <dxf>
      <font>
        <b/>
        <color rgb="FFFFFFFF"/>
      </font>
      <fill>
        <patternFill patternType="solid">
          <fgColor rgb="FF27AE60"/>
          <bgColor rgb="FF27AE60"/>
        </patternFill>
      </fill>
    </dxf>
    <dxf>
      <font>
        <b/>
        <color rgb="FFE74C3C"/>
      </font>
    </dxf>
    <dxf>
      <font>
        <b/>
        <color rgb="FF27AE60"/>
      </font>
    </dxf>
    <dxf>
      <font>
        <b/>
        <color rgb="FFFFFFFF"/>
      </font>
      <fill>
        <patternFill patternType="solid">
          <fgColor rgb="FFE74C3C"/>
          <bgColor rgb="FFE74C3C"/>
        </patternFill>
      </fill>
    </dxf>
    <dxf>
      <font>
        <b/>
        <color rgb="FF000000"/>
      </font>
      <fill>
        <patternFill patternType="solid">
          <fgColor rgb="FFF39C12"/>
          <bgColor rgb="FFF39C12"/>
        </patternFill>
      </fill>
    </dxf>
    <dxf>
      <font>
        <b/>
        <color rgb="FFFFFFFF"/>
      </font>
      <fill>
        <patternFill patternType="solid">
          <fgColor rgb="FF27AE60"/>
          <bgColor rgb="FF27AE60"/>
        </patternFill>
      </fill>
    </dxf>
    <dxf>
      <font>
        <b/>
        <color rgb="FFFFFFFF"/>
      </font>
      <fill>
        <patternFill patternType="solid">
          <fgColor rgb="FFE74C3C"/>
          <bgColor rgb="FFE74C3C"/>
        </patternFill>
      </fill>
    </dxf>
    <dxf>
      <font>
        <b/>
        <color rgb="FF000000"/>
      </font>
      <fill>
        <patternFill patternType="solid">
          <fgColor rgb="FFF39C12"/>
          <bgColor rgb="FFF39C12"/>
        </patternFill>
      </fill>
    </dxf>
    <dxf>
      <font>
        <b/>
        <color rgb="FFFFFFFF"/>
      </font>
      <fill>
        <patternFill patternType="solid">
          <fgColor rgb="FF27AE60"/>
          <bgColor rgb="FF27AE60"/>
        </patternFill>
      </fill>
    </dxf>
    <dxf>
      <font>
        <b/>
        <color rgb="FFE74C3C"/>
      </font>
    </dxf>
    <dxf>
      <font>
        <b/>
        <color rgb="FF27AE60"/>
      </font>
    </dxf>
    <dxf>
      <font>
        <b/>
        <color rgb="FFFFFFFF"/>
      </font>
      <fill>
        <patternFill patternType="solid">
          <fgColor rgb="FFE74C3C"/>
          <bgColor rgb="FFE74C3C"/>
        </patternFill>
      </fill>
    </dxf>
    <dxf>
      <font>
        <b/>
        <color rgb="FF000000"/>
      </font>
      <fill>
        <patternFill patternType="solid">
          <fgColor rgb="FFF39C12"/>
          <bgColor rgb="FFF39C12"/>
        </patternFill>
      </fill>
    </dxf>
    <dxf>
      <font>
        <b/>
        <color rgb="FFFFFFFF"/>
      </font>
      <fill>
        <patternFill patternType="solid">
          <fgColor rgb="FF27AE60"/>
          <bgColor rgb="FF27AE60"/>
        </patternFill>
      </fill>
    </dxf>
    <dxf>
      <font>
        <b/>
        <color rgb="FFFFFFFF"/>
      </font>
      <fill>
        <patternFill patternType="solid">
          <fgColor rgb="FFE74C3C"/>
          <bgColor rgb="FFE74C3C"/>
        </patternFill>
      </fill>
    </dxf>
    <dxf>
      <font>
        <b/>
        <color rgb="FF000000"/>
      </font>
      <fill>
        <patternFill patternType="solid">
          <fgColor rgb="FFF39C12"/>
          <bgColor rgb="FFF39C12"/>
        </patternFill>
      </fill>
    </dxf>
    <dxf>
      <font>
        <b/>
        <color rgb="FFFFFFFF"/>
      </font>
      <fill>
        <patternFill patternType="solid">
          <fgColor rgb="FF27AE60"/>
          <bgColor rgb="FF27AE60"/>
        </patternFill>
      </fill>
    </dxf>
    <dxf>
      <font>
        <b/>
        <color rgb="FFE74C3C"/>
      </font>
    </dxf>
    <dxf>
      <font>
        <b/>
        <color rgb="FF27AE60"/>
      </font>
    </dxf>
    <dxf>
      <font>
        <b/>
        <color rgb="FFFFFFFF"/>
      </font>
      <fill>
        <patternFill patternType="solid">
          <fgColor rgb="FFE74C3C"/>
          <bgColor rgb="FFE74C3C"/>
        </patternFill>
      </fill>
    </dxf>
    <dxf>
      <font>
        <b/>
        <color rgb="FF000000"/>
      </font>
      <fill>
        <patternFill patternType="solid">
          <fgColor rgb="FFF39C12"/>
          <bgColor rgb="FFF39C12"/>
        </patternFill>
      </fill>
    </dxf>
    <dxf>
      <font>
        <b/>
        <color rgb="FFFFFFFF"/>
      </font>
      <fill>
        <patternFill patternType="solid">
          <fgColor rgb="FF27AE60"/>
          <bgColor rgb="FF27AE60"/>
        </patternFill>
      </fill>
    </dxf>
    <dxf>
      <font>
        <b/>
        <color rgb="FFFFFFFF"/>
      </font>
      <fill>
        <patternFill patternType="solid">
          <fgColor rgb="FFE74C3C"/>
          <bgColor rgb="FFE74C3C"/>
        </patternFill>
      </fill>
    </dxf>
    <dxf>
      <font>
        <b/>
        <color rgb="FF000000"/>
      </font>
      <fill>
        <patternFill patternType="solid">
          <fgColor rgb="FFF39C12"/>
          <bgColor rgb="FFF39C12"/>
        </patternFill>
      </fill>
    </dxf>
    <dxf>
      <font>
        <b/>
        <color rgb="FFFFFFFF"/>
      </font>
      <fill>
        <patternFill patternType="solid">
          <fgColor rgb="FF27AE60"/>
          <bgColor rgb="FF27AE6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10"/>
  <c:chart>
    <c:title>
      <c:tx>
        <c:rich>
          <a:bodyPr/>
          <a:lstStyle/>
          <a:p>
            <a:pPr>
              <a:defRPr/>
            </a:pPr>
            <a:r>
              <a:rPr lang="en-US"/>
              <a:t>Revenue &amp; Net Income Trend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Dashboard!$C$66</c:f>
              <c:strCache>
                <c:ptCount val="1"/>
                <c:pt idx="0">
                  <c:v>Revenue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Dashboard!$B$67:$B$78</c:f>
              <c:strCache>
                <c:ptCount val="12"/>
                <c:pt idx="0">
                  <c:v>Jan 2024</c:v>
                </c:pt>
                <c:pt idx="1">
                  <c:v>Feb 2024</c:v>
                </c:pt>
                <c:pt idx="2">
                  <c:v>Mar 2024</c:v>
                </c:pt>
                <c:pt idx="3">
                  <c:v>Apr 2024</c:v>
                </c:pt>
                <c:pt idx="4">
                  <c:v>May 2024</c:v>
                </c:pt>
                <c:pt idx="5">
                  <c:v>Jun 2024</c:v>
                </c:pt>
                <c:pt idx="6">
                  <c:v>Jul 2024</c:v>
                </c:pt>
                <c:pt idx="7">
                  <c:v>Aug 2024</c:v>
                </c:pt>
                <c:pt idx="8">
                  <c:v>Sep 2024</c:v>
                </c:pt>
                <c:pt idx="9">
                  <c:v>Oct 2024</c:v>
                </c:pt>
                <c:pt idx="10">
                  <c:v>Nov 2024</c:v>
                </c:pt>
                <c:pt idx="11">
                  <c:v>Dec 2024</c:v>
                </c:pt>
              </c:strCache>
            </c:strRef>
          </c:cat>
          <c:val>
            <c:numRef>
              <c:f>Dashboard!$C$67:$C$78</c:f>
              <c:numCache>
                <c:formatCode>#,##0</c:formatCode>
                <c:ptCount val="12"/>
                <c:pt idx="0">
                  <c:v>165123.75</c:v>
                </c:pt>
                <c:pt idx="1">
                  <c:v>121759.1</c:v>
                </c:pt>
                <c:pt idx="2">
                  <c:v>711391.42</c:v>
                </c:pt>
                <c:pt idx="3">
                  <c:v>217033.56</c:v>
                </c:pt>
                <c:pt idx="4">
                  <c:v>391584.49</c:v>
                </c:pt>
                <c:pt idx="5">
                  <c:v>271821.98</c:v>
                </c:pt>
                <c:pt idx="6">
                  <c:v>440913.28</c:v>
                </c:pt>
                <c:pt idx="7">
                  <c:v>574896.40999999992</c:v>
                </c:pt>
                <c:pt idx="8">
                  <c:v>456264.92</c:v>
                </c:pt>
                <c:pt idx="9">
                  <c:v>322167.76</c:v>
                </c:pt>
                <c:pt idx="10">
                  <c:v>595721.19000000006</c:v>
                </c:pt>
                <c:pt idx="11">
                  <c:v>715798.33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23-4B75-A0EF-543A484FCD86}"/>
            </c:ext>
          </c:extLst>
        </c:ser>
        <c:ser>
          <c:idx val="1"/>
          <c:order val="1"/>
          <c:tx>
            <c:strRef>
              <c:f>Dashboard!$D$66</c:f>
              <c:strCache>
                <c:ptCount val="1"/>
                <c:pt idx="0">
                  <c:v>Net Income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Dashboard!$B$67:$B$78</c:f>
              <c:strCache>
                <c:ptCount val="12"/>
                <c:pt idx="0">
                  <c:v>Jan 2024</c:v>
                </c:pt>
                <c:pt idx="1">
                  <c:v>Feb 2024</c:v>
                </c:pt>
                <c:pt idx="2">
                  <c:v>Mar 2024</c:v>
                </c:pt>
                <c:pt idx="3">
                  <c:v>Apr 2024</c:v>
                </c:pt>
                <c:pt idx="4">
                  <c:v>May 2024</c:v>
                </c:pt>
                <c:pt idx="5">
                  <c:v>Jun 2024</c:v>
                </c:pt>
                <c:pt idx="6">
                  <c:v>Jul 2024</c:v>
                </c:pt>
                <c:pt idx="7">
                  <c:v>Aug 2024</c:v>
                </c:pt>
                <c:pt idx="8">
                  <c:v>Sep 2024</c:v>
                </c:pt>
                <c:pt idx="9">
                  <c:v>Oct 2024</c:v>
                </c:pt>
                <c:pt idx="10">
                  <c:v>Nov 2024</c:v>
                </c:pt>
                <c:pt idx="11">
                  <c:v>Dec 2024</c:v>
                </c:pt>
              </c:strCache>
            </c:strRef>
          </c:cat>
          <c:val>
            <c:numRef>
              <c:f>Dashboard!$D$67:$D$78</c:f>
              <c:numCache>
                <c:formatCode>#,##0</c:formatCode>
                <c:ptCount val="12"/>
                <c:pt idx="0">
                  <c:v>-540469.17999999993</c:v>
                </c:pt>
                <c:pt idx="1">
                  <c:v>-173718.43999999989</c:v>
                </c:pt>
                <c:pt idx="2">
                  <c:v>239763.25000000009</c:v>
                </c:pt>
                <c:pt idx="3">
                  <c:v>-43761.250000000087</c:v>
                </c:pt>
                <c:pt idx="4">
                  <c:v>74515.73000000004</c:v>
                </c:pt>
                <c:pt idx="5">
                  <c:v>13486.59000000008</c:v>
                </c:pt>
                <c:pt idx="6">
                  <c:v>-4721.8999999999069</c:v>
                </c:pt>
                <c:pt idx="7">
                  <c:v>-82622.280000000144</c:v>
                </c:pt>
                <c:pt idx="8">
                  <c:v>55609.870000000054</c:v>
                </c:pt>
                <c:pt idx="9">
                  <c:v>-59395.530000000028</c:v>
                </c:pt>
                <c:pt idx="10">
                  <c:v>86865.290000000037</c:v>
                </c:pt>
                <c:pt idx="11">
                  <c:v>-190181.89000000019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23-4B75-A0EF-543A484FC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numFmt formatCode="#,##0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65</xdr:row>
      <xdr:rowOff>0</xdr:rowOff>
    </xdr:from>
    <xdr:ext cx="5400000" cy="288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27AE60"/>
    <pageSetUpPr fitToPage="1"/>
  </sheetPr>
  <dimension ref="B2:N78"/>
  <sheetViews>
    <sheetView showGridLines="0" tabSelected="1" topLeftCell="A57" workbookViewId="0">
      <selection activeCell="H43" sqref="H43"/>
    </sheetView>
  </sheetViews>
  <sheetFormatPr defaultRowHeight="15" x14ac:dyDescent="0.25"/>
  <cols>
    <col min="1" max="1" width="3" customWidth="1"/>
    <col min="2" max="2" width="22" customWidth="1"/>
    <col min="3" max="3" width="16.28515625" bestFit="1" customWidth="1"/>
    <col min="4" max="5" width="14" customWidth="1"/>
    <col min="6" max="6" width="3" customWidth="1"/>
    <col min="7" max="9" width="14" customWidth="1"/>
    <col min="10" max="10" width="3" customWidth="1"/>
    <col min="11" max="13" width="14" customWidth="1"/>
    <col min="14" max="14" width="8" customWidth="1"/>
    <col min="15" max="15" width="12" customWidth="1"/>
  </cols>
  <sheetData>
    <row r="2" spans="2:13" ht="36" x14ac:dyDescent="0.55000000000000004">
      <c r="B2" s="72" t="s">
        <v>0</v>
      </c>
      <c r="C2" s="69"/>
      <c r="D2" s="69"/>
      <c r="E2" s="69"/>
      <c r="F2" s="69"/>
      <c r="G2" s="69"/>
      <c r="H2" s="69"/>
      <c r="I2" s="69"/>
      <c r="J2" s="69"/>
      <c r="K2" s="69"/>
      <c r="L2" s="69"/>
    </row>
    <row r="3" spans="2:13" ht="21" x14ac:dyDescent="0.35">
      <c r="B3" s="68" t="s">
        <v>1</v>
      </c>
      <c r="C3" s="69"/>
      <c r="D3" s="69"/>
      <c r="E3" s="69"/>
      <c r="F3" s="69"/>
      <c r="G3" s="69"/>
      <c r="H3" s="69"/>
      <c r="I3" s="69"/>
      <c r="J3" s="69"/>
      <c r="K3" s="69"/>
      <c r="L3" s="69"/>
    </row>
    <row r="4" spans="2:13" x14ac:dyDescent="0.25">
      <c r="B4" s="11" t="s">
        <v>2</v>
      </c>
    </row>
    <row r="5" spans="2:13" x14ac:dyDescent="0.25">
      <c r="B5" s="11" t="s">
        <v>3</v>
      </c>
    </row>
    <row r="7" spans="2:13" x14ac:dyDescent="0.25">
      <c r="B7" s="66" t="s">
        <v>4</v>
      </c>
      <c r="C7" s="67"/>
      <c r="D7" s="66" t="s">
        <v>5</v>
      </c>
      <c r="E7" s="67"/>
      <c r="F7" s="66" t="s">
        <v>6</v>
      </c>
      <c r="G7" s="67"/>
      <c r="H7" s="66" t="s">
        <v>7</v>
      </c>
      <c r="I7" s="67"/>
      <c r="J7" s="66" t="s">
        <v>8</v>
      </c>
      <c r="K7" s="67"/>
      <c r="L7" s="66" t="s">
        <v>9</v>
      </c>
      <c r="M7" s="67"/>
    </row>
    <row r="8" spans="2:13" ht="26.25" x14ac:dyDescent="0.25">
      <c r="B8" s="75" t="s">
        <v>10</v>
      </c>
      <c r="C8" s="74"/>
      <c r="D8" s="75" t="s">
        <v>11</v>
      </c>
      <c r="E8" s="74"/>
      <c r="F8" s="76">
        <f>IFERROR(SUMIF(Source_PL!$A:$A,"Gross Profit",Source_PL!M:M)/SUMIF(Source_PL!$A:$A,"Total for Income",Source_PL!M:M),0)</f>
        <v>0.68630813933304369</v>
      </c>
      <c r="G8" s="74"/>
      <c r="H8" s="75" t="s">
        <v>12</v>
      </c>
      <c r="I8" s="74"/>
      <c r="J8" s="77">
        <f>IFERROR(SUMIF(Source_BS!$A:$A,"Total for Current Assets",Source_BS!M:M)/SUMIF(Source_BS!$A:$A,"Total for Current Liabilities",Source_BS!M:M),0)</f>
        <v>0.87457812352431197</v>
      </c>
      <c r="K8" s="74"/>
      <c r="L8" s="73">
        <f>IFERROR(SUMIF(Source_BS!$A:$A,"Total for Accounts Receivable",Source_BS!M:M)/(SUMIF(Source_PL!$A:$A,"Total for Income",Source_PL!B:M)/12)*30,0)</f>
        <v>0</v>
      </c>
      <c r="M8" s="74"/>
    </row>
    <row r="9" spans="2:13" x14ac:dyDescent="0.25">
      <c r="B9" s="70" t="s">
        <v>13</v>
      </c>
      <c r="C9" s="71"/>
      <c r="D9" s="70" t="s">
        <v>13</v>
      </c>
      <c r="E9" s="71"/>
      <c r="F9" s="70" t="s">
        <v>13</v>
      </c>
      <c r="G9" s="71"/>
      <c r="H9" s="70" t="s">
        <v>13</v>
      </c>
      <c r="I9" s="71"/>
      <c r="J9" s="70" t="s">
        <v>13</v>
      </c>
      <c r="K9" s="71"/>
      <c r="L9" s="70" t="s">
        <v>14</v>
      </c>
      <c r="M9" s="71"/>
    </row>
    <row r="17" spans="2:14" ht="18.75" x14ac:dyDescent="0.3">
      <c r="B17" s="12" t="s">
        <v>15</v>
      </c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</row>
    <row r="18" spans="2:14" x14ac:dyDescent="0.25">
      <c r="B18" s="14" t="s">
        <v>16</v>
      </c>
      <c r="C18" s="14" t="s">
        <v>13</v>
      </c>
      <c r="D18" s="14" t="s">
        <v>17</v>
      </c>
      <c r="E18" s="14" t="s">
        <v>18</v>
      </c>
      <c r="F18" s="14"/>
      <c r="G18" s="14" t="s">
        <v>19</v>
      </c>
      <c r="H18" s="14" t="s">
        <v>20</v>
      </c>
      <c r="I18" s="14" t="s">
        <v>21</v>
      </c>
      <c r="J18" s="14"/>
      <c r="K18" s="14" t="s">
        <v>22</v>
      </c>
      <c r="L18" s="14" t="s">
        <v>23</v>
      </c>
      <c r="M18" s="14" t="s">
        <v>24</v>
      </c>
    </row>
    <row r="19" spans="2:14" ht="18.75" x14ac:dyDescent="0.25">
      <c r="B19" s="15" t="s">
        <v>4</v>
      </c>
      <c r="C19" s="16">
        <f>SUMIF(Source_PL!$A:$A,"Total for Income",Source_PL!M:M)</f>
        <v>715798.33</v>
      </c>
      <c r="D19" s="17">
        <f>Dashboard_Control!E17</f>
        <v>0</v>
      </c>
      <c r="E19" s="18" t="str">
        <f t="shared" ref="E19:E28" si="0">IF(C19&gt;=D19,"G",IF(C19&gt;=D19*0.8,"Y","R"))</f>
        <v>G</v>
      </c>
      <c r="G19" s="19">
        <f>SUMIF(Source_PL!$A:$A,"Total for Income",Source_PL!B:M)</f>
        <v>165123.75</v>
      </c>
      <c r="H19" s="17">
        <f>D19*12</f>
        <v>0</v>
      </c>
      <c r="I19" s="18" t="str">
        <f t="shared" ref="I19:I28" si="1">IF(G19&gt;=H19,"G",IF(G19&gt;=H19*0.8,"Y","R"))</f>
        <v>G</v>
      </c>
      <c r="K19" s="17">
        <f>SUMIF(Source_PL!$A:$A,"Total for Income",Source_PL!B:M)</f>
        <v>165123.75</v>
      </c>
      <c r="L19" s="20" t="str">
        <f t="shared" ref="L19:L28" si="2">IF(C19&gt;G19*1.05,"U",IF(C19&lt;G19*0.95,"D","F"))</f>
        <v>U</v>
      </c>
      <c r="M19" s="11"/>
    </row>
    <row r="20" spans="2:14" ht="18.75" x14ac:dyDescent="0.25">
      <c r="B20" s="21" t="s">
        <v>25</v>
      </c>
      <c r="C20" s="22">
        <f>SUMIF(Source_PL!$A:$A,"Gross Profit",Source_PL!M:M)</f>
        <v>491258.22</v>
      </c>
      <c r="D20" s="23">
        <f>Dashboard_Control!E18</f>
        <v>0</v>
      </c>
      <c r="E20" s="24" t="str">
        <f t="shared" si="0"/>
        <v>G</v>
      </c>
      <c r="G20" s="25">
        <f>SUMIF(Source_PL!$A:$A,"Gross Profit",Source_PL!B:M)</f>
        <v>-266994.14</v>
      </c>
      <c r="H20" s="23">
        <f>D20*12</f>
        <v>0</v>
      </c>
      <c r="I20" s="24" t="str">
        <f t="shared" si="1"/>
        <v>R</v>
      </c>
      <c r="K20" s="23">
        <f>SUMIF(Source_PL!$A:$A,"Gross Profit",Source_PL!B:M)</f>
        <v>-266994.14</v>
      </c>
      <c r="L20" s="26" t="str">
        <f t="shared" si="2"/>
        <v>U</v>
      </c>
      <c r="M20" s="27"/>
    </row>
    <row r="21" spans="2:14" ht="18.75" x14ac:dyDescent="0.25">
      <c r="B21" s="15" t="s">
        <v>26</v>
      </c>
      <c r="C21" s="28">
        <f>IFERROR(SUMIF(Source_PL!$A:$A,"Gross Profit",Source_PL!M:M)/SUMIF(Source_PL!$A:$A,"Total for Income",Source_PL!M:M),0)</f>
        <v>0.68630813933304369</v>
      </c>
      <c r="D21" s="29">
        <f>Dashboard_Control!E19</f>
        <v>0.4</v>
      </c>
      <c r="E21" s="18" t="str">
        <f t="shared" si="0"/>
        <v>G</v>
      </c>
      <c r="G21" s="30">
        <f>IFERROR(SUMIF(Source_PL!$A:$A,"Gross Profit",Source_PL!B:M)/SUMIF(Source_PL!$A:$A,"Total for Income",Source_PL!B:M),0)</f>
        <v>-1.616933602828182</v>
      </c>
      <c r="H21" s="29">
        <f>D21</f>
        <v>0.4</v>
      </c>
      <c r="I21" s="18" t="str">
        <f t="shared" si="1"/>
        <v>R</v>
      </c>
      <c r="K21" s="29">
        <f>IFERROR(SUMIF(Source_PL!$A:$A,"Gross Profit",Source_PL!B:M)/SUMIF(Source_PL!$A:$A,"Total for Income",Source_PL!B:M),0)</f>
        <v>-1.616933602828182</v>
      </c>
      <c r="L21" s="20" t="str">
        <f t="shared" si="2"/>
        <v>U</v>
      </c>
      <c r="M21" s="11"/>
    </row>
    <row r="22" spans="2:14" ht="18.75" x14ac:dyDescent="0.25">
      <c r="B22" s="21" t="s">
        <v>5</v>
      </c>
      <c r="C22" s="22">
        <f>SUMIF(Source_PL!$A:$A,"Net Income",Source_PL!M:M)</f>
        <v>-190181.89000000019</v>
      </c>
      <c r="D22" s="23">
        <f>Dashboard_Control!E20</f>
        <v>0</v>
      </c>
      <c r="E22" s="24" t="str">
        <f t="shared" si="0"/>
        <v>R</v>
      </c>
      <c r="G22" s="25">
        <f>SUMIF(Source_PL!$A:$A,"Net Income",Source_PL!B:M)</f>
        <v>-540469.17999999993</v>
      </c>
      <c r="H22" s="23">
        <f>D22*12</f>
        <v>0</v>
      </c>
      <c r="I22" s="24" t="str">
        <f t="shared" si="1"/>
        <v>R</v>
      </c>
      <c r="K22" s="23">
        <f>SUMIF(Source_PL!$A:$A,"Net Income",Source_PL!B:M)</f>
        <v>-540469.17999999993</v>
      </c>
      <c r="L22" s="26" t="str">
        <f t="shared" si="2"/>
        <v>U</v>
      </c>
      <c r="M22" s="27"/>
    </row>
    <row r="23" spans="2:14" ht="18.75" x14ac:dyDescent="0.25">
      <c r="B23" s="15" t="s">
        <v>27</v>
      </c>
      <c r="C23" s="28">
        <f>IFERROR(SUMIF(Source_PL!$A:$A,"Net Income",Source_PL!M:M)/SUMIF(Source_PL!$A:$A,"Total for Income",Source_PL!M:M),0)</f>
        <v>-0.26569200014758376</v>
      </c>
      <c r="D23" s="29">
        <f>Dashboard_Control!E21</f>
        <v>0.1</v>
      </c>
      <c r="E23" s="18" t="str">
        <f t="shared" si="0"/>
        <v>R</v>
      </c>
      <c r="G23" s="30">
        <f>IFERROR(SUMIF(Source_PL!$A:$A,"Net Income",Source_PL!B:M)/SUMIF(Source_PL!$A:$A,"Total for Income",Source_PL!B:M),0)</f>
        <v>-3.2731159509156007</v>
      </c>
      <c r="H23" s="29">
        <f>D23</f>
        <v>0.1</v>
      </c>
      <c r="I23" s="18" t="str">
        <f t="shared" si="1"/>
        <v>R</v>
      </c>
      <c r="K23" s="29">
        <f>IFERROR(SUMIF(Source_PL!$A:$A,"Net Income",Source_PL!B:M)/SUMIF(Source_PL!$A:$A,"Total for Income",Source_PL!B:M),0)</f>
        <v>-3.2731159509156007</v>
      </c>
      <c r="L23" s="20" t="str">
        <f t="shared" si="2"/>
        <v>U</v>
      </c>
      <c r="M23" s="11"/>
    </row>
    <row r="24" spans="2:14" ht="18.75" x14ac:dyDescent="0.25">
      <c r="B24" s="21" t="s">
        <v>28</v>
      </c>
      <c r="C24" s="22">
        <f>SUMIF(Source_PL!$A:$A,"Net Income",Source_PL!M:M)+ABS(SUMIF(Source_PL!$A:$A,"8000 Interest Expense",Source_PL!M:M))+ABS(SUMIF(Source_PL!$A:$A,"6090 Depreciation Expense",Source_PL!M:M))</f>
        <v>60019.229999999836</v>
      </c>
      <c r="D24" s="23">
        <f>Dashboard_Control!E22</f>
        <v>0</v>
      </c>
      <c r="E24" s="24" t="str">
        <f t="shared" si="0"/>
        <v>G</v>
      </c>
      <c r="G24" s="25">
        <f>SUMIF(Source_PL!$A:$A,"Net Income",Source_PL!B:M)+ABS(SUMIF(Source_PL!$A:$A,"8000 Interest Expense",Source_PL!B:M))+ABS(SUMIF(Source_PL!$A:$A,"6090 Depreciation Expense",Source_PL!B:M))</f>
        <v>-535226.23999999987</v>
      </c>
      <c r="H24" s="23">
        <f>D24*12</f>
        <v>0</v>
      </c>
      <c r="I24" s="24" t="str">
        <f t="shared" si="1"/>
        <v>R</v>
      </c>
      <c r="K24" s="23">
        <f>SUMIF(Source_PL!$A:$A,"Net Income",Source_PL!B:M)+ABS(SUMIF(Source_PL!$A:$A,"8000 Interest Expense",Source_PL!B:M))+ABS(SUMIF(Source_PL!$A:$A,"6090 Depreciation Expense",Source_PL!B:M))</f>
        <v>-535226.23999999987</v>
      </c>
      <c r="L24" s="26" t="str">
        <f t="shared" si="2"/>
        <v>U</v>
      </c>
      <c r="M24" s="27"/>
    </row>
    <row r="25" spans="2:14" ht="18.75" x14ac:dyDescent="0.25">
      <c r="B25" s="15" t="s">
        <v>29</v>
      </c>
      <c r="C25" s="28">
        <f>IFERROR(SUMIF(Source_PL!$A:$A,"EBITDA",Source_PL!M:M)/SUMIF(Source_PL!$A:$A,"Total for Income",Source_PL!M:M),0)</f>
        <v>0</v>
      </c>
      <c r="D25" s="29">
        <f>Dashboard_Control!E23</f>
        <v>0.15</v>
      </c>
      <c r="E25" s="18" t="str">
        <f t="shared" si="0"/>
        <v>R</v>
      </c>
      <c r="G25" s="30">
        <f>IFERROR(SUMIF(Source_PL!$A:$A,"EBITDA",Source_PL!B:M)/SUMIF(Source_PL!$A:$A,"Total for Income",Source_PL!B:M),0)</f>
        <v>0</v>
      </c>
      <c r="H25" s="29">
        <f>D25</f>
        <v>0.15</v>
      </c>
      <c r="I25" s="18" t="str">
        <f t="shared" si="1"/>
        <v>R</v>
      </c>
      <c r="K25" s="29">
        <f>IFERROR(SUMIF(Source_PL!$A:$A,"EBITDA",Source_PL!B:M)/SUMIF(Source_PL!$A:$A,"Total for Income",Source_PL!B:M),0)</f>
        <v>0</v>
      </c>
      <c r="L25" s="20" t="str">
        <f t="shared" si="2"/>
        <v>F</v>
      </c>
      <c r="M25" s="11"/>
    </row>
    <row r="26" spans="2:14" ht="18.75" x14ac:dyDescent="0.25">
      <c r="B26" s="21" t="s">
        <v>30</v>
      </c>
      <c r="C26" s="22">
        <f>SUMIF(Source_PL!$A:$A,"Net Operating Income",Source_PL!M:M)</f>
        <v>-118345.6800000002</v>
      </c>
      <c r="D26" s="23">
        <f>Dashboard_Control!E24</f>
        <v>0</v>
      </c>
      <c r="E26" s="24" t="str">
        <f t="shared" si="0"/>
        <v>R</v>
      </c>
      <c r="G26" s="25">
        <f>SUMIF(Source_PL!$A:$A,"Net Operating Income",Source_PL!B:M)</f>
        <v>-541938.17999999993</v>
      </c>
      <c r="H26" s="23">
        <f>D26*12</f>
        <v>0</v>
      </c>
      <c r="I26" s="24" t="str">
        <f t="shared" si="1"/>
        <v>R</v>
      </c>
      <c r="K26" s="23">
        <f>SUMIF(Source_PL!$A:$A,"Net Operating Income",Source_PL!B:M)</f>
        <v>-541938.17999999993</v>
      </c>
      <c r="L26" s="26" t="str">
        <f t="shared" si="2"/>
        <v>U</v>
      </c>
      <c r="M26" s="27"/>
    </row>
    <row r="27" spans="2:14" ht="18.75" x14ac:dyDescent="0.25">
      <c r="B27" s="15" t="s">
        <v>31</v>
      </c>
      <c r="C27" s="28">
        <f>IFERROR(SUMIF(Source_PL!$A:$A,"Net Operating Income",Source_PL!M:M)/SUMIF(Source_PL!$A:$A,"Total for Income",Source_PL!M:M),0)</f>
        <v>-0.16533383082913899</v>
      </c>
      <c r="D27" s="29">
        <f>Dashboard_Control!E25</f>
        <v>0.12</v>
      </c>
      <c r="E27" s="18" t="str">
        <f t="shared" si="0"/>
        <v>R</v>
      </c>
      <c r="G27" s="30">
        <f>IFERROR(SUMIF(Source_PL!$A:$A,"Net Operating Income",Source_PL!B:M)/SUMIF(Source_PL!$A:$A,"Total for Income",Source_PL!B:M),0)</f>
        <v>-3.2820123089501054</v>
      </c>
      <c r="H27" s="29">
        <f>D27</f>
        <v>0.12</v>
      </c>
      <c r="I27" s="18" t="str">
        <f t="shared" si="1"/>
        <v>R</v>
      </c>
      <c r="K27" s="29">
        <f>IFERROR(SUMIF(Source_PL!$A:$A,"Net Operating Income",Source_PL!B:M)/SUMIF(Source_PL!$A:$A,"Total for Income",Source_PL!B:M),0)</f>
        <v>-3.2820123089501054</v>
      </c>
      <c r="L27" s="20" t="str">
        <f t="shared" si="2"/>
        <v>U</v>
      </c>
      <c r="M27" s="11"/>
    </row>
    <row r="28" spans="2:14" ht="18.75" x14ac:dyDescent="0.25">
      <c r="B28" s="21" t="s">
        <v>32</v>
      </c>
      <c r="C28" s="31">
        <f>IFERROR((SUMIF(Source_PL!$A:$A,"Total for Income",Source_PL!M:M)-SUMIF(Source_PL!$A:$A,"Total for Income",Source_PL!L:L))/SUMIF(Source_PL!$A:$A,"Total for Income",Source_PL!L:L),0)</f>
        <v>0.20156600439208799</v>
      </c>
      <c r="D28" s="32">
        <f>Dashboard_Control!E26</f>
        <v>0.1</v>
      </c>
      <c r="E28" s="24" t="str">
        <f t="shared" si="0"/>
        <v>G</v>
      </c>
      <c r="G28" s="33">
        <f>0</f>
        <v>0</v>
      </c>
      <c r="H28" s="32">
        <f>D28</f>
        <v>0.1</v>
      </c>
      <c r="I28" s="24" t="str">
        <f t="shared" si="1"/>
        <v>R</v>
      </c>
      <c r="K28" s="32">
        <f>0</f>
        <v>0</v>
      </c>
      <c r="L28" s="26" t="str">
        <f t="shared" si="2"/>
        <v>U</v>
      </c>
      <c r="M28" s="27"/>
    </row>
    <row r="31" spans="2:14" ht="18.75" x14ac:dyDescent="0.3">
      <c r="B31" s="12" t="s">
        <v>33</v>
      </c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</row>
    <row r="32" spans="2:14" x14ac:dyDescent="0.25">
      <c r="B32" s="14" t="s">
        <v>16</v>
      </c>
      <c r="C32" s="14" t="s">
        <v>13</v>
      </c>
      <c r="D32" s="14" t="s">
        <v>17</v>
      </c>
      <c r="E32" s="14" t="s">
        <v>18</v>
      </c>
      <c r="F32" s="14"/>
      <c r="G32" s="14" t="s">
        <v>19</v>
      </c>
      <c r="H32" s="14" t="s">
        <v>20</v>
      </c>
      <c r="I32" s="14" t="s">
        <v>21</v>
      </c>
      <c r="J32" s="14"/>
      <c r="K32" s="14" t="s">
        <v>22</v>
      </c>
      <c r="L32" s="14" t="s">
        <v>23</v>
      </c>
      <c r="M32" s="14" t="s">
        <v>24</v>
      </c>
    </row>
    <row r="33" spans="2:14" ht="18.75" x14ac:dyDescent="0.25">
      <c r="B33" s="15" t="s">
        <v>8</v>
      </c>
      <c r="C33" s="34">
        <f>IFERROR(SUMIF(Source_BS!$A:$A,"Total for Current Assets",Source_BS!M:M)/SUMIF(Source_BS!$A:$A,"Total for Current Liabilities",Source_BS!M:M),0)</f>
        <v>0.87457812352431197</v>
      </c>
      <c r="D33" s="35">
        <f>Dashboard_Control!E27</f>
        <v>1.5</v>
      </c>
      <c r="E33" s="18" t="str">
        <f>IF(C33&gt;=D33,"G",IF(C33&gt;=D33*0.8,"Y","R"))</f>
        <v>R</v>
      </c>
      <c r="G33" s="36">
        <f>IFERROR(SUMIF(Source_BS!$A:$A,"Total for Current Assets",Source_BS!M:M)/SUMIF(Source_BS!$A:$A,"Total for Current Liabilities",Source_BS!M:M),0)</f>
        <v>0.87457812352431197</v>
      </c>
      <c r="H33" s="35">
        <f>D33</f>
        <v>1.5</v>
      </c>
      <c r="I33" s="18" t="str">
        <f>IF(G33&gt;=H33,"G",IF(G33&gt;=H33*0.8,"Y","R"))</f>
        <v>R</v>
      </c>
      <c r="K33" s="35">
        <f>IFERROR(SUMIF(Source_BS!$A:$A,"Total for Current Assets",Source_BS!B:B)/SUMIF(Source_BS!$A:$A,"Total for Current Liabilities",Source_BS!B:B),0)</f>
        <v>0.83836826247989082</v>
      </c>
      <c r="L33" s="20" t="str">
        <f>IF(C33&gt;G33*1.05,"U",IF(C33&lt;G33*0.95,"D","F"))</f>
        <v>F</v>
      </c>
      <c r="M33" s="11"/>
    </row>
    <row r="34" spans="2:14" ht="18.75" x14ac:dyDescent="0.25">
      <c r="B34" s="21" t="s">
        <v>34</v>
      </c>
      <c r="C34" s="37">
        <f>IFERROR(SUMIF(Source_BS!$A:$A,"Total for Current Assets",Source_BS!M:M)/SUMIF(Source_BS!$A:$A,"Total for Current Liabilities",Source_BS!M:M),0)</f>
        <v>0.87457812352431197</v>
      </c>
      <c r="D34" s="38">
        <f>Dashboard_Control!E28</f>
        <v>1</v>
      </c>
      <c r="E34" s="24" t="str">
        <f>IF(C34&gt;=D34,"G",IF(C34&gt;=D34*0.8,"Y","R"))</f>
        <v>Y</v>
      </c>
      <c r="G34" s="39">
        <f>IFERROR(SUMIF(Source_BS!$A:$A,"Total for Current Assets",Source_BS!M:M)/SUMIF(Source_BS!$A:$A,"Total for Current Liabilities",Source_BS!M:M),0)</f>
        <v>0.87457812352431197</v>
      </c>
      <c r="H34" s="38">
        <f>D34*12</f>
        <v>12</v>
      </c>
      <c r="I34" s="24" t="str">
        <f>IF(G34&gt;=H34,"G",IF(G34&gt;=H34*0.8,"Y","R"))</f>
        <v>R</v>
      </c>
      <c r="K34" s="38">
        <f>IFERROR(SUMIF(Source_BS!$A:$A,"Total for Current Assets",Source_BS!B:B)/SUMIF(Source_BS!$A:$A,"Total for Current Liabilities",Source_BS!B:B),0)</f>
        <v>0.83836826247989082</v>
      </c>
      <c r="L34" s="26" t="str">
        <f>IF(C34&gt;G34*1.05,"U",IF(C34&lt;G34*0.95,"D","F"))</f>
        <v>F</v>
      </c>
      <c r="M34" s="27"/>
    </row>
    <row r="35" spans="2:14" ht="18.75" x14ac:dyDescent="0.25">
      <c r="B35" s="15" t="s">
        <v>35</v>
      </c>
      <c r="C35" s="34">
        <f>IFERROR(SUMIF(Source_BS!$A:$A,"Total for Bank Accounts",Source_BS!M:M)/SUMIF(Source_BS!$A:$A,"Total for Current Liabilities",Source_BS!M:M),0)</f>
        <v>0.79883263246985647</v>
      </c>
      <c r="D35" s="35">
        <f>Dashboard_Control!E29</f>
        <v>0.2</v>
      </c>
      <c r="E35" s="18" t="str">
        <f>IF(C35&gt;=D35,"G",IF(C35&gt;=D35*0.8,"Y","R"))</f>
        <v>G</v>
      </c>
      <c r="G35" s="36">
        <f>IFERROR(SUMIF(Source_BS!$A:$A,"Total for Bank Accounts",Source_BS!M:M)/SUMIF(Source_BS!$A:$A,"Total for Current Liabilities",Source_BS!M:M),0)</f>
        <v>0.79883263246985647</v>
      </c>
      <c r="H35" s="35">
        <f>D35</f>
        <v>0.2</v>
      </c>
      <c r="I35" s="18" t="str">
        <f>IF(G35&gt;=H35,"G",IF(G35&gt;=H35*0.8,"Y","R"))</f>
        <v>G</v>
      </c>
      <c r="K35" s="35">
        <f>IFERROR(SUMIF(Source_BS!$A:$A,"Total for Bank Accounts",Source_BS!B:B)/SUMIF(Source_BS!$A:$A,"Total for Current Liabilities",Source_BS!B:B),0)</f>
        <v>0.8363737472499958</v>
      </c>
      <c r="L35" s="20" t="str">
        <f>IF(C35&gt;G35*1.05,"U",IF(C35&lt;G35*0.95,"D","F"))</f>
        <v>F</v>
      </c>
      <c r="M35" s="11"/>
    </row>
    <row r="36" spans="2:14" ht="18.75" x14ac:dyDescent="0.25">
      <c r="B36" s="21" t="s">
        <v>36</v>
      </c>
      <c r="C36" s="22">
        <f>SUMIF(Source_BS!$A:$A,"Total for Current Assets",Source_BS!M:M)-SUMIF(Source_BS!$A:$A,"Total for Current Liabilities",Source_BS!M:M)</f>
        <v>-66293.870000000054</v>
      </c>
      <c r="D36" s="23">
        <f>Dashboard_Control!E30</f>
        <v>0</v>
      </c>
      <c r="E36" s="24" t="str">
        <f>IF(C36&gt;=D36,"G",IF(C36&gt;=D36*0.8,"Y","R"))</f>
        <v>R</v>
      </c>
      <c r="G36" s="25">
        <f>SUMIF(Source_BS!$A:$A,"Total for Current Assets",Source_BS!M:M)-SUMIF(Source_BS!$A:$A,"Total for Current Liabilities",Source_BS!M:M)</f>
        <v>-66293.870000000054</v>
      </c>
      <c r="H36" s="23">
        <f>D36*12</f>
        <v>0</v>
      </c>
      <c r="I36" s="24" t="str">
        <f>IF(G36&gt;=H36,"G",IF(G36&gt;=H36*0.8,"Y","R"))</f>
        <v>R</v>
      </c>
      <c r="K36" s="23">
        <f>SUMIF(Source_BS!$A:$A,"Total for Current Assets",Source_BS!B:B)-SUMIF(Source_BS!$A:$A,"Total for Current Liabilities",Source_BS!B:B)</f>
        <v>-60566.260000000009</v>
      </c>
      <c r="L36" s="26" t="str">
        <f>IF(C36&gt;G36*1.05,"U",IF(C36&lt;G36*0.95,"D","F"))</f>
        <v>U</v>
      </c>
      <c r="M36" s="27"/>
    </row>
    <row r="37" spans="2:14" ht="18.75" x14ac:dyDescent="0.25">
      <c r="B37" s="15" t="s">
        <v>7</v>
      </c>
      <c r="C37" s="16">
        <f>SUMIF(Source_BS!$A:$A,"Total for Bank Accounts",Source_BS!M:M)</f>
        <v>422236.6</v>
      </c>
      <c r="D37" s="17">
        <f>Dashboard_Control!E31</f>
        <v>0</v>
      </c>
      <c r="E37" s="18" t="str">
        <f>IF(C37&gt;=D37,"G",IF(C37&gt;=D37*0.8,"Y","R"))</f>
        <v>G</v>
      </c>
      <c r="G37" s="19">
        <f>SUMIF(Source_BS!$A:$A,"Total for Bank Accounts",Source_BS!M:M)</f>
        <v>422236.6</v>
      </c>
      <c r="H37" s="17">
        <f>D37*12</f>
        <v>0</v>
      </c>
      <c r="I37" s="18" t="str">
        <f>IF(G37&gt;=H37,"G",IF(G37&gt;=H37*0.8,"Y","R"))</f>
        <v>G</v>
      </c>
      <c r="K37" s="17">
        <f>SUMIF(Source_BS!$A:$A,"Total for Bank Accounts",Source_BS!B:B)</f>
        <v>313403.98</v>
      </c>
      <c r="L37" s="20" t="str">
        <f>IF(C37&gt;G37*1.05,"U",IF(C37&lt;G37*0.95,"D","F"))</f>
        <v>F</v>
      </c>
      <c r="M37" s="11"/>
    </row>
    <row r="40" spans="2:14" ht="18.75" x14ac:dyDescent="0.3">
      <c r="B40" s="12" t="s">
        <v>37</v>
      </c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</row>
    <row r="41" spans="2:14" x14ac:dyDescent="0.25">
      <c r="B41" s="14" t="s">
        <v>16</v>
      </c>
      <c r="C41" s="14" t="s">
        <v>13</v>
      </c>
      <c r="D41" s="14" t="s">
        <v>17</v>
      </c>
      <c r="E41" s="14" t="s">
        <v>18</v>
      </c>
      <c r="F41" s="14"/>
      <c r="G41" s="14" t="s">
        <v>19</v>
      </c>
      <c r="H41" s="14" t="s">
        <v>20</v>
      </c>
      <c r="I41" s="14" t="s">
        <v>21</v>
      </c>
      <c r="J41" s="14"/>
      <c r="K41" s="14" t="s">
        <v>22</v>
      </c>
      <c r="L41" s="14" t="s">
        <v>23</v>
      </c>
      <c r="M41" s="14" t="s">
        <v>24</v>
      </c>
    </row>
    <row r="42" spans="2:14" ht="18.75" x14ac:dyDescent="0.25">
      <c r="B42" s="21" t="s">
        <v>38</v>
      </c>
      <c r="C42" s="40">
        <f>IFERROR(SUMIF(Source_BS!$A:$A,"Total for Accounts Receivable",Source_BS!M:M)/SUMIF(Source_PL!$A:$A,"Total for Income",Source_PL!M:M)*30,0)</f>
        <v>0</v>
      </c>
      <c r="D42" s="41">
        <f>Dashboard_Control!E32</f>
        <v>45</v>
      </c>
      <c r="E42" s="24" t="str">
        <f>IF(C42&lt;=D42,"G",IF(C42&lt;=D42*1.2,"Y","R"))</f>
        <v>G</v>
      </c>
      <c r="G42" s="42">
        <f>IFERROR(SUMIF(Source_BS!$A:$A,"Total for Accounts Receivable",Source_BS!M:M)/((SUMIF(Source_PL!$A:$A,"Total for Income",Source_PL!B:M))/12)*30,0)</f>
        <v>0</v>
      </c>
      <c r="H42" s="41">
        <f>D42</f>
        <v>45</v>
      </c>
      <c r="I42" s="24" t="str">
        <f>IF(G42&lt;=H42,"G",IF(G42&lt;=H42*1.2,"Y","R"))</f>
        <v>G</v>
      </c>
      <c r="K42" s="41">
        <f>IFERROR(SUMIF(Source_BS!$A:$A,"Total for Accounts Receivable",Source_BS!B:B)/((SUMIF(Source_PL!$A:$A,"Total for Income",Source_PL!B:M))/12)*30,0)</f>
        <v>0</v>
      </c>
      <c r="L42" s="26" t="str">
        <f>IF(C42&lt;G42*0.95,"U",IF(C42&gt;G42*1.05,"D","F"))</f>
        <v>F</v>
      </c>
      <c r="M42" s="27"/>
    </row>
    <row r="43" spans="2:14" ht="18.75" x14ac:dyDescent="0.25">
      <c r="B43" s="15" t="s">
        <v>39</v>
      </c>
      <c r="C43" s="43">
        <f>IFERROR(SUMIF(Source_BS!$A:$A,"Total for Credit Cards",Source_BS!M:M)/SUMIF(Source_PL!$A:$A,"Total for Cost of Sales",Source_PL!M:M)*30,0)</f>
        <v>7.8128985507310897</v>
      </c>
      <c r="D43" s="44">
        <f>Dashboard_Control!E33</f>
        <v>30</v>
      </c>
      <c r="E43" s="18" t="str">
        <f>IF(C43&gt;=D43,"G",IF(C43&gt;=D43*0.8,"Y","R"))</f>
        <v>R</v>
      </c>
      <c r="G43" s="45">
        <f>IFERROR(SUMIF(Source_BS!$A:$A,"Total for Credit Cards",Source_BS!M:M)/((SUMIF(Source_PL!$A:$A,"Total for Cost of Sales",Source_PL!B:M))/12)*30,0)</f>
        <v>48.71751363962273</v>
      </c>
      <c r="H43" s="44">
        <f>D43</f>
        <v>30</v>
      </c>
      <c r="I43" s="18" t="str">
        <f>IF(G43&gt;=H43,"G",IF(G43&gt;=H43*0.8,"Y","R"))</f>
        <v>G</v>
      </c>
      <c r="K43" s="44">
        <f>IFERROR(SUMIF(Source_BS!$A:$A,"Total for Credit Cards",Source_BS!B:B)/((SUMIF(Source_PL!$A:$A,"Total for Cost of Sales",Source_PL!B:M))/12)*30,0)</f>
        <v>77.877897626501891</v>
      </c>
      <c r="L43" s="20" t="str">
        <f>IF(C43&gt;G43*1.05,"U",IF(C43&lt;G43*0.95,"D","F"))</f>
        <v>D</v>
      </c>
      <c r="M43" s="11"/>
    </row>
    <row r="44" spans="2:14" ht="18.75" x14ac:dyDescent="0.25">
      <c r="B44" s="21" t="s">
        <v>40</v>
      </c>
      <c r="C44" s="37">
        <f>IFERROR(SUMIF(Source_PL!$A:$A,"Total for Income",Source_PL!M:M)/SUMIF(Source_BS!$A:$A,"Total for Assets",Source_BS!M:M),0)</f>
        <v>0.46300855120185347</v>
      </c>
      <c r="D44" s="38">
        <f>Dashboard_Control!E34</f>
        <v>1</v>
      </c>
      <c r="E44" s="24" t="str">
        <f>IF(C44&gt;=D44,"G",IF(C44&gt;=D44*0.8,"Y","R"))</f>
        <v>R</v>
      </c>
      <c r="G44" s="39">
        <f>IFERROR(SUMIF(Source_PL!$A:$A,"Total for Income",Source_PL!B:M)/SUMIF(Source_BS!$A:$A,"Total for Assets",Source_BS!M:M),0)</f>
        <v>0.10680900618546715</v>
      </c>
      <c r="H44" s="38">
        <f>D44*12</f>
        <v>12</v>
      </c>
      <c r="I44" s="24" t="str">
        <f>IF(G44&gt;=H44,"G",IF(G44&gt;=H44*0.8,"Y","R"))</f>
        <v>R</v>
      </c>
      <c r="K44" s="38">
        <f>IFERROR(SUMIF(Source_PL!$A:$A,"Total for Income",Source_PL!B:M)/SUMIF(Source_BS!$A:$A,"Total for Assets",Source_BS!B:B),0)</f>
        <v>0.13007972354148942</v>
      </c>
      <c r="L44" s="26" t="str">
        <f>IF(C44&gt;G44*1.05,"U",IF(C44&lt;G44*0.95,"D","F"))</f>
        <v>U</v>
      </c>
      <c r="M44" s="27"/>
    </row>
    <row r="45" spans="2:14" ht="18.75" x14ac:dyDescent="0.25">
      <c r="B45" s="15" t="s">
        <v>41</v>
      </c>
      <c r="C45" s="43">
        <f>IFERROR((SUMIF(Source_BS!$A:$A,"Total for Accounts Receivable",Source_BS!M:M)/((SUMIF(Source_PL!$A:$A,"Total for Income",Source_PL!B:M))/12)*30)-(SUMIF(Source_BS!$A:$A,"Total for Credit Cards",Source_BS!M:M)/((SUMIF(Source_PL!$A:$A,"Total for Cost of Sales",Source_PL!B:M))/12)*30),0)</f>
        <v>-48.71751363962273</v>
      </c>
      <c r="D45" s="44">
        <f>Dashboard_Control!E35</f>
        <v>30</v>
      </c>
      <c r="E45" s="18" t="str">
        <f>IF(C45&lt;=D45,"G",IF(C45&lt;=D45*1.2,"Y","R"))</f>
        <v>G</v>
      </c>
      <c r="G45" s="45">
        <f>IFERROR((SUMIF(Source_BS!$A:$A,"Total for Accounts Receivable",Source_BS!M:M)/((SUMIF(Source_PL!$A:$A,"Total for Income",Source_PL!B:M))/12)*30)-(SUMIF(Source_BS!$A:$A,"Total for Credit Cards",Source_BS!M:M)/((SUMIF(Source_PL!$A:$A,"Total for Cost of Sales",Source_PL!B:M))/12)*30),0)</f>
        <v>-48.71751363962273</v>
      </c>
      <c r="H45" s="44">
        <f>D45*12</f>
        <v>360</v>
      </c>
      <c r="I45" s="18" t="str">
        <f>IF(G45&lt;=H45,"G",IF(G45&lt;=H45*1.2,"Y","R"))</f>
        <v>G</v>
      </c>
      <c r="K45" s="44">
        <f>IFERROR((SUMIF(Source_BS!$A:$A,"Total for Accounts Receivable",Source_BS!B:B)/((SUMIF(Source_PL!$A:$A,"Total for Income",Source_PL!B:M))/12)*30)-(SUMIF(Source_BS!$A:$A,"Total for Credit Cards",Source_BS!B:B)/((SUMIF(Source_PL!$A:$A,"Total for Cost of Sales",Source_PL!B:M))/12)*30),0)</f>
        <v>-77.877897626501891</v>
      </c>
      <c r="L45" s="20" t="str">
        <f>IF(C45&lt;G45*0.95,"U",IF(C45&gt;G45*1.05,"D","F"))</f>
        <v>U</v>
      </c>
      <c r="M45" s="11"/>
    </row>
    <row r="48" spans="2:14" ht="18.75" x14ac:dyDescent="0.3">
      <c r="B48" s="12" t="s">
        <v>42</v>
      </c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</row>
    <row r="49" spans="2:14" x14ac:dyDescent="0.25">
      <c r="B49" s="14" t="s">
        <v>16</v>
      </c>
      <c r="C49" s="14" t="s">
        <v>13</v>
      </c>
      <c r="D49" s="14" t="s">
        <v>17</v>
      </c>
      <c r="E49" s="14" t="s">
        <v>18</v>
      </c>
      <c r="F49" s="14"/>
      <c r="G49" s="14" t="s">
        <v>19</v>
      </c>
      <c r="H49" s="14" t="s">
        <v>20</v>
      </c>
      <c r="I49" s="14" t="s">
        <v>21</v>
      </c>
      <c r="J49" s="14"/>
      <c r="K49" s="14" t="s">
        <v>22</v>
      </c>
      <c r="L49" s="14" t="s">
        <v>23</v>
      </c>
      <c r="M49" s="14" t="s">
        <v>24</v>
      </c>
    </row>
    <row r="50" spans="2:14" ht="18.75" x14ac:dyDescent="0.25">
      <c r="B50" s="21" t="s">
        <v>43</v>
      </c>
      <c r="C50" s="37">
        <f>IFERROR(SUMIF(Source_BS!$A:$A,"Total for Liabilities",Source_BS!M:M)/SUMIF(Source_BS!$A:$A,"Total for Equity",Source_BS!M:M),0)</f>
        <v>-17.691149547511536</v>
      </c>
      <c r="D50" s="38">
        <f>Dashboard_Control!E36</f>
        <v>1</v>
      </c>
      <c r="E50" s="24" t="str">
        <f>IF(C50&lt;=D50,"G",IF(C50&lt;=D50*1.2,"Y","R"))</f>
        <v>G</v>
      </c>
      <c r="G50" s="39">
        <f>IFERROR(SUMIF(Source_BS!$A:$A,"Total for Liabilities",Source_BS!M:M)/SUMIF(Source_BS!$A:$A,"Total for Equity",Source_BS!M:M),0)</f>
        <v>-17.691149547511536</v>
      </c>
      <c r="H50" s="38">
        <f>D50</f>
        <v>1</v>
      </c>
      <c r="I50" s="24" t="str">
        <f>IF(G50&lt;=H50,"G",IF(G50&lt;=H50*1.2,"Y","R"))</f>
        <v>G</v>
      </c>
      <c r="K50" s="38">
        <f>IFERROR(SUMIF(Source_BS!$A:$A,"Total for Liabilities",Source_BS!B:B)/SUMIF(Source_BS!$A:$A,"Total for Equity",Source_BS!B:B),0)</f>
        <v>-20.253020768289122</v>
      </c>
      <c r="L50" s="26" t="str">
        <f>IF(C50&lt;G50*0.95,"U",IF(C50&gt;G50*1.05,"D","F"))</f>
        <v>U</v>
      </c>
      <c r="M50" s="27"/>
    </row>
    <row r="51" spans="2:14" ht="18.75" x14ac:dyDescent="0.25">
      <c r="B51" s="15" t="s">
        <v>44</v>
      </c>
      <c r="C51" s="28">
        <f>IFERROR(SUMIF(Source_BS!$A:$A,"Total for Liabilities",Source_BS!M:M)/SUMIF(Source_BS!$A:$A,"Total for Assets",Source_BS!M:M),0)</f>
        <v>1.0599119909119192</v>
      </c>
      <c r="D51" s="29">
        <f>Dashboard_Control!E37</f>
        <v>0.5</v>
      </c>
      <c r="E51" s="18" t="str">
        <f>IF(C51&lt;=D51,"G",IF(C51&lt;=D51*1.2,"Y","R"))</f>
        <v>R</v>
      </c>
      <c r="G51" s="30">
        <f>IFERROR(SUMIF(Source_BS!$A:$A,"Total for Liabilities",Source_BS!M:M)/SUMIF(Source_BS!$A:$A,"Total for Assets",Source_BS!M:M),0)</f>
        <v>1.0599119909119192</v>
      </c>
      <c r="H51" s="29">
        <f>D51</f>
        <v>0.5</v>
      </c>
      <c r="I51" s="18" t="str">
        <f>IF(G51&lt;=H51,"G",IF(G51&lt;=H51*1.2,"Y","R"))</f>
        <v>R</v>
      </c>
      <c r="K51" s="29">
        <f>IFERROR(SUMIF(Source_BS!$A:$A,"Total for Liabilities",Source_BS!B:B)/SUMIF(Source_BS!$A:$A,"Total for Assets",Source_BS!B:B),0)</f>
        <v>1.0519399013814528</v>
      </c>
      <c r="L51" s="20" t="str">
        <f>IF(C51&lt;G51*0.95,"U",IF(C51&gt;G51*1.05,"D","F"))</f>
        <v>F</v>
      </c>
      <c r="M51" s="11"/>
    </row>
    <row r="52" spans="2:14" ht="18.75" x14ac:dyDescent="0.25">
      <c r="B52" s="21" t="s">
        <v>45</v>
      </c>
      <c r="C52" s="31">
        <f>IFERROR(SUMIF(Source_BS!$A:$A,"Total for Equity",Source_BS!M:M)/SUMIF(Source_BS!$A:$A,"Total for Assets",Source_BS!M:M),0)</f>
        <v>-5.9911990911919455E-2</v>
      </c>
      <c r="D52" s="32">
        <f>Dashboard_Control!E38</f>
        <v>0.5</v>
      </c>
      <c r="E52" s="24" t="str">
        <f>IF(C52&gt;=D52,"G",IF(C52&gt;=D52*0.8,"Y","R"))</f>
        <v>R</v>
      </c>
      <c r="G52" s="33">
        <f>IFERROR(SUMIF(Source_BS!$A:$A,"Total for Equity",Source_BS!M:M)/SUMIF(Source_BS!$A:$A,"Total for Assets",Source_BS!M:M),0)</f>
        <v>-5.9911990911919455E-2</v>
      </c>
      <c r="H52" s="32">
        <f>D52</f>
        <v>0.5</v>
      </c>
      <c r="I52" s="24" t="str">
        <f>IF(G52&gt;=H52,"G",IF(G52&gt;=H52*0.8,"Y","R"))</f>
        <v>R</v>
      </c>
      <c r="K52" s="32">
        <f>IFERROR(SUMIF(Source_BS!$A:$A,"Total for Equity",Source_BS!B:B)/SUMIF(Source_BS!$A:$A,"Total for Assets",Source_BS!B:B),0)</f>
        <v>-5.1939901381452824E-2</v>
      </c>
      <c r="L52" s="26" t="str">
        <f>IF(C52&gt;G52*1.05,"U",IF(C52&lt;G52*0.95,"D","F"))</f>
        <v>U</v>
      </c>
      <c r="M52" s="27"/>
    </row>
    <row r="53" spans="2:14" ht="18.75" x14ac:dyDescent="0.25">
      <c r="B53" s="15" t="s">
        <v>46</v>
      </c>
      <c r="C53" s="46">
        <f>IFERROR(SUMIF(Source_PL!$A:$A,"Net Operating Income",Source_PL!M:M)/ABS(SUMIF(Source_PL!$A:$A,"8000 Interest Expense",Source_PL!M:M)),99)</f>
        <v>-20.768849274248357</v>
      </c>
      <c r="D53" s="47">
        <f>Dashboard_Control!E39</f>
        <v>3</v>
      </c>
      <c r="E53" s="18" t="str">
        <f>IF(C53&gt;=D53,"G",IF(C53&gt;=D53*0.8,"Y","R"))</f>
        <v>R</v>
      </c>
      <c r="G53" s="48">
        <f>IFERROR(SUMIF(Source_PL!$A:$A,"Net Operating Income",Source_PL!B:M)/ABS(SUMIF(Source_PL!$A:$A,"8000 Interest Expense",Source_PL!B:M)),99)</f>
        <v>-106.51007637368467</v>
      </c>
      <c r="H53" s="47">
        <f>D53*12</f>
        <v>36</v>
      </c>
      <c r="I53" s="18" t="str">
        <f>IF(G53&gt;=H53,"G",IF(G53&gt;=H53*0.8,"Y","R"))</f>
        <v>R</v>
      </c>
      <c r="K53" s="47">
        <f>IFERROR(SUMIF(Source_PL!$A:$A,"Net Operating Income",Source_PL!B:M)/ABS(SUMIF(Source_PL!$A:$A,"8000 Interest Expense",Source_PL!B:M)),99)</f>
        <v>-106.51007637368467</v>
      </c>
      <c r="L53" s="20" t="str">
        <f>IF(C53&gt;G53*1.05,"U",IF(C53&lt;G53*0.95,"D","F"))</f>
        <v>U</v>
      </c>
      <c r="M53" s="11"/>
    </row>
    <row r="56" spans="2:14" ht="18.75" x14ac:dyDescent="0.3">
      <c r="B56" s="12" t="s">
        <v>47</v>
      </c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</row>
    <row r="57" spans="2:14" x14ac:dyDescent="0.25">
      <c r="B57" s="14" t="s">
        <v>16</v>
      </c>
      <c r="C57" s="14" t="s">
        <v>13</v>
      </c>
      <c r="D57" s="14" t="s">
        <v>17</v>
      </c>
      <c r="E57" s="14" t="s">
        <v>18</v>
      </c>
      <c r="F57" s="14"/>
      <c r="G57" s="14" t="s">
        <v>19</v>
      </c>
      <c r="H57" s="14" t="s">
        <v>20</v>
      </c>
      <c r="I57" s="14" t="s">
        <v>21</v>
      </c>
      <c r="J57" s="14"/>
      <c r="K57" s="14" t="s">
        <v>22</v>
      </c>
      <c r="L57" s="14" t="s">
        <v>23</v>
      </c>
      <c r="M57" s="14" t="s">
        <v>24</v>
      </c>
    </row>
    <row r="58" spans="2:14" ht="18.75" x14ac:dyDescent="0.25">
      <c r="B58" s="21" t="s">
        <v>48</v>
      </c>
      <c r="C58" s="22">
        <f>SUMIF(Source_PL!$A:$A,"Net Income",Source_PL!M:M)+ABS(SUMIF(Source_PL!$A:$A,"6090 Depreciation Expense",Source_PL!M:M))</f>
        <v>54320.999999999825</v>
      </c>
      <c r="D58" s="23">
        <f>Dashboard_Control!E40</f>
        <v>0</v>
      </c>
      <c r="E58" s="24" t="str">
        <f>IF(C58&gt;=D58,"G",IF(C58&gt;=D58*0.8,"Y","R"))</f>
        <v>G</v>
      </c>
      <c r="G58" s="25">
        <f>SUMIF(Source_PL!$A:$A,"Net Income",Source_PL!B:M)+ABS(SUMIF(Source_PL!$A:$A,"6090 Depreciation Expense",Source_PL!B:M))</f>
        <v>-540314.37999999989</v>
      </c>
      <c r="H58" s="23">
        <f>D58*12</f>
        <v>0</v>
      </c>
      <c r="I58" s="24" t="str">
        <f>IF(G58&gt;=H58,"G",IF(G58&gt;=H58*0.8,"Y","R"))</f>
        <v>R</v>
      </c>
      <c r="K58" s="23">
        <f>SUMIF(Source_PL!$A:$A,"Net Income",Source_PL!B:M)+ABS(SUMIF(Source_PL!$A:$A,"6090 Depreciation Expense",Source_PL!B:M))</f>
        <v>-540314.37999999989</v>
      </c>
      <c r="L58" s="26" t="str">
        <f>IF(C58&gt;G58*1.05,"U",IF(C58&lt;G58*0.95,"D","F"))</f>
        <v>U</v>
      </c>
      <c r="M58" s="27"/>
    </row>
    <row r="59" spans="2:14" ht="18.75" x14ac:dyDescent="0.25">
      <c r="B59" s="15" t="s">
        <v>49</v>
      </c>
      <c r="C59" s="16">
        <f>SUMIF(Source_PL!$A:$A,"Net Income",Source_PL!M:M)+ABS(SUMIF(Source_PL!$A:$A,"6090 Depreciation Expense",Source_PL!M:M))</f>
        <v>54320.999999999825</v>
      </c>
      <c r="D59" s="17">
        <f>Dashboard_Control!E41</f>
        <v>0</v>
      </c>
      <c r="E59" s="18" t="str">
        <f>IF(C59&gt;=D59,"G",IF(C59&gt;=D59*0.8,"Y","R"))</f>
        <v>G</v>
      </c>
      <c r="G59" s="19">
        <f>SUMIF(Source_PL!$A:$A,"Net Income",Source_PL!B:M)+ABS(SUMIF(Source_PL!$A:$A,"6090 Depreciation Expense",Source_PL!B:M))</f>
        <v>-540314.37999999989</v>
      </c>
      <c r="H59" s="17">
        <f>D59*12</f>
        <v>0</v>
      </c>
      <c r="I59" s="18" t="str">
        <f>IF(G59&gt;=H59,"G",IF(G59&gt;=H59*0.8,"Y","R"))</f>
        <v>R</v>
      </c>
      <c r="K59" s="17">
        <f>SUMIF(Source_PL!$A:$A,"Net Income",Source_PL!B:M)+ABS(SUMIF(Source_PL!$A:$A,"6090 Depreciation Expense",Source_PL!B:M))</f>
        <v>-540314.37999999989</v>
      </c>
      <c r="L59" s="20" t="str">
        <f>IF(C59&gt;G59*1.05,"U",IF(C59&lt;G59*0.95,"D","F"))</f>
        <v>U</v>
      </c>
      <c r="M59" s="11"/>
    </row>
    <row r="60" spans="2:14" ht="18.75" x14ac:dyDescent="0.25">
      <c r="B60" s="21" t="s">
        <v>50</v>
      </c>
      <c r="C60" s="22">
        <f>SUMIF(Source_BS!$A:$A,"Total for Bank Accounts",Source_BS!L:L)-SUMIF(Source_BS!$A:$A,"Total for Bank Accounts",Source_BS!M:M)</f>
        <v>-150123.25999999989</v>
      </c>
      <c r="D60" s="23">
        <f>Dashboard_Control!E42</f>
        <v>0</v>
      </c>
      <c r="E60" s="24" t="str">
        <f>IF(C60&lt;=D60,"G",IF(C60&lt;=D60*1.2,"Y","R"))</f>
        <v>G</v>
      </c>
      <c r="G60" s="25">
        <f>SUMIF(Source_BS!$A:$A,"Total for Bank Accounts",Source_BS!L:L)-SUMIF(Source_BS!$A:$A,"Total for Bank Accounts",Source_BS!M:M)</f>
        <v>-150123.25999999989</v>
      </c>
      <c r="H60" s="23">
        <f>D60*12</f>
        <v>0</v>
      </c>
      <c r="I60" s="24" t="str">
        <f>IF(G60&lt;=H60,"G",IF(G60&lt;=H60*1.2,"Y","R"))</f>
        <v>G</v>
      </c>
      <c r="K60" s="23">
        <f>SUMIF(Source_BS!$A:$A,"Total for Bank Accounts",Source_BS!L:L)-SUMIF(Source_BS!$A:$A,"Total for Bank Accounts",Source_BS!M:M)</f>
        <v>-150123.25999999989</v>
      </c>
      <c r="L60" s="26" t="str">
        <f>IF(C60&lt;G60*0.95,"U",IF(C60&gt;G60*1.05,"D","F"))</f>
        <v>U</v>
      </c>
      <c r="M60" s="27"/>
    </row>
    <row r="61" spans="2:14" ht="18.75" x14ac:dyDescent="0.25">
      <c r="B61" s="15" t="s">
        <v>51</v>
      </c>
      <c r="C61" s="46">
        <f>IFERROR(SUMIF(Source_BS!$A:$A,"Total for Bank Accounts",Source_BS!M:M)/(SUMIF(Source_BS!$A:$A,"Total for Bank Accounts",Source_BS!L:L)-SUMIF(Source_BS!$A:$A,"Total for Bank Accounts",Source_BS!M:M)),999)</f>
        <v>-2.8125994599371227</v>
      </c>
      <c r="D61" s="47">
        <f>Dashboard_Control!E43</f>
        <v>12</v>
      </c>
      <c r="E61" s="18" t="str">
        <f>IF(C61&gt;=D61,"G",IF(C61&gt;=D61*0.8,"Y","R"))</f>
        <v>R</v>
      </c>
      <c r="G61" s="48">
        <f>IFERROR(SUMIF(Source_BS!$A:$A,"Total for Bank Accounts",Source_BS!M:M)/(SUMIF(Source_BS!$A:$A,"Total for Bank Accounts",Source_BS!L:L)-SUMIF(Source_BS!$A:$A,"Total for Bank Accounts",Source_BS!M:M)),999)</f>
        <v>-2.8125994599371227</v>
      </c>
      <c r="H61" s="47">
        <f>D61*12</f>
        <v>144</v>
      </c>
      <c r="I61" s="18" t="str">
        <f>IF(G61&gt;=H61,"G",IF(G61&gt;=H61*0.8,"Y","R"))</f>
        <v>R</v>
      </c>
      <c r="K61" s="47">
        <f>IFERROR(SUMIF(Source_BS!$A:$A,"Total for Bank Accounts",Source_BS!M:M)/(SUMIF(Source_BS!$A:$A,"Total for Bank Accounts",Source_BS!L:L)-SUMIF(Source_BS!$A:$A,"Total for Bank Accounts",Source_BS!M:M)),999)</f>
        <v>-2.8125994599371227</v>
      </c>
      <c r="L61" s="20" t="str">
        <f>IF(C61&gt;G61*1.05,"U",IF(C61&lt;G61*0.95,"D","F"))</f>
        <v>U</v>
      </c>
      <c r="M61" s="11"/>
    </row>
    <row r="64" spans="2:14" ht="18.75" x14ac:dyDescent="0.3">
      <c r="B64" s="12" t="s">
        <v>52</v>
      </c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</row>
    <row r="66" spans="2:6" x14ac:dyDescent="0.25">
      <c r="B66" s="49" t="s">
        <v>53</v>
      </c>
      <c r="C66" s="49" t="s">
        <v>4</v>
      </c>
      <c r="D66" s="49" t="s">
        <v>5</v>
      </c>
      <c r="E66" s="49" t="s">
        <v>6</v>
      </c>
      <c r="F66" s="49" t="s">
        <v>54</v>
      </c>
    </row>
    <row r="67" spans="2:6" x14ac:dyDescent="0.25">
      <c r="B67" s="50" t="s">
        <v>55</v>
      </c>
      <c r="C67" s="6">
        <f>SUMIF(Source_PL!$A:$A,"Total for Income",Source_PL!B:B)</f>
        <v>165123.75</v>
      </c>
      <c r="D67" s="6">
        <f>SUMIF(Source_PL!$A:$A,"Net Income",Source_PL!B:B)</f>
        <v>-540469.17999999993</v>
      </c>
      <c r="E67" s="51">
        <f>IFERROR(SUMIF(Source_PL!$A:$A,"Gross Profit",Source_PL!B:B)/SUMIF(Source_PL!$A:$A,"Total for Income",Source_PL!B:B),0)</f>
        <v>-1.616933602828182</v>
      </c>
      <c r="F67" s="6">
        <f>SUMIF(Source_BS!$A:$A,"Total for Bank Accounts",Source_BS!B:B)</f>
        <v>313403.98</v>
      </c>
    </row>
    <row r="68" spans="2:6" x14ac:dyDescent="0.25">
      <c r="B68" s="50" t="s">
        <v>56</v>
      </c>
      <c r="C68" s="6">
        <f>SUMIF(Source_PL!$A:$A,"Total for Income",Source_PL!C:C)</f>
        <v>121759.1</v>
      </c>
      <c r="D68" s="6">
        <f>SUMIF(Source_PL!$A:$A,"Net Income",Source_PL!C:C)</f>
        <v>-173718.43999999989</v>
      </c>
      <c r="E68" s="51">
        <f>IFERROR(SUMIF(Source_PL!$A:$A,"Gross Profit",Source_PL!C:C)/SUMIF(Source_PL!$A:$A,"Total for Income",Source_PL!C:C),0)</f>
        <v>0.65485717289303225</v>
      </c>
      <c r="F68" s="6">
        <f>SUMIF(Source_BS!$A:$A,"Total for Bank Accounts",Source_BS!C:C)</f>
        <v>195849.93</v>
      </c>
    </row>
    <row r="69" spans="2:6" x14ac:dyDescent="0.25">
      <c r="B69" s="50" t="s">
        <v>57</v>
      </c>
      <c r="C69" s="6">
        <f>SUMIF(Source_PL!$A:$A,"Total for Income",Source_PL!D:D)</f>
        <v>711391.42</v>
      </c>
      <c r="D69" s="6">
        <f>SUMIF(Source_PL!$A:$A,"Net Income",Source_PL!D:D)</f>
        <v>239763.25000000009</v>
      </c>
      <c r="E69" s="51">
        <f>IFERROR(SUMIF(Source_PL!$A:$A,"Gross Profit",Source_PL!D:D)/SUMIF(Source_PL!$A:$A,"Total for Income",Source_PL!D:D),0)</f>
        <v>0.9302102772057611</v>
      </c>
      <c r="F69" s="6">
        <f>SUMIF(Source_BS!$A:$A,"Total for Bank Accounts",Source_BS!D:D)</f>
        <v>391811.53000000009</v>
      </c>
    </row>
    <row r="70" spans="2:6" x14ac:dyDescent="0.25">
      <c r="B70" s="50" t="s">
        <v>58</v>
      </c>
      <c r="C70" s="6">
        <f>SUMIF(Source_PL!$A:$A,"Total for Income",Source_PL!E:E)</f>
        <v>217033.56</v>
      </c>
      <c r="D70" s="6">
        <f>SUMIF(Source_PL!$A:$A,"Net Income",Source_PL!E:E)</f>
        <v>-43761.250000000087</v>
      </c>
      <c r="E70" s="51">
        <f>IFERROR(SUMIF(Source_PL!$A:$A,"Gross Profit",Source_PL!E:E)/SUMIF(Source_PL!$A:$A,"Total for Income",Source_PL!E:E),0)</f>
        <v>0.98360433289671878</v>
      </c>
      <c r="F70" s="6">
        <f>SUMIF(Source_BS!$A:$A,"Total for Bank Accounts",Source_BS!E:E)</f>
        <v>293335.58</v>
      </c>
    </row>
    <row r="71" spans="2:6" x14ac:dyDescent="0.25">
      <c r="B71" s="50" t="s">
        <v>59</v>
      </c>
      <c r="C71" s="6">
        <f>SUMIF(Source_PL!$A:$A,"Total for Income",Source_PL!F:F)</f>
        <v>391584.49</v>
      </c>
      <c r="D71" s="6">
        <f>SUMIF(Source_PL!$A:$A,"Net Income",Source_PL!F:F)</f>
        <v>74515.73000000004</v>
      </c>
      <c r="E71" s="51">
        <f>IFERROR(SUMIF(Source_PL!$A:$A,"Gross Profit",Source_PL!F:F)/SUMIF(Source_PL!$A:$A,"Total for Income",Source_PL!F:F),0)</f>
        <v>0.91459832844758493</v>
      </c>
      <c r="F71" s="6">
        <f>SUMIF(Source_BS!$A:$A,"Total for Bank Accounts",Source_BS!F:F)</f>
        <v>320775.02000000008</v>
      </c>
    </row>
    <row r="72" spans="2:6" x14ac:dyDescent="0.25">
      <c r="B72" s="50" t="s">
        <v>60</v>
      </c>
      <c r="C72" s="6">
        <f>SUMIF(Source_PL!$A:$A,"Total for Income",Source_PL!G:G)</f>
        <v>271821.98</v>
      </c>
      <c r="D72" s="6">
        <f>SUMIF(Source_PL!$A:$A,"Net Income",Source_PL!G:G)</f>
        <v>13486.59000000008</v>
      </c>
      <c r="E72" s="51">
        <f>IFERROR(SUMIF(Source_PL!$A:$A,"Gross Profit",Source_PL!G:G)/SUMIF(Source_PL!$A:$A,"Total for Income",Source_PL!G:G),0)</f>
        <v>0.97450364389222688</v>
      </c>
      <c r="F72" s="6">
        <f>SUMIF(Source_BS!$A:$A,"Total for Bank Accounts",Source_BS!G:G)</f>
        <v>197483.93000000011</v>
      </c>
    </row>
    <row r="73" spans="2:6" x14ac:dyDescent="0.25">
      <c r="B73" s="50" t="s">
        <v>61</v>
      </c>
      <c r="C73" s="6">
        <f>SUMIF(Source_PL!$A:$A,"Total for Income",Source_PL!H:H)</f>
        <v>440913.28</v>
      </c>
      <c r="D73" s="6">
        <f>SUMIF(Source_PL!$A:$A,"Net Income",Source_PL!H:H)</f>
        <v>-4721.8999999999069</v>
      </c>
      <c r="E73" s="51">
        <f>IFERROR(SUMIF(Source_PL!$A:$A,"Gross Profit",Source_PL!H:H)/SUMIF(Source_PL!$A:$A,"Total for Income",Source_PL!H:H),0)</f>
        <v>0.70710414982284042</v>
      </c>
      <c r="F73" s="6">
        <f>SUMIF(Source_BS!$A:$A,"Total for Bank Accounts",Source_BS!H:H)</f>
        <v>260554.57000000009</v>
      </c>
    </row>
    <row r="74" spans="2:6" x14ac:dyDescent="0.25">
      <c r="B74" s="50" t="s">
        <v>62</v>
      </c>
      <c r="C74" s="6">
        <f>SUMIF(Source_PL!$A:$A,"Total for Income",Source_PL!I:I)</f>
        <v>574896.40999999992</v>
      </c>
      <c r="D74" s="6">
        <f>SUMIF(Source_PL!$A:$A,"Net Income",Source_PL!I:I)</f>
        <v>-82622.280000000144</v>
      </c>
      <c r="E74" s="51">
        <f>IFERROR(SUMIF(Source_PL!$A:$A,"Gross Profit",Source_PL!I:I)/SUMIF(Source_PL!$A:$A,"Total for Income",Source_PL!I:I),0)</f>
        <v>0.46259309568483831</v>
      </c>
      <c r="F74" s="6">
        <f>SUMIF(Source_BS!$A:$A,"Total for Bank Accounts",Source_BS!I:I)</f>
        <v>229403.60000000009</v>
      </c>
    </row>
    <row r="75" spans="2:6" x14ac:dyDescent="0.25">
      <c r="B75" s="50" t="s">
        <v>63</v>
      </c>
      <c r="C75" s="6">
        <f>SUMIF(Source_PL!$A:$A,"Total for Income",Source_PL!J:J)</f>
        <v>456264.92</v>
      </c>
      <c r="D75" s="6">
        <f>SUMIF(Source_PL!$A:$A,"Net Income",Source_PL!J:J)</f>
        <v>55609.870000000054</v>
      </c>
      <c r="E75" s="51">
        <f>IFERROR(SUMIF(Source_PL!$A:$A,"Gross Profit",Source_PL!J:J)/SUMIF(Source_PL!$A:$A,"Total for Income",Source_PL!J:J),0)</f>
        <v>0.66838118959485204</v>
      </c>
      <c r="F75" s="6">
        <f>SUMIF(Source_BS!$A:$A,"Total for Bank Accounts",Source_BS!J:J)</f>
        <v>318006.85000000009</v>
      </c>
    </row>
    <row r="76" spans="2:6" x14ac:dyDescent="0.25">
      <c r="B76" s="50" t="s">
        <v>64</v>
      </c>
      <c r="C76" s="6">
        <f>SUMIF(Source_PL!$A:$A,"Total for Income",Source_PL!K:K)</f>
        <v>322167.76</v>
      </c>
      <c r="D76" s="6">
        <f>SUMIF(Source_PL!$A:$A,"Net Income",Source_PL!K:K)</f>
        <v>-59395.530000000028</v>
      </c>
      <c r="E76" s="51">
        <f>IFERROR(SUMIF(Source_PL!$A:$A,"Gross Profit",Source_PL!K:K)/SUMIF(Source_PL!$A:$A,"Total for Income",Source_PL!K:K),0)</f>
        <v>0.41160543190293153</v>
      </c>
      <c r="F76" s="6">
        <f>SUMIF(Source_BS!$A:$A,"Total for Bank Accounts",Source_BS!K:K)</f>
        <v>198610.31000000011</v>
      </c>
    </row>
    <row r="77" spans="2:6" x14ac:dyDescent="0.25">
      <c r="B77" s="50" t="s">
        <v>65</v>
      </c>
      <c r="C77" s="6">
        <f>SUMIF(Source_PL!$A:$A,"Total for Income",Source_PL!L:L)</f>
        <v>595721.19000000006</v>
      </c>
      <c r="D77" s="6">
        <f>SUMIF(Source_PL!$A:$A,"Net Income",Source_PL!L:L)</f>
        <v>86865.290000000037</v>
      </c>
      <c r="E77" s="51">
        <f>IFERROR(SUMIF(Source_PL!$A:$A,"Gross Profit",Source_PL!L:L)/SUMIF(Source_PL!$A:$A,"Total for Income",Source_PL!L:L),0)</f>
        <v>0.64617651086072658</v>
      </c>
      <c r="F77" s="6">
        <f>SUMIF(Source_BS!$A:$A,"Total for Bank Accounts",Source_BS!L:L)</f>
        <v>272113.34000000008</v>
      </c>
    </row>
    <row r="78" spans="2:6" x14ac:dyDescent="0.25">
      <c r="B78" s="50" t="s">
        <v>66</v>
      </c>
      <c r="C78" s="6">
        <f>SUMIF(Source_PL!$A:$A,"Total for Income",Source_PL!M:M)</f>
        <v>715798.33</v>
      </c>
      <c r="D78" s="6">
        <f>SUMIF(Source_PL!$A:$A,"Net Income",Source_PL!M:M)</f>
        <v>-190181.89000000019</v>
      </c>
      <c r="E78" s="51">
        <f>IFERROR(SUMIF(Source_PL!$A:$A,"Gross Profit",Source_PL!M:M)/SUMIF(Source_PL!$A:$A,"Total for Income",Source_PL!M:M),0)</f>
        <v>0.68630813933304369</v>
      </c>
      <c r="F78" s="6">
        <f>SUMIF(Source_BS!$A:$A,"Total for Bank Accounts",Source_BS!M:M)</f>
        <v>422236.6</v>
      </c>
    </row>
  </sheetData>
  <mergeCells count="20">
    <mergeCell ref="B2:L2"/>
    <mergeCell ref="L8:M8"/>
    <mergeCell ref="B8:C8"/>
    <mergeCell ref="F8:G8"/>
    <mergeCell ref="D7:E7"/>
    <mergeCell ref="H7:I7"/>
    <mergeCell ref="J7:K7"/>
    <mergeCell ref="D8:E8"/>
    <mergeCell ref="H8:I8"/>
    <mergeCell ref="J8:K8"/>
    <mergeCell ref="L7:M7"/>
    <mergeCell ref="B7:C7"/>
    <mergeCell ref="B3:L3"/>
    <mergeCell ref="H9:I9"/>
    <mergeCell ref="F7:G7"/>
    <mergeCell ref="J9:K9"/>
    <mergeCell ref="B9:C9"/>
    <mergeCell ref="D9:E9"/>
    <mergeCell ref="F9:G9"/>
    <mergeCell ref="L9:M9"/>
  </mergeCells>
  <conditionalFormatting sqref="E20:E28">
    <cfRule type="expression" dxfId="39" priority="1">
      <formula>E20="G"</formula>
    </cfRule>
    <cfRule type="expression" dxfId="38" priority="2">
      <formula>E20="Y"</formula>
    </cfRule>
    <cfRule type="expression" dxfId="37" priority="3">
      <formula>E20="R"</formula>
    </cfRule>
  </conditionalFormatting>
  <conditionalFormatting sqref="I20:I28">
    <cfRule type="expression" dxfId="36" priority="4">
      <formula>I20="G"</formula>
    </cfRule>
    <cfRule type="expression" dxfId="35" priority="5">
      <formula>I20="Y"</formula>
    </cfRule>
    <cfRule type="expression" dxfId="34" priority="6">
      <formula>I20="R"</formula>
    </cfRule>
  </conditionalFormatting>
  <conditionalFormatting sqref="L20:L28">
    <cfRule type="expression" dxfId="33" priority="7">
      <formula>L20="U"</formula>
    </cfRule>
    <cfRule type="expression" dxfId="32" priority="8">
      <formula>L20="D"</formula>
    </cfRule>
  </conditionalFormatting>
  <conditionalFormatting sqref="E34:E37">
    <cfRule type="expression" dxfId="31" priority="9">
      <formula>E34="G"</formula>
    </cfRule>
    <cfRule type="expression" dxfId="30" priority="10">
      <formula>E34="Y"</formula>
    </cfRule>
    <cfRule type="expression" dxfId="29" priority="11">
      <formula>E34="R"</formula>
    </cfRule>
  </conditionalFormatting>
  <conditionalFormatting sqref="I34:I37">
    <cfRule type="expression" dxfId="28" priority="12">
      <formula>I34="G"</formula>
    </cfRule>
    <cfRule type="expression" dxfId="27" priority="13">
      <formula>I34="Y"</formula>
    </cfRule>
    <cfRule type="expression" dxfId="26" priority="14">
      <formula>I34="R"</formula>
    </cfRule>
  </conditionalFormatting>
  <conditionalFormatting sqref="L34:L37">
    <cfRule type="expression" dxfId="25" priority="15">
      <formula>L34="U"</formula>
    </cfRule>
    <cfRule type="expression" dxfId="24" priority="16">
      <formula>L34="D"</formula>
    </cfRule>
  </conditionalFormatting>
  <conditionalFormatting sqref="E43:E45">
    <cfRule type="expression" dxfId="23" priority="17">
      <formula>E43="G"</formula>
    </cfRule>
    <cfRule type="expression" dxfId="22" priority="18">
      <formula>E43="Y"</formula>
    </cfRule>
    <cfRule type="expression" dxfId="21" priority="19">
      <formula>E43="R"</formula>
    </cfRule>
  </conditionalFormatting>
  <conditionalFormatting sqref="I43:I45">
    <cfRule type="expression" dxfId="20" priority="20">
      <formula>I43="G"</formula>
    </cfRule>
    <cfRule type="expression" dxfId="19" priority="21">
      <formula>I43="Y"</formula>
    </cfRule>
    <cfRule type="expression" dxfId="18" priority="22">
      <formula>I43="R"</formula>
    </cfRule>
  </conditionalFormatting>
  <conditionalFormatting sqref="L43:L45">
    <cfRule type="expression" dxfId="17" priority="23">
      <formula>L43="U"</formula>
    </cfRule>
    <cfRule type="expression" dxfId="16" priority="24">
      <formula>L43="D"</formula>
    </cfRule>
  </conditionalFormatting>
  <conditionalFormatting sqref="E51:E53">
    <cfRule type="expression" dxfId="15" priority="25">
      <formula>E51="G"</formula>
    </cfRule>
    <cfRule type="expression" dxfId="14" priority="26">
      <formula>E51="Y"</formula>
    </cfRule>
    <cfRule type="expression" dxfId="13" priority="27">
      <formula>E51="R"</formula>
    </cfRule>
  </conditionalFormatting>
  <conditionalFormatting sqref="I51:I53">
    <cfRule type="expression" dxfId="12" priority="28">
      <formula>I51="G"</formula>
    </cfRule>
    <cfRule type="expression" dxfId="11" priority="29">
      <formula>I51="Y"</formula>
    </cfRule>
    <cfRule type="expression" dxfId="10" priority="30">
      <formula>I51="R"</formula>
    </cfRule>
  </conditionalFormatting>
  <conditionalFormatting sqref="L51:L53">
    <cfRule type="expression" dxfId="9" priority="31">
      <formula>L51="U"</formula>
    </cfRule>
    <cfRule type="expression" dxfId="8" priority="32">
      <formula>L51="D"</formula>
    </cfRule>
  </conditionalFormatting>
  <conditionalFormatting sqref="E59:E61">
    <cfRule type="expression" dxfId="7" priority="33">
      <formula>E59="G"</formula>
    </cfRule>
    <cfRule type="expression" dxfId="6" priority="34">
      <formula>E59="Y"</formula>
    </cfRule>
    <cfRule type="expression" dxfId="5" priority="35">
      <formula>E59="R"</formula>
    </cfRule>
  </conditionalFormatting>
  <conditionalFormatting sqref="I59:I61">
    <cfRule type="expression" dxfId="4" priority="36">
      <formula>I59="G"</formula>
    </cfRule>
    <cfRule type="expression" dxfId="3" priority="37">
      <formula>I59="Y"</formula>
    </cfRule>
    <cfRule type="expression" dxfId="2" priority="38">
      <formula>I59="R"</formula>
    </cfRule>
  </conditionalFormatting>
  <conditionalFormatting sqref="L59:L61">
    <cfRule type="expression" dxfId="1" priority="39">
      <formula>L59="U"</formula>
    </cfRule>
    <cfRule type="expression" dxfId="0" priority="40">
      <formula>L59="D"</formula>
    </cfRule>
  </conditionalFormatting>
  <pageMargins left="0.5" right="0.5" top="0.5" bottom="0.5" header="0.5" footer="0.5"/>
  <pageSetup fitToHeight="0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C10"/>
  <sheetViews>
    <sheetView workbookViewId="0"/>
  </sheetViews>
  <sheetFormatPr defaultRowHeight="15" x14ac:dyDescent="0.25"/>
  <cols>
    <col min="2" max="2" width="56.5703125" bestFit="1" customWidth="1"/>
    <col min="3" max="3" width="7" bestFit="1" customWidth="1"/>
  </cols>
  <sheetData>
    <row r="2" spans="2:3" ht="31.5" customHeight="1" x14ac:dyDescent="0.5">
      <c r="B2" s="10" t="s">
        <v>0</v>
      </c>
    </row>
    <row r="3" spans="2:3" ht="18.75" customHeight="1" x14ac:dyDescent="0.3">
      <c r="B3" s="2" t="s">
        <v>67</v>
      </c>
    </row>
    <row r="5" spans="2:3" x14ac:dyDescent="0.25">
      <c r="B5" t="s">
        <v>68</v>
      </c>
      <c r="C5" s="1">
        <v>45627</v>
      </c>
    </row>
    <row r="7" spans="2:3" x14ac:dyDescent="0.25">
      <c r="B7" s="4" t="s">
        <v>69</v>
      </c>
    </row>
    <row r="8" spans="2:3" x14ac:dyDescent="0.25">
      <c r="B8" t="s">
        <v>70</v>
      </c>
    </row>
    <row r="9" spans="2:3" x14ac:dyDescent="0.25">
      <c r="B9" t="s">
        <v>71</v>
      </c>
    </row>
    <row r="10" spans="2:3" x14ac:dyDescent="0.25">
      <c r="B10" t="s">
        <v>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102"/>
  <sheetViews>
    <sheetView workbookViewId="0"/>
  </sheetViews>
  <sheetFormatPr defaultRowHeight="15" x14ac:dyDescent="0.25"/>
  <cols>
    <col min="1" max="1" width="41.7109375" bestFit="1" customWidth="1"/>
    <col min="2" max="3" width="10.7109375" bestFit="1" customWidth="1"/>
    <col min="4" max="10" width="10" bestFit="1" customWidth="1"/>
    <col min="11" max="11" width="10.7109375" bestFit="1" customWidth="1"/>
    <col min="12" max="12" width="10" bestFit="1" customWidth="1"/>
    <col min="13" max="13" width="10.7109375" bestFit="1" customWidth="1"/>
  </cols>
  <sheetData>
    <row r="1" spans="1:13" x14ac:dyDescent="0.25">
      <c r="A1" t="s">
        <v>73</v>
      </c>
      <c r="B1" s="1">
        <v>45292</v>
      </c>
      <c r="C1" s="1">
        <v>45323</v>
      </c>
      <c r="D1" s="1">
        <v>45352</v>
      </c>
      <c r="E1" s="1">
        <v>45383</v>
      </c>
      <c r="F1" s="1">
        <v>45413</v>
      </c>
      <c r="G1" s="1">
        <v>45444</v>
      </c>
      <c r="H1" s="1">
        <v>45474</v>
      </c>
      <c r="I1" s="1">
        <v>45505</v>
      </c>
      <c r="J1" s="1">
        <v>45536</v>
      </c>
      <c r="K1" s="1">
        <v>45566</v>
      </c>
      <c r="L1" s="1">
        <v>45597</v>
      </c>
      <c r="M1" s="1">
        <v>45627</v>
      </c>
    </row>
    <row r="2" spans="1:13" x14ac:dyDescent="0.25">
      <c r="A2" t="s">
        <v>74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</row>
    <row r="3" spans="1:13" x14ac:dyDescent="0.25">
      <c r="A3" t="s">
        <v>75</v>
      </c>
      <c r="B3">
        <v>161373.18</v>
      </c>
      <c r="C3">
        <v>121704</v>
      </c>
      <c r="D3">
        <v>711615.3</v>
      </c>
      <c r="E3">
        <v>184733.67</v>
      </c>
      <c r="F3">
        <v>64915.92</v>
      </c>
      <c r="G3">
        <v>26798</v>
      </c>
      <c r="H3">
        <v>0</v>
      </c>
      <c r="I3">
        <v>0</v>
      </c>
      <c r="J3">
        <v>0</v>
      </c>
      <c r="K3">
        <v>22701.33</v>
      </c>
      <c r="L3">
        <v>0</v>
      </c>
      <c r="M3">
        <v>0</v>
      </c>
    </row>
    <row r="4" spans="1:13" x14ac:dyDescent="0.25">
      <c r="A4" t="s">
        <v>76</v>
      </c>
      <c r="B4">
        <v>0</v>
      </c>
      <c r="C4">
        <v>0</v>
      </c>
      <c r="D4">
        <v>0</v>
      </c>
      <c r="E4">
        <v>31071</v>
      </c>
      <c r="F4">
        <v>325952.78000000003</v>
      </c>
      <c r="G4">
        <v>112476.44</v>
      </c>
      <c r="H4">
        <v>319502.03000000003</v>
      </c>
      <c r="I4">
        <v>520745.67</v>
      </c>
      <c r="J4">
        <v>191940.76</v>
      </c>
      <c r="K4">
        <v>151783.79999999999</v>
      </c>
      <c r="L4">
        <v>445540.71</v>
      </c>
      <c r="M4">
        <v>536248.32999999996</v>
      </c>
    </row>
    <row r="5" spans="1:13" x14ac:dyDescent="0.25">
      <c r="A5" t="s">
        <v>77</v>
      </c>
      <c r="B5">
        <v>0</v>
      </c>
      <c r="C5">
        <v>0</v>
      </c>
      <c r="D5">
        <v>0</v>
      </c>
      <c r="E5">
        <v>0</v>
      </c>
      <c r="F5">
        <v>1660</v>
      </c>
      <c r="G5">
        <v>116167.77</v>
      </c>
      <c r="H5">
        <v>115009.68</v>
      </c>
      <c r="I5">
        <v>48829.04</v>
      </c>
      <c r="J5">
        <v>246378.58</v>
      </c>
      <c r="K5">
        <v>147682.63</v>
      </c>
      <c r="L5">
        <v>147019.51999999999</v>
      </c>
      <c r="M5">
        <v>179550</v>
      </c>
    </row>
    <row r="6" spans="1:13" x14ac:dyDescent="0.25">
      <c r="A6" t="s">
        <v>78</v>
      </c>
      <c r="B6">
        <v>4575</v>
      </c>
      <c r="C6">
        <v>0</v>
      </c>
      <c r="D6">
        <v>0</v>
      </c>
      <c r="E6">
        <v>0</v>
      </c>
      <c r="F6">
        <v>0</v>
      </c>
      <c r="G6">
        <v>9000</v>
      </c>
      <c r="H6">
        <v>0</v>
      </c>
      <c r="I6">
        <v>1607.77</v>
      </c>
      <c r="J6">
        <v>0</v>
      </c>
      <c r="K6">
        <v>0</v>
      </c>
      <c r="L6">
        <v>0</v>
      </c>
      <c r="M6">
        <v>0</v>
      </c>
    </row>
    <row r="7" spans="1:13" x14ac:dyDescent="0.25">
      <c r="A7" t="s">
        <v>79</v>
      </c>
      <c r="B7">
        <v>2.2200000000000002</v>
      </c>
      <c r="C7">
        <v>156.22</v>
      </c>
      <c r="D7">
        <v>214.52</v>
      </c>
      <c r="E7">
        <v>97.66</v>
      </c>
      <c r="F7">
        <v>111.99</v>
      </c>
      <c r="G7">
        <v>401.97</v>
      </c>
      <c r="H7">
        <v>40.5</v>
      </c>
      <c r="I7">
        <v>241.12</v>
      </c>
      <c r="J7">
        <v>0</v>
      </c>
      <c r="K7">
        <v>0</v>
      </c>
      <c r="L7">
        <v>485.92</v>
      </c>
      <c r="M7">
        <v>0</v>
      </c>
    </row>
    <row r="8" spans="1:13" x14ac:dyDescent="0.25">
      <c r="A8" t="s">
        <v>80</v>
      </c>
      <c r="B8">
        <v>-826.65</v>
      </c>
      <c r="C8">
        <v>-101.12</v>
      </c>
      <c r="D8">
        <v>-438.4</v>
      </c>
      <c r="E8">
        <v>-623.87</v>
      </c>
      <c r="F8">
        <v>-1056.2</v>
      </c>
      <c r="G8">
        <v>-22.2</v>
      </c>
      <c r="H8">
        <v>-846.7</v>
      </c>
      <c r="I8">
        <v>-419.42</v>
      </c>
      <c r="J8">
        <v>-392.82</v>
      </c>
      <c r="K8">
        <v>0</v>
      </c>
      <c r="L8">
        <v>-1824.96</v>
      </c>
      <c r="M8">
        <v>0</v>
      </c>
    </row>
    <row r="9" spans="1:13" x14ac:dyDescent="0.25">
      <c r="A9" t="s">
        <v>81</v>
      </c>
      <c r="B9">
        <v>0</v>
      </c>
      <c r="C9">
        <v>0</v>
      </c>
      <c r="D9">
        <v>0</v>
      </c>
      <c r="E9">
        <v>0</v>
      </c>
      <c r="F9">
        <v>0</v>
      </c>
      <c r="G9">
        <v>7000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</row>
    <row r="10" spans="1:13" x14ac:dyDescent="0.25">
      <c r="A10" t="s">
        <v>82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5600</v>
      </c>
      <c r="I10">
        <v>5500</v>
      </c>
      <c r="J10">
        <v>0</v>
      </c>
      <c r="K10">
        <v>0</v>
      </c>
      <c r="L10">
        <v>4500</v>
      </c>
      <c r="M10">
        <v>0</v>
      </c>
    </row>
    <row r="11" spans="1:13" x14ac:dyDescent="0.25">
      <c r="A11" t="s">
        <v>83</v>
      </c>
      <c r="B11">
        <v>165123.75</v>
      </c>
      <c r="C11">
        <v>121759.1</v>
      </c>
      <c r="D11">
        <v>711391.42</v>
      </c>
      <c r="E11">
        <v>215278.46</v>
      </c>
      <c r="F11">
        <v>391584.49</v>
      </c>
      <c r="G11">
        <v>271821.98</v>
      </c>
      <c r="H11">
        <v>439305.51</v>
      </c>
      <c r="I11">
        <v>576504.17999999993</v>
      </c>
      <c r="J11">
        <v>437926.52</v>
      </c>
      <c r="K11">
        <v>322167.76</v>
      </c>
      <c r="L11">
        <v>595721.19000000006</v>
      </c>
      <c r="M11">
        <v>715798.33</v>
      </c>
    </row>
    <row r="12" spans="1:13" x14ac:dyDescent="0.25">
      <c r="A12" t="s">
        <v>84</v>
      </c>
      <c r="B12">
        <v>0</v>
      </c>
      <c r="C12">
        <v>0</v>
      </c>
      <c r="D12">
        <v>0</v>
      </c>
      <c r="E12">
        <v>1755.1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</row>
    <row r="13" spans="1:13" x14ac:dyDescent="0.25">
      <c r="A13" t="s">
        <v>85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1607.77</v>
      </c>
      <c r="I13">
        <v>-1607.77</v>
      </c>
      <c r="J13">
        <v>18338.400000000001</v>
      </c>
      <c r="K13">
        <v>0</v>
      </c>
      <c r="L13">
        <v>0</v>
      </c>
      <c r="M13">
        <v>0</v>
      </c>
    </row>
    <row r="14" spans="1:13" x14ac:dyDescent="0.25">
      <c r="A14" t="s">
        <v>86</v>
      </c>
      <c r="B14">
        <v>165123.75</v>
      </c>
      <c r="C14">
        <v>121759.1</v>
      </c>
      <c r="D14">
        <v>711391.42</v>
      </c>
      <c r="E14">
        <v>217033.56</v>
      </c>
      <c r="F14">
        <v>391584.49</v>
      </c>
      <c r="G14">
        <v>271821.98</v>
      </c>
      <c r="H14">
        <v>440913.28</v>
      </c>
      <c r="I14">
        <v>574896.40999999992</v>
      </c>
      <c r="J14">
        <v>456264.92</v>
      </c>
      <c r="K14">
        <v>322167.76</v>
      </c>
      <c r="L14">
        <v>595721.19000000006</v>
      </c>
      <c r="M14">
        <v>715798.33</v>
      </c>
    </row>
    <row r="15" spans="1:13" x14ac:dyDescent="0.25">
      <c r="A15" t="s">
        <v>87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</row>
    <row r="16" spans="1:13" x14ac:dyDescent="0.25">
      <c r="A16" t="s">
        <v>88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</row>
    <row r="17" spans="1:13" x14ac:dyDescent="0.25">
      <c r="A17" t="s">
        <v>89</v>
      </c>
      <c r="B17">
        <v>401918.85</v>
      </c>
      <c r="C17">
        <v>31195.59</v>
      </c>
      <c r="D17">
        <v>3264.86</v>
      </c>
      <c r="E17">
        <v>1202.5899999999999</v>
      </c>
      <c r="F17">
        <v>26179.84</v>
      </c>
      <c r="G17">
        <v>2183.17</v>
      </c>
      <c r="H17">
        <v>86573.09</v>
      </c>
      <c r="I17">
        <v>181803.62</v>
      </c>
      <c r="J17">
        <v>31916.93</v>
      </c>
      <c r="K17">
        <v>55094.11</v>
      </c>
      <c r="L17">
        <v>8163.62</v>
      </c>
      <c r="M17">
        <v>9893.92</v>
      </c>
    </row>
    <row r="18" spans="1:13" x14ac:dyDescent="0.25">
      <c r="A18" t="s">
        <v>90</v>
      </c>
      <c r="B18">
        <v>0</v>
      </c>
      <c r="C18">
        <v>0</v>
      </c>
      <c r="D18">
        <v>0</v>
      </c>
      <c r="E18">
        <v>0</v>
      </c>
      <c r="F18">
        <v>302.47000000000003</v>
      </c>
      <c r="G18">
        <v>241.17</v>
      </c>
      <c r="H18">
        <v>30.68</v>
      </c>
      <c r="I18">
        <v>3923.93</v>
      </c>
      <c r="J18">
        <v>2356.0300000000002</v>
      </c>
      <c r="K18">
        <v>4023.39</v>
      </c>
      <c r="L18">
        <v>4053.9</v>
      </c>
      <c r="M18">
        <v>4508.6400000000003</v>
      </c>
    </row>
    <row r="19" spans="1:13" x14ac:dyDescent="0.25">
      <c r="A19" t="s">
        <v>91</v>
      </c>
      <c r="B19">
        <v>0</v>
      </c>
      <c r="C19">
        <v>0</v>
      </c>
      <c r="D19">
        <v>0</v>
      </c>
      <c r="E19">
        <v>0</v>
      </c>
      <c r="F19">
        <v>185.84</v>
      </c>
      <c r="G19">
        <v>324.89</v>
      </c>
      <c r="H19">
        <v>0</v>
      </c>
      <c r="I19">
        <v>494.4</v>
      </c>
      <c r="J19">
        <v>468.35</v>
      </c>
      <c r="K19">
        <v>1434.67</v>
      </c>
      <c r="L19">
        <v>542.66999999999996</v>
      </c>
      <c r="M19">
        <v>283.56</v>
      </c>
    </row>
    <row r="20" spans="1:13" x14ac:dyDescent="0.25">
      <c r="A20" t="s">
        <v>92</v>
      </c>
      <c r="B20">
        <v>5182.87</v>
      </c>
      <c r="C20">
        <v>0</v>
      </c>
      <c r="D20">
        <v>0</v>
      </c>
      <c r="E20">
        <v>0</v>
      </c>
      <c r="F20">
        <v>2767.82</v>
      </c>
      <c r="G20">
        <v>3881.24</v>
      </c>
      <c r="H20">
        <v>-36.33</v>
      </c>
      <c r="I20">
        <v>37151.33</v>
      </c>
      <c r="J20">
        <v>17953.62</v>
      </c>
      <c r="K20">
        <v>11235.63</v>
      </c>
      <c r="L20">
        <v>9555.0300000000007</v>
      </c>
      <c r="M20">
        <v>7321.74</v>
      </c>
    </row>
    <row r="21" spans="1:13" x14ac:dyDescent="0.25">
      <c r="A21" t="s">
        <v>93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229.83</v>
      </c>
      <c r="J21">
        <v>0</v>
      </c>
      <c r="K21">
        <v>0</v>
      </c>
      <c r="L21">
        <v>187</v>
      </c>
      <c r="M21">
        <v>518.41</v>
      </c>
    </row>
    <row r="22" spans="1:13" x14ac:dyDescent="0.25">
      <c r="A22" t="s">
        <v>94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36895.97</v>
      </c>
      <c r="J22">
        <v>82264.639999999999</v>
      </c>
      <c r="K22">
        <v>91277.73</v>
      </c>
      <c r="L22">
        <v>107220.78</v>
      </c>
      <c r="M22">
        <v>92045.01</v>
      </c>
    </row>
    <row r="23" spans="1:13" x14ac:dyDescent="0.25">
      <c r="A23" t="s">
        <v>95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1624.16</v>
      </c>
      <c r="J23">
        <v>0</v>
      </c>
      <c r="K23">
        <v>0</v>
      </c>
      <c r="L23">
        <v>3860.32</v>
      </c>
      <c r="M23">
        <v>14913.4</v>
      </c>
    </row>
    <row r="24" spans="1:13" x14ac:dyDescent="0.25">
      <c r="A24" t="s">
        <v>96</v>
      </c>
      <c r="B24">
        <v>25016.17</v>
      </c>
      <c r="C24">
        <v>10828.69</v>
      </c>
      <c r="D24">
        <v>46382.95</v>
      </c>
      <c r="E24">
        <v>2355.8200000000002</v>
      </c>
      <c r="F24">
        <v>3706</v>
      </c>
      <c r="G24">
        <v>0</v>
      </c>
      <c r="H24">
        <v>37406.730000000003</v>
      </c>
      <c r="I24">
        <v>46830.06</v>
      </c>
      <c r="J24">
        <v>16346.46</v>
      </c>
      <c r="K24">
        <v>26496.23</v>
      </c>
      <c r="L24">
        <v>71496.83</v>
      </c>
      <c r="M24">
        <v>95055.43</v>
      </c>
    </row>
    <row r="25" spans="1:13" x14ac:dyDescent="0.25">
      <c r="A25" t="s">
        <v>97</v>
      </c>
      <c r="B25">
        <v>0</v>
      </c>
      <c r="C25">
        <v>0</v>
      </c>
      <c r="D25">
        <v>0</v>
      </c>
      <c r="E25">
        <v>0</v>
      </c>
      <c r="F25">
        <v>300</v>
      </c>
      <c r="G25">
        <v>300</v>
      </c>
      <c r="H25">
        <v>0</v>
      </c>
      <c r="I25">
        <v>0</v>
      </c>
      <c r="J25">
        <v>0</v>
      </c>
      <c r="K25">
        <v>0</v>
      </c>
      <c r="L25">
        <v>5700</v>
      </c>
      <c r="M25">
        <v>0</v>
      </c>
    </row>
    <row r="26" spans="1:13" x14ac:dyDescent="0.25">
      <c r="A26" t="s">
        <v>98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5167.5</v>
      </c>
      <c r="I26">
        <v>0</v>
      </c>
      <c r="J26">
        <v>0</v>
      </c>
      <c r="K26">
        <v>0</v>
      </c>
      <c r="L26">
        <v>0</v>
      </c>
      <c r="M26">
        <v>0</v>
      </c>
    </row>
    <row r="27" spans="1:13" x14ac:dyDescent="0.25">
      <c r="A27" t="s">
        <v>99</v>
      </c>
      <c r="B27">
        <v>432117.89</v>
      </c>
      <c r="C27">
        <v>42024.28</v>
      </c>
      <c r="D27">
        <v>49647.81</v>
      </c>
      <c r="E27">
        <v>3558.41</v>
      </c>
      <c r="F27">
        <v>33441.97</v>
      </c>
      <c r="G27">
        <v>6930.4699999999993</v>
      </c>
      <c r="H27">
        <v>129141.67</v>
      </c>
      <c r="I27">
        <v>308953.29999999987</v>
      </c>
      <c r="J27">
        <v>151306.03</v>
      </c>
      <c r="K27">
        <v>189561.76</v>
      </c>
      <c r="L27">
        <v>210780.15</v>
      </c>
      <c r="M27">
        <v>224540.11</v>
      </c>
    </row>
    <row r="28" spans="1:13" x14ac:dyDescent="0.25">
      <c r="A28" t="s">
        <v>100</v>
      </c>
      <c r="B28">
        <v>432117.89</v>
      </c>
      <c r="C28">
        <v>42024.28</v>
      </c>
      <c r="D28">
        <v>49647.81</v>
      </c>
      <c r="E28">
        <v>3558.41</v>
      </c>
      <c r="F28">
        <v>33441.97</v>
      </c>
      <c r="G28">
        <v>6930.4699999999993</v>
      </c>
      <c r="H28">
        <v>129141.67</v>
      </c>
      <c r="I28">
        <v>308953.29999999987</v>
      </c>
      <c r="J28">
        <v>151306.03</v>
      </c>
      <c r="K28">
        <v>189561.76</v>
      </c>
      <c r="L28">
        <v>210780.15</v>
      </c>
      <c r="M28">
        <v>224540.11</v>
      </c>
    </row>
    <row r="29" spans="1:13" x14ac:dyDescent="0.25">
      <c r="A29" t="s">
        <v>25</v>
      </c>
      <c r="B29">
        <v>-266994.14</v>
      </c>
      <c r="C29">
        <v>79734.820000000007</v>
      </c>
      <c r="D29">
        <v>661743.6100000001</v>
      </c>
      <c r="E29">
        <v>213475.15</v>
      </c>
      <c r="F29">
        <v>358142.52</v>
      </c>
      <c r="G29">
        <v>264891.51</v>
      </c>
      <c r="H29">
        <v>311771.61</v>
      </c>
      <c r="I29">
        <v>265943.11</v>
      </c>
      <c r="J29">
        <v>304958.89</v>
      </c>
      <c r="K29">
        <v>132606</v>
      </c>
      <c r="L29">
        <v>384941.04</v>
      </c>
      <c r="M29">
        <v>491258.22</v>
      </c>
    </row>
    <row r="30" spans="1:13" x14ac:dyDescent="0.25">
      <c r="A30" t="s">
        <v>101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</row>
    <row r="31" spans="1:13" x14ac:dyDescent="0.25">
      <c r="A31" t="s">
        <v>102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</row>
    <row r="32" spans="1:13" x14ac:dyDescent="0.25">
      <c r="A32" t="s">
        <v>103</v>
      </c>
      <c r="B32">
        <v>146082.88</v>
      </c>
      <c r="C32">
        <v>149263.07</v>
      </c>
      <c r="D32">
        <v>213768.73</v>
      </c>
      <c r="E32">
        <v>145277.29</v>
      </c>
      <c r="F32">
        <v>150187.51</v>
      </c>
      <c r="G32">
        <v>157126.6</v>
      </c>
      <c r="H32">
        <v>155057.94</v>
      </c>
      <c r="I32">
        <v>223896.87</v>
      </c>
      <c r="J32">
        <v>92240.98</v>
      </c>
      <c r="K32">
        <v>112836.98</v>
      </c>
      <c r="L32">
        <v>137107.73000000001</v>
      </c>
      <c r="M32">
        <v>149071.01999999999</v>
      </c>
    </row>
    <row r="33" spans="1:13" x14ac:dyDescent="0.25">
      <c r="A33" t="s">
        <v>104</v>
      </c>
      <c r="B33">
        <v>12735.11</v>
      </c>
      <c r="C33">
        <v>12183.34</v>
      </c>
      <c r="D33">
        <v>16909.5</v>
      </c>
      <c r="E33">
        <v>10988.34</v>
      </c>
      <c r="F33">
        <v>11314.49</v>
      </c>
      <c r="G33">
        <v>10040.07</v>
      </c>
      <c r="H33">
        <v>11910</v>
      </c>
      <c r="I33">
        <v>19724.400000000001</v>
      </c>
      <c r="J33">
        <v>13216.04</v>
      </c>
      <c r="K33">
        <v>15698.18</v>
      </c>
      <c r="L33">
        <v>19095.63</v>
      </c>
      <c r="M33">
        <v>9683.64</v>
      </c>
    </row>
    <row r="34" spans="1:13" x14ac:dyDescent="0.25">
      <c r="A34" t="s">
        <v>105</v>
      </c>
      <c r="B34">
        <v>-15782.81</v>
      </c>
      <c r="C34">
        <v>-38525.99</v>
      </c>
      <c r="D34">
        <v>-17689.62</v>
      </c>
      <c r="E34">
        <v>-8311.52</v>
      </c>
      <c r="F34">
        <v>-22842.75</v>
      </c>
      <c r="G34">
        <v>-16798.86</v>
      </c>
      <c r="H34">
        <v>-18488.16</v>
      </c>
      <c r="I34">
        <v>-27246</v>
      </c>
      <c r="J34">
        <v>-20338.669999999998</v>
      </c>
      <c r="K34">
        <v>-39237.9</v>
      </c>
      <c r="L34">
        <v>-25510.25</v>
      </c>
      <c r="M34">
        <v>-33244.04</v>
      </c>
    </row>
    <row r="35" spans="1:13" x14ac:dyDescent="0.25">
      <c r="A35" t="s">
        <v>106</v>
      </c>
      <c r="B35">
        <v>143035.18</v>
      </c>
      <c r="C35">
        <v>122920.42</v>
      </c>
      <c r="D35">
        <v>212988.61</v>
      </c>
      <c r="E35">
        <v>147954.10999999999</v>
      </c>
      <c r="F35">
        <v>138659.25</v>
      </c>
      <c r="G35">
        <v>150367.81</v>
      </c>
      <c r="H35">
        <v>148479.78</v>
      </c>
      <c r="I35">
        <v>216375.27</v>
      </c>
      <c r="J35">
        <v>85118.349999999991</v>
      </c>
      <c r="K35">
        <v>89297.260000000009</v>
      </c>
      <c r="L35">
        <v>130693.11</v>
      </c>
      <c r="M35">
        <v>125510.62</v>
      </c>
    </row>
    <row r="36" spans="1:13" x14ac:dyDescent="0.25">
      <c r="A36" t="s">
        <v>107</v>
      </c>
      <c r="B36">
        <v>-6700.45</v>
      </c>
      <c r="C36">
        <v>2037.86</v>
      </c>
      <c r="D36">
        <v>7569.33</v>
      </c>
      <c r="E36">
        <v>7198.68</v>
      </c>
      <c r="F36">
        <v>8348.51</v>
      </c>
      <c r="G36">
        <v>6059.83</v>
      </c>
      <c r="H36">
        <v>5952.81</v>
      </c>
      <c r="I36">
        <v>2034.48</v>
      </c>
      <c r="J36">
        <v>1012.02</v>
      </c>
      <c r="K36">
        <v>3656.46</v>
      </c>
      <c r="L36">
        <v>10555.38</v>
      </c>
      <c r="M36">
        <v>6934.66</v>
      </c>
    </row>
    <row r="37" spans="1:13" x14ac:dyDescent="0.25">
      <c r="A37" t="s">
        <v>108</v>
      </c>
      <c r="B37">
        <v>-1.05</v>
      </c>
      <c r="C37">
        <v>-1.05</v>
      </c>
      <c r="D37">
        <v>0</v>
      </c>
      <c r="E37">
        <v>30</v>
      </c>
      <c r="F37">
        <v>0</v>
      </c>
      <c r="G37">
        <v>0</v>
      </c>
      <c r="H37">
        <v>45.95</v>
      </c>
      <c r="I37">
        <v>118.01</v>
      </c>
      <c r="J37">
        <v>363.25</v>
      </c>
      <c r="K37">
        <v>0</v>
      </c>
      <c r="L37">
        <v>446.5</v>
      </c>
      <c r="M37">
        <v>50</v>
      </c>
    </row>
    <row r="38" spans="1:13" x14ac:dyDescent="0.25">
      <c r="A38" t="s">
        <v>109</v>
      </c>
      <c r="B38">
        <v>17.09</v>
      </c>
      <c r="C38">
        <v>452.9</v>
      </c>
      <c r="D38">
        <v>445.76</v>
      </c>
      <c r="E38">
        <v>362.2</v>
      </c>
      <c r="F38">
        <v>62.14</v>
      </c>
      <c r="G38">
        <v>157.86000000000001</v>
      </c>
      <c r="H38">
        <v>208.53</v>
      </c>
      <c r="I38">
        <v>354.96</v>
      </c>
      <c r="J38">
        <v>2789.9</v>
      </c>
      <c r="K38">
        <v>456.74</v>
      </c>
      <c r="L38">
        <v>2481.6999999999998</v>
      </c>
      <c r="M38">
        <v>68.17</v>
      </c>
    </row>
    <row r="39" spans="1:13" x14ac:dyDescent="0.25">
      <c r="A39" t="s">
        <v>110</v>
      </c>
      <c r="B39">
        <v>0</v>
      </c>
      <c r="C39">
        <v>0</v>
      </c>
      <c r="D39">
        <v>0</v>
      </c>
      <c r="E39">
        <v>5000</v>
      </c>
      <c r="F39">
        <v>0</v>
      </c>
      <c r="G39">
        <v>0</v>
      </c>
      <c r="H39">
        <v>0</v>
      </c>
      <c r="I39">
        <v>105</v>
      </c>
      <c r="J39">
        <v>0</v>
      </c>
      <c r="K39">
        <v>232.92</v>
      </c>
      <c r="L39">
        <v>250</v>
      </c>
      <c r="M39">
        <v>450</v>
      </c>
    </row>
    <row r="40" spans="1:13" x14ac:dyDescent="0.25">
      <c r="A40" t="s">
        <v>111</v>
      </c>
      <c r="B40">
        <v>4000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</row>
    <row r="41" spans="1:13" x14ac:dyDescent="0.25">
      <c r="A41" t="s">
        <v>112</v>
      </c>
      <c r="B41">
        <v>4500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</row>
    <row r="42" spans="1:13" x14ac:dyDescent="0.25">
      <c r="A42" t="s">
        <v>113</v>
      </c>
      <c r="B42">
        <v>1063.5</v>
      </c>
      <c r="C42">
        <v>663.32</v>
      </c>
      <c r="D42">
        <v>975</v>
      </c>
      <c r="E42">
        <v>389.32</v>
      </c>
      <c r="F42">
        <v>1266.47</v>
      </c>
      <c r="G42">
        <v>2844.46</v>
      </c>
      <c r="H42">
        <v>0</v>
      </c>
      <c r="I42">
        <v>315.39999999999998</v>
      </c>
      <c r="J42">
        <v>1185.8599999999999</v>
      </c>
      <c r="K42">
        <v>305.33999999999997</v>
      </c>
      <c r="L42">
        <v>1525.53</v>
      </c>
      <c r="M42">
        <v>3476.38</v>
      </c>
    </row>
    <row r="43" spans="1:13" x14ac:dyDescent="0.25">
      <c r="A43" t="s">
        <v>114</v>
      </c>
      <c r="B43">
        <v>45.12</v>
      </c>
      <c r="C43">
        <v>0</v>
      </c>
      <c r="D43">
        <v>0</v>
      </c>
      <c r="E43">
        <v>386.36</v>
      </c>
      <c r="F43">
        <v>135.54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355.89</v>
      </c>
    </row>
    <row r="44" spans="1:13" x14ac:dyDescent="0.25">
      <c r="A44" t="s">
        <v>115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85</v>
      </c>
    </row>
    <row r="45" spans="1:13" x14ac:dyDescent="0.25">
      <c r="A45" t="s">
        <v>116</v>
      </c>
      <c r="B45">
        <v>3692.81</v>
      </c>
      <c r="C45">
        <v>633.78</v>
      </c>
      <c r="D45">
        <v>2744.23</v>
      </c>
      <c r="E45">
        <v>439.98</v>
      </c>
      <c r="F45">
        <v>558.77</v>
      </c>
      <c r="G45">
        <v>567.16999999999996</v>
      </c>
      <c r="H45">
        <v>439.98</v>
      </c>
      <c r="I45">
        <v>809.98</v>
      </c>
      <c r="J45">
        <v>4383.79</v>
      </c>
      <c r="K45">
        <v>1548.12</v>
      </c>
      <c r="L45">
        <v>6735.99</v>
      </c>
      <c r="M45">
        <v>3412.4</v>
      </c>
    </row>
    <row r="46" spans="1:13" x14ac:dyDescent="0.25">
      <c r="A46" t="s">
        <v>117</v>
      </c>
      <c r="B46">
        <v>154.80000000000001</v>
      </c>
      <c r="C46">
        <v>19.5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244502.89</v>
      </c>
    </row>
    <row r="47" spans="1:13" x14ac:dyDescent="0.25">
      <c r="A47" t="s">
        <v>118</v>
      </c>
      <c r="B47">
        <v>5016.1499999999996</v>
      </c>
      <c r="C47">
        <v>6656.08</v>
      </c>
      <c r="D47">
        <v>9443.77</v>
      </c>
      <c r="E47">
        <v>1628.67</v>
      </c>
      <c r="F47">
        <v>2955.66</v>
      </c>
      <c r="G47">
        <v>2198.3000000000002</v>
      </c>
      <c r="H47">
        <v>8192.34</v>
      </c>
      <c r="I47">
        <v>4969.2299999999996</v>
      </c>
      <c r="J47">
        <v>6184.91</v>
      </c>
      <c r="K47">
        <v>4036.66</v>
      </c>
      <c r="L47">
        <v>4371.2299999999996</v>
      </c>
      <c r="M47">
        <v>3523.19</v>
      </c>
    </row>
    <row r="48" spans="1:13" x14ac:dyDescent="0.25">
      <c r="A48" t="s">
        <v>119</v>
      </c>
      <c r="B48">
        <v>5327.62</v>
      </c>
      <c r="C48">
        <v>5287.54</v>
      </c>
      <c r="D48">
        <v>5067.1099999999997</v>
      </c>
      <c r="E48">
        <v>5495.05</v>
      </c>
      <c r="F48">
        <v>6161.37</v>
      </c>
      <c r="G48">
        <v>5454.97</v>
      </c>
      <c r="H48">
        <v>5589.07</v>
      </c>
      <c r="I48">
        <v>1926.19</v>
      </c>
      <c r="J48">
        <v>2866.18</v>
      </c>
      <c r="K48">
        <v>2095.19</v>
      </c>
      <c r="L48">
        <v>2437.12</v>
      </c>
      <c r="M48">
        <v>3871.62</v>
      </c>
    </row>
    <row r="49" spans="1:13" x14ac:dyDescent="0.25">
      <c r="A49" t="s">
        <v>120</v>
      </c>
      <c r="B49">
        <v>0</v>
      </c>
      <c r="C49">
        <v>30543.58</v>
      </c>
      <c r="D49">
        <v>0</v>
      </c>
      <c r="E49">
        <v>0</v>
      </c>
      <c r="F49">
        <v>0</v>
      </c>
      <c r="G49">
        <v>2804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</row>
    <row r="50" spans="1:13" x14ac:dyDescent="0.25">
      <c r="A50" t="s">
        <v>121</v>
      </c>
      <c r="B50">
        <v>334</v>
      </c>
      <c r="C50">
        <v>349.81</v>
      </c>
      <c r="D50">
        <v>278.35000000000002</v>
      </c>
      <c r="E50">
        <v>249</v>
      </c>
      <c r="F50">
        <v>249</v>
      </c>
      <c r="G50">
        <v>249</v>
      </c>
      <c r="H50">
        <v>293.95</v>
      </c>
      <c r="I50">
        <v>293.95</v>
      </c>
      <c r="J50">
        <v>692.9</v>
      </c>
      <c r="K50">
        <v>303.95</v>
      </c>
      <c r="L50">
        <v>293.95</v>
      </c>
      <c r="M50">
        <v>543.95000000000005</v>
      </c>
    </row>
    <row r="51" spans="1:13" x14ac:dyDescent="0.25">
      <c r="A51" t="s">
        <v>122</v>
      </c>
      <c r="B51">
        <v>0</v>
      </c>
      <c r="C51">
        <v>0</v>
      </c>
      <c r="D51">
        <v>0</v>
      </c>
      <c r="E51">
        <v>0</v>
      </c>
      <c r="F51">
        <v>7749</v>
      </c>
      <c r="G51">
        <v>-224</v>
      </c>
      <c r="H51">
        <v>625</v>
      </c>
      <c r="I51">
        <v>42374.61</v>
      </c>
      <c r="J51">
        <v>0</v>
      </c>
      <c r="K51">
        <v>0</v>
      </c>
      <c r="L51">
        <v>31948.82</v>
      </c>
      <c r="M51">
        <v>11781</v>
      </c>
    </row>
    <row r="52" spans="1:13" x14ac:dyDescent="0.25">
      <c r="A52" t="s">
        <v>123</v>
      </c>
      <c r="B52">
        <v>192.96</v>
      </c>
      <c r="C52">
        <v>1903.36</v>
      </c>
      <c r="D52">
        <v>1364.57</v>
      </c>
      <c r="E52">
        <v>192.96</v>
      </c>
      <c r="F52">
        <v>192.96</v>
      </c>
      <c r="G52">
        <v>136.18</v>
      </c>
      <c r="H52">
        <v>192.96</v>
      </c>
      <c r="I52">
        <v>192.96</v>
      </c>
      <c r="J52">
        <v>192.96</v>
      </c>
      <c r="K52">
        <v>192.96</v>
      </c>
      <c r="L52">
        <v>192.96</v>
      </c>
      <c r="M52">
        <v>192.96</v>
      </c>
    </row>
    <row r="53" spans="1:13" x14ac:dyDescent="0.25">
      <c r="A53" t="s">
        <v>124</v>
      </c>
      <c r="B53">
        <v>0</v>
      </c>
      <c r="C53">
        <v>0</v>
      </c>
      <c r="D53">
        <v>0</v>
      </c>
      <c r="E53">
        <v>579.42999999999995</v>
      </c>
      <c r="F53">
        <v>579.42999999999995</v>
      </c>
      <c r="G53">
        <v>554.92999999999995</v>
      </c>
      <c r="H53">
        <v>603.92999999999995</v>
      </c>
      <c r="I53">
        <v>579.42999999999995</v>
      </c>
      <c r="J53">
        <v>579.42999999999995</v>
      </c>
      <c r="K53">
        <v>579.42999999999995</v>
      </c>
      <c r="L53">
        <v>579.42999999999995</v>
      </c>
      <c r="M53">
        <v>603.92999999999995</v>
      </c>
    </row>
    <row r="54" spans="1:13" x14ac:dyDescent="0.25">
      <c r="A54" t="s">
        <v>125</v>
      </c>
      <c r="B54">
        <v>0</v>
      </c>
      <c r="C54">
        <v>0</v>
      </c>
      <c r="D54">
        <v>0</v>
      </c>
      <c r="E54">
        <v>493.25</v>
      </c>
      <c r="F54">
        <v>519.72</v>
      </c>
      <c r="G54">
        <v>493.25</v>
      </c>
      <c r="H54">
        <v>539.22</v>
      </c>
      <c r="I54">
        <v>519.17999999999995</v>
      </c>
      <c r="J54">
        <v>520.95000000000005</v>
      </c>
      <c r="K54">
        <v>510.34</v>
      </c>
      <c r="L54">
        <v>495.9</v>
      </c>
      <c r="M54">
        <v>525.25</v>
      </c>
    </row>
    <row r="55" spans="1:13" x14ac:dyDescent="0.25">
      <c r="A55" t="s">
        <v>126</v>
      </c>
      <c r="B55">
        <v>14320.23</v>
      </c>
      <c r="C55">
        <v>12716.16</v>
      </c>
      <c r="D55">
        <v>16943.939999999999</v>
      </c>
      <c r="E55">
        <v>24151.86</v>
      </c>
      <c r="F55">
        <v>4191.66</v>
      </c>
      <c r="G55">
        <v>4191.66</v>
      </c>
      <c r="H55">
        <v>4657.3999999999996</v>
      </c>
      <c r="I55">
        <v>4657.3999999999996</v>
      </c>
      <c r="J55">
        <v>4657.3999999999996</v>
      </c>
      <c r="K55">
        <v>4036.41</v>
      </c>
      <c r="L55">
        <v>4657.3999999999996</v>
      </c>
      <c r="M55">
        <v>6327.58</v>
      </c>
    </row>
    <row r="56" spans="1:13" x14ac:dyDescent="0.25">
      <c r="A56" t="s">
        <v>127</v>
      </c>
      <c r="B56">
        <v>0</v>
      </c>
      <c r="C56">
        <v>0</v>
      </c>
      <c r="D56">
        <v>0</v>
      </c>
      <c r="E56">
        <v>0</v>
      </c>
      <c r="F56">
        <v>10506.12</v>
      </c>
      <c r="G56">
        <v>8262.08</v>
      </c>
      <c r="H56">
        <v>11239.18</v>
      </c>
      <c r="I56">
        <v>7376.23</v>
      </c>
      <c r="J56">
        <v>11239.18</v>
      </c>
      <c r="K56">
        <v>11326.71</v>
      </c>
      <c r="L56">
        <v>10705.72</v>
      </c>
      <c r="M56">
        <v>28786.59</v>
      </c>
    </row>
    <row r="57" spans="1:13" x14ac:dyDescent="0.25">
      <c r="A57" t="s">
        <v>128</v>
      </c>
      <c r="B57">
        <v>0</v>
      </c>
      <c r="C57">
        <v>0</v>
      </c>
      <c r="D57">
        <v>0</v>
      </c>
      <c r="E57">
        <v>0</v>
      </c>
      <c r="F57">
        <v>-2379.7800000000002</v>
      </c>
      <c r="G57">
        <v>0</v>
      </c>
      <c r="H57">
        <v>2140.11</v>
      </c>
      <c r="I57">
        <v>0</v>
      </c>
      <c r="J57">
        <v>0</v>
      </c>
      <c r="K57">
        <v>-2492.5500000000002</v>
      </c>
      <c r="L57">
        <v>985.82</v>
      </c>
      <c r="M57">
        <v>3874.12</v>
      </c>
    </row>
    <row r="58" spans="1:13" x14ac:dyDescent="0.25">
      <c r="A58" t="s">
        <v>129</v>
      </c>
      <c r="B58">
        <v>0</v>
      </c>
      <c r="C58">
        <v>0</v>
      </c>
      <c r="D58">
        <v>0</v>
      </c>
      <c r="E58">
        <v>0</v>
      </c>
      <c r="F58">
        <v>76.44</v>
      </c>
      <c r="G58">
        <v>-160.91</v>
      </c>
      <c r="H58">
        <v>437.31</v>
      </c>
      <c r="I58">
        <v>-252.28</v>
      </c>
      <c r="J58">
        <v>15.45</v>
      </c>
      <c r="K58">
        <v>-90.25</v>
      </c>
      <c r="L58">
        <v>-86.75</v>
      </c>
      <c r="M58">
        <v>155.01</v>
      </c>
    </row>
    <row r="59" spans="1:13" x14ac:dyDescent="0.25">
      <c r="A59" t="s">
        <v>130</v>
      </c>
      <c r="B59">
        <v>0</v>
      </c>
      <c r="C59">
        <v>0</v>
      </c>
      <c r="D59">
        <v>0</v>
      </c>
      <c r="E59">
        <v>0</v>
      </c>
      <c r="F59">
        <v>0</v>
      </c>
      <c r="G59">
        <v>3985.8</v>
      </c>
      <c r="H59">
        <v>4131.75</v>
      </c>
      <c r="I59">
        <v>4101.75</v>
      </c>
      <c r="J59">
        <v>4101.75</v>
      </c>
      <c r="K59">
        <v>4353.8100000000004</v>
      </c>
      <c r="L59">
        <v>4402.0200000000004</v>
      </c>
      <c r="M59">
        <v>4064.17</v>
      </c>
    </row>
    <row r="60" spans="1:13" x14ac:dyDescent="0.25">
      <c r="A60" t="s">
        <v>131</v>
      </c>
      <c r="B60">
        <v>14513.19</v>
      </c>
      <c r="C60">
        <v>14619.52</v>
      </c>
      <c r="D60">
        <v>18308.509999999998</v>
      </c>
      <c r="E60">
        <v>25417.5</v>
      </c>
      <c r="F60">
        <v>13686.55</v>
      </c>
      <c r="G60">
        <v>17462.990000000002</v>
      </c>
      <c r="H60">
        <v>23941.86</v>
      </c>
      <c r="I60">
        <v>17174.669999999998</v>
      </c>
      <c r="J60">
        <v>21307.119999999999</v>
      </c>
      <c r="K60">
        <v>18416.86</v>
      </c>
      <c r="L60">
        <v>21932.5</v>
      </c>
      <c r="M60">
        <v>44529.61</v>
      </c>
    </row>
    <row r="61" spans="1:13" x14ac:dyDescent="0.25">
      <c r="A61" t="s">
        <v>132</v>
      </c>
      <c r="B61">
        <v>5506</v>
      </c>
      <c r="C61">
        <v>644</v>
      </c>
      <c r="D61">
        <v>834</v>
      </c>
      <c r="E61">
        <v>6175</v>
      </c>
      <c r="F61">
        <v>2853</v>
      </c>
      <c r="G61">
        <v>834</v>
      </c>
      <c r="H61">
        <v>13141</v>
      </c>
      <c r="I61">
        <v>0</v>
      </c>
      <c r="J61">
        <v>2504</v>
      </c>
      <c r="K61">
        <v>4398</v>
      </c>
      <c r="L61">
        <v>3347</v>
      </c>
      <c r="M61">
        <v>834</v>
      </c>
    </row>
    <row r="62" spans="1:13" x14ac:dyDescent="0.25">
      <c r="A62" t="s">
        <v>133</v>
      </c>
      <c r="B62">
        <v>288.41000000000003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</row>
    <row r="63" spans="1:13" x14ac:dyDescent="0.25">
      <c r="A63" t="s">
        <v>134</v>
      </c>
      <c r="B63">
        <v>0</v>
      </c>
      <c r="C63">
        <v>0</v>
      </c>
      <c r="D63">
        <v>0</v>
      </c>
      <c r="E63">
        <v>0</v>
      </c>
      <c r="F63">
        <v>38584.589999999997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</row>
    <row r="64" spans="1:13" x14ac:dyDescent="0.25">
      <c r="A64" t="s">
        <v>135</v>
      </c>
      <c r="B64">
        <v>0</v>
      </c>
      <c r="C64">
        <v>0</v>
      </c>
      <c r="D64">
        <v>1656.25</v>
      </c>
      <c r="E64">
        <v>236</v>
      </c>
      <c r="F64">
        <v>0</v>
      </c>
      <c r="G64">
        <v>392.5</v>
      </c>
      <c r="H64">
        <v>1679.97</v>
      </c>
      <c r="I64">
        <v>405</v>
      </c>
      <c r="J64">
        <v>824.35</v>
      </c>
      <c r="K64">
        <v>33</v>
      </c>
      <c r="L64">
        <v>0</v>
      </c>
      <c r="M64">
        <v>1850.2</v>
      </c>
    </row>
    <row r="65" spans="1:13" x14ac:dyDescent="0.25">
      <c r="A65" t="s">
        <v>136</v>
      </c>
      <c r="B65">
        <v>1641.67</v>
      </c>
      <c r="C65">
        <v>865.77</v>
      </c>
      <c r="D65">
        <v>710.86</v>
      </c>
      <c r="E65">
        <v>1780.1</v>
      </c>
      <c r="F65">
        <v>2928.11</v>
      </c>
      <c r="G65">
        <v>2405.9899999999998</v>
      </c>
      <c r="H65">
        <v>3624.82</v>
      </c>
      <c r="I65">
        <v>1408.13</v>
      </c>
      <c r="J65">
        <v>3065.94</v>
      </c>
      <c r="K65">
        <v>2255.7800000000002</v>
      </c>
      <c r="L65">
        <v>2172.0100000000002</v>
      </c>
      <c r="M65">
        <v>9523.42</v>
      </c>
    </row>
    <row r="66" spans="1:13" x14ac:dyDescent="0.25">
      <c r="A66" t="s">
        <v>137</v>
      </c>
      <c r="B66">
        <v>656.08</v>
      </c>
      <c r="C66">
        <v>964.54</v>
      </c>
      <c r="D66">
        <v>678.12</v>
      </c>
      <c r="E66">
        <v>306.83999999999997</v>
      </c>
      <c r="F66">
        <v>227.98</v>
      </c>
      <c r="G66">
        <v>286.56</v>
      </c>
      <c r="H66">
        <v>88.21</v>
      </c>
      <c r="I66">
        <v>270</v>
      </c>
      <c r="J66">
        <v>271.77999999999997</v>
      </c>
      <c r="K66">
        <v>2091.89</v>
      </c>
      <c r="L66">
        <v>5220.9799999999996</v>
      </c>
      <c r="M66">
        <v>2102.0700000000002</v>
      </c>
    </row>
    <row r="67" spans="1:13" x14ac:dyDescent="0.25">
      <c r="A67" t="s">
        <v>138</v>
      </c>
      <c r="B67">
        <v>641.1</v>
      </c>
      <c r="C67">
        <v>0</v>
      </c>
      <c r="D67">
        <v>843.21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20</v>
      </c>
    </row>
    <row r="68" spans="1:13" x14ac:dyDescent="0.25">
      <c r="A68" t="s">
        <v>139</v>
      </c>
      <c r="B68">
        <v>15725.77</v>
      </c>
      <c r="C68">
        <v>937.61</v>
      </c>
      <c r="D68">
        <v>1097.31</v>
      </c>
      <c r="E68">
        <v>654.39</v>
      </c>
      <c r="F68">
        <v>3017.94</v>
      </c>
      <c r="G68">
        <v>213.97</v>
      </c>
      <c r="H68">
        <v>261.49</v>
      </c>
      <c r="I68">
        <v>1207.03</v>
      </c>
      <c r="J68">
        <v>2240.5300000000002</v>
      </c>
      <c r="K68">
        <v>1102.08</v>
      </c>
      <c r="L68">
        <v>5414.91</v>
      </c>
      <c r="M68">
        <v>2612.04</v>
      </c>
    </row>
    <row r="69" spans="1:13" x14ac:dyDescent="0.25">
      <c r="A69" t="s">
        <v>140</v>
      </c>
      <c r="B69">
        <v>267.45</v>
      </c>
      <c r="C69">
        <v>1.1000000000000001</v>
      </c>
      <c r="D69">
        <v>0</v>
      </c>
      <c r="E69">
        <v>425.87</v>
      </c>
      <c r="F69">
        <v>592.45000000000005</v>
      </c>
      <c r="G69">
        <v>4093.02</v>
      </c>
      <c r="H69">
        <v>637.09</v>
      </c>
      <c r="I69">
        <v>549.01</v>
      </c>
      <c r="J69">
        <v>55.12</v>
      </c>
      <c r="K69">
        <v>0</v>
      </c>
      <c r="L69">
        <v>103.98</v>
      </c>
      <c r="M69">
        <v>163.53</v>
      </c>
    </row>
    <row r="70" spans="1:13" x14ac:dyDescent="0.25">
      <c r="A70" t="s">
        <v>141</v>
      </c>
      <c r="B70">
        <v>9225</v>
      </c>
      <c r="C70">
        <v>5919.2</v>
      </c>
      <c r="D70">
        <v>81635.59</v>
      </c>
      <c r="E70">
        <v>2620</v>
      </c>
      <c r="F70">
        <v>4525.5</v>
      </c>
      <c r="G70">
        <v>1650</v>
      </c>
      <c r="H70">
        <v>28985.58</v>
      </c>
      <c r="I70">
        <v>10843.57</v>
      </c>
      <c r="J70">
        <v>40625.730000000003</v>
      </c>
      <c r="K70">
        <v>17033.64</v>
      </c>
      <c r="L70">
        <v>4711</v>
      </c>
      <c r="M70">
        <v>14327.89</v>
      </c>
    </row>
    <row r="71" spans="1:13" x14ac:dyDescent="0.25">
      <c r="A71" t="s">
        <v>142</v>
      </c>
      <c r="B71">
        <v>121.27</v>
      </c>
      <c r="C71">
        <v>36.46</v>
      </c>
      <c r="D71">
        <v>0</v>
      </c>
      <c r="E71">
        <v>365.89</v>
      </c>
      <c r="F71">
        <v>71.430000000000007</v>
      </c>
      <c r="G71">
        <v>1087.76</v>
      </c>
      <c r="H71">
        <v>1754.05</v>
      </c>
      <c r="I71">
        <v>1835.96</v>
      </c>
      <c r="J71">
        <v>367.76</v>
      </c>
      <c r="K71">
        <v>855</v>
      </c>
      <c r="L71">
        <v>806.41</v>
      </c>
      <c r="M71">
        <v>15655.65</v>
      </c>
    </row>
    <row r="72" spans="1:13" x14ac:dyDescent="0.25">
      <c r="A72" t="s">
        <v>143</v>
      </c>
      <c r="B72">
        <v>603.44000000000005</v>
      </c>
      <c r="C72">
        <v>676.27</v>
      </c>
      <c r="D72">
        <v>3504.52</v>
      </c>
      <c r="E72">
        <v>169.99</v>
      </c>
      <c r="F72">
        <v>169.99</v>
      </c>
      <c r="G72">
        <v>0</v>
      </c>
      <c r="H72">
        <v>0</v>
      </c>
      <c r="I72">
        <v>0</v>
      </c>
      <c r="J72">
        <v>579.77</v>
      </c>
      <c r="K72">
        <v>7769.56</v>
      </c>
      <c r="L72">
        <v>169.99</v>
      </c>
      <c r="M72">
        <v>7969.99</v>
      </c>
    </row>
    <row r="73" spans="1:13" x14ac:dyDescent="0.25">
      <c r="A73" t="s">
        <v>144</v>
      </c>
      <c r="B73">
        <v>2919.53</v>
      </c>
      <c r="C73">
        <v>937.08</v>
      </c>
      <c r="D73">
        <v>2723</v>
      </c>
      <c r="E73">
        <v>2302</v>
      </c>
      <c r="F73">
        <v>6235.06</v>
      </c>
      <c r="G73">
        <v>3539.83</v>
      </c>
      <c r="H73">
        <v>3677.49</v>
      </c>
      <c r="I73">
        <v>3825.56</v>
      </c>
      <c r="J73">
        <v>11797.06</v>
      </c>
      <c r="K73">
        <v>8848.34</v>
      </c>
      <c r="L73">
        <v>11552.67</v>
      </c>
      <c r="M73">
        <v>13883.8</v>
      </c>
    </row>
    <row r="74" spans="1:13" x14ac:dyDescent="0.25">
      <c r="A74" t="s">
        <v>145</v>
      </c>
      <c r="B74">
        <v>2572.37</v>
      </c>
      <c r="C74">
        <v>2622.37</v>
      </c>
      <c r="D74">
        <v>4031.22</v>
      </c>
      <c r="E74">
        <v>4031.22</v>
      </c>
      <c r="F74">
        <v>3931.22</v>
      </c>
      <c r="G74">
        <v>3931.22</v>
      </c>
      <c r="H74">
        <v>18030.22</v>
      </c>
      <c r="I74">
        <v>19458.22</v>
      </c>
      <c r="J74">
        <v>23804.240000000002</v>
      </c>
      <c r="K74">
        <v>21990.86</v>
      </c>
      <c r="L74">
        <v>11160.21</v>
      </c>
      <c r="M74">
        <v>39496.93</v>
      </c>
    </row>
    <row r="75" spans="1:13" x14ac:dyDescent="0.25">
      <c r="A75" t="s">
        <v>146</v>
      </c>
      <c r="B75">
        <v>8577.7800000000007</v>
      </c>
      <c r="C75">
        <v>0</v>
      </c>
      <c r="D75">
        <v>6341.99</v>
      </c>
      <c r="E75">
        <v>4288.8900000000003</v>
      </c>
      <c r="F75">
        <v>614.70000000000005</v>
      </c>
      <c r="G75">
        <v>587.96</v>
      </c>
      <c r="H75">
        <v>7394.12</v>
      </c>
      <c r="I75">
        <v>1491.37</v>
      </c>
      <c r="J75">
        <v>5864.13</v>
      </c>
      <c r="K75">
        <v>6263.89</v>
      </c>
      <c r="L75">
        <v>3515.61</v>
      </c>
      <c r="M75">
        <v>0</v>
      </c>
    </row>
    <row r="76" spans="1:13" x14ac:dyDescent="0.25">
      <c r="A76" t="s">
        <v>147</v>
      </c>
      <c r="B76">
        <v>51.65</v>
      </c>
      <c r="C76">
        <v>0</v>
      </c>
      <c r="D76">
        <v>3916</v>
      </c>
      <c r="E76">
        <v>272.7</v>
      </c>
      <c r="F76">
        <v>0</v>
      </c>
      <c r="G76">
        <v>34.71</v>
      </c>
      <c r="H76">
        <v>8019.35</v>
      </c>
      <c r="I76">
        <v>122.23</v>
      </c>
      <c r="J76">
        <v>128.65</v>
      </c>
      <c r="K76">
        <v>3428.27</v>
      </c>
      <c r="L76">
        <v>220.32</v>
      </c>
      <c r="M76">
        <v>5308.3</v>
      </c>
    </row>
    <row r="77" spans="1:13" x14ac:dyDescent="0.25">
      <c r="A77" t="s">
        <v>148</v>
      </c>
      <c r="B77">
        <v>17172.59</v>
      </c>
      <c r="C77">
        <v>13553.58</v>
      </c>
      <c r="D77">
        <v>7027.69</v>
      </c>
      <c r="E77">
        <v>4717.04</v>
      </c>
      <c r="F77">
        <v>4026.53</v>
      </c>
      <c r="G77">
        <v>3899.13</v>
      </c>
      <c r="H77">
        <v>2580.23</v>
      </c>
      <c r="I77">
        <v>2853.15</v>
      </c>
      <c r="J77">
        <v>1293.57</v>
      </c>
      <c r="K77">
        <v>5009.01</v>
      </c>
      <c r="L77">
        <v>6501.94</v>
      </c>
      <c r="M77">
        <v>3451.57</v>
      </c>
    </row>
    <row r="78" spans="1:13" x14ac:dyDescent="0.25">
      <c r="A78" t="s">
        <v>149</v>
      </c>
      <c r="B78">
        <v>0</v>
      </c>
      <c r="C78">
        <v>0</v>
      </c>
      <c r="D78">
        <v>3978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</row>
    <row r="79" spans="1:13" x14ac:dyDescent="0.25">
      <c r="A79" t="s">
        <v>150</v>
      </c>
      <c r="B79">
        <v>6171.78</v>
      </c>
      <c r="C79">
        <v>2039.27</v>
      </c>
      <c r="D79">
        <v>638.14</v>
      </c>
      <c r="E79">
        <v>319.69</v>
      </c>
      <c r="F79">
        <v>1799.42</v>
      </c>
      <c r="G79">
        <v>1278.69</v>
      </c>
      <c r="H79">
        <v>858.36</v>
      </c>
      <c r="I79">
        <v>8088.07</v>
      </c>
      <c r="J79">
        <v>6961.07</v>
      </c>
      <c r="K79">
        <v>3503.73</v>
      </c>
      <c r="L79">
        <v>761.91</v>
      </c>
      <c r="M79">
        <v>2783.25</v>
      </c>
    </row>
    <row r="80" spans="1:13" x14ac:dyDescent="0.25">
      <c r="A80" t="s">
        <v>151</v>
      </c>
      <c r="B80">
        <v>61.01</v>
      </c>
      <c r="C80">
        <v>0</v>
      </c>
      <c r="D80">
        <v>180.69</v>
      </c>
      <c r="E80">
        <v>231.1</v>
      </c>
      <c r="F80">
        <v>2875.33</v>
      </c>
      <c r="G80">
        <v>550.38</v>
      </c>
      <c r="H80">
        <v>667.41</v>
      </c>
      <c r="I80">
        <v>1931.76</v>
      </c>
      <c r="J80">
        <v>111.24</v>
      </c>
      <c r="K80">
        <v>17.91</v>
      </c>
      <c r="L80">
        <v>99.12</v>
      </c>
      <c r="M80">
        <v>0</v>
      </c>
    </row>
    <row r="81" spans="1:13" x14ac:dyDescent="0.25">
      <c r="A81" t="s">
        <v>152</v>
      </c>
      <c r="B81">
        <v>5432.6</v>
      </c>
      <c r="C81">
        <v>0</v>
      </c>
      <c r="D81">
        <v>382</v>
      </c>
      <c r="E81">
        <v>0</v>
      </c>
      <c r="F81">
        <v>1998.27</v>
      </c>
      <c r="G81">
        <v>273.70999999999998</v>
      </c>
      <c r="H81">
        <v>1175.6300000000001</v>
      </c>
      <c r="I81">
        <v>2544.7800000000002</v>
      </c>
      <c r="J81">
        <v>1466.76</v>
      </c>
      <c r="K81">
        <v>2958.28</v>
      </c>
      <c r="L81">
        <v>589.1</v>
      </c>
      <c r="M81">
        <v>1640.31</v>
      </c>
    </row>
    <row r="82" spans="1:13" x14ac:dyDescent="0.25">
      <c r="A82" t="s">
        <v>153</v>
      </c>
      <c r="B82">
        <v>1983.35</v>
      </c>
      <c r="C82">
        <v>1058.83</v>
      </c>
      <c r="D82">
        <v>2413.37</v>
      </c>
      <c r="E82">
        <v>1130.7</v>
      </c>
      <c r="F82">
        <v>3254.01</v>
      </c>
      <c r="G82">
        <v>3291.29</v>
      </c>
      <c r="H82">
        <v>1676.3</v>
      </c>
      <c r="I82">
        <v>1348.33</v>
      </c>
      <c r="J82">
        <v>1493.69</v>
      </c>
      <c r="K82">
        <v>3763.83</v>
      </c>
      <c r="L82">
        <v>1592.58</v>
      </c>
      <c r="M82">
        <v>4231.29</v>
      </c>
    </row>
    <row r="83" spans="1:13" x14ac:dyDescent="0.25">
      <c r="A83" t="s">
        <v>154</v>
      </c>
      <c r="B83">
        <v>0</v>
      </c>
      <c r="C83">
        <v>6226.19</v>
      </c>
      <c r="D83">
        <v>3727.77</v>
      </c>
      <c r="E83">
        <v>2123.2399999999998</v>
      </c>
      <c r="F83">
        <v>0</v>
      </c>
      <c r="G83">
        <v>0</v>
      </c>
      <c r="H83">
        <v>0</v>
      </c>
      <c r="I83">
        <v>1.53</v>
      </c>
      <c r="J83">
        <v>0</v>
      </c>
      <c r="K83">
        <v>8.5</v>
      </c>
      <c r="L83">
        <v>7265.59</v>
      </c>
      <c r="M83">
        <v>14653.54</v>
      </c>
    </row>
    <row r="84" spans="1:13" x14ac:dyDescent="0.25">
      <c r="A84" t="s">
        <v>155</v>
      </c>
      <c r="B84">
        <v>0</v>
      </c>
      <c r="C84">
        <v>0</v>
      </c>
      <c r="D84">
        <v>0</v>
      </c>
      <c r="E84">
        <v>1014.34</v>
      </c>
      <c r="F84">
        <v>36.85</v>
      </c>
      <c r="G84">
        <v>29</v>
      </c>
      <c r="H84">
        <v>759.61</v>
      </c>
      <c r="I84">
        <v>350</v>
      </c>
      <c r="J84">
        <v>0</v>
      </c>
      <c r="K84">
        <v>54.5</v>
      </c>
      <c r="L84">
        <v>50</v>
      </c>
      <c r="M84">
        <v>0</v>
      </c>
    </row>
    <row r="85" spans="1:13" x14ac:dyDescent="0.25">
      <c r="A85" t="s">
        <v>156</v>
      </c>
      <c r="B85">
        <v>1750.74</v>
      </c>
      <c r="C85">
        <v>1971.33</v>
      </c>
      <c r="D85">
        <v>1806.76</v>
      </c>
      <c r="E85">
        <v>1460.92</v>
      </c>
      <c r="F85">
        <v>1748.18</v>
      </c>
      <c r="G85">
        <v>1751.14</v>
      </c>
      <c r="H85">
        <v>1904.22</v>
      </c>
      <c r="I85">
        <v>2075.38</v>
      </c>
      <c r="J85">
        <v>2107.65</v>
      </c>
      <c r="K85">
        <v>2302</v>
      </c>
      <c r="L85">
        <v>3599.22</v>
      </c>
      <c r="M85">
        <v>2695.54</v>
      </c>
    </row>
    <row r="86" spans="1:13" x14ac:dyDescent="0.25">
      <c r="A86" t="s">
        <v>157</v>
      </c>
      <c r="B86">
        <v>0</v>
      </c>
      <c r="C86">
        <v>0</v>
      </c>
      <c r="D86">
        <v>0</v>
      </c>
      <c r="E86">
        <v>0</v>
      </c>
      <c r="F86">
        <v>309</v>
      </c>
      <c r="G86">
        <v>0</v>
      </c>
      <c r="H86">
        <v>103</v>
      </c>
      <c r="I86">
        <v>0</v>
      </c>
      <c r="J86">
        <v>0</v>
      </c>
      <c r="K86">
        <v>103</v>
      </c>
      <c r="L86">
        <v>0</v>
      </c>
      <c r="M86">
        <v>0</v>
      </c>
    </row>
    <row r="87" spans="1:13" x14ac:dyDescent="0.25">
      <c r="A87" t="s">
        <v>158</v>
      </c>
      <c r="B87">
        <v>9139.86</v>
      </c>
      <c r="C87">
        <v>13831.07</v>
      </c>
      <c r="D87">
        <v>13806.61</v>
      </c>
      <c r="E87">
        <v>12560.45</v>
      </c>
      <c r="F87">
        <v>10992.02</v>
      </c>
      <c r="G87">
        <v>19017.05</v>
      </c>
      <c r="H87">
        <v>11238.54</v>
      </c>
      <c r="I87">
        <v>562.54</v>
      </c>
      <c r="J87">
        <v>4549.8100000000004</v>
      </c>
      <c r="K87">
        <v>4819.1899999999996</v>
      </c>
      <c r="L87">
        <v>3239.11</v>
      </c>
      <c r="M87">
        <v>3280.01</v>
      </c>
    </row>
    <row r="88" spans="1:13" x14ac:dyDescent="0.25">
      <c r="A88" t="s">
        <v>159</v>
      </c>
      <c r="B88">
        <v>1999.17</v>
      </c>
      <c r="C88">
        <v>3380.41</v>
      </c>
      <c r="D88">
        <v>2303.19</v>
      </c>
      <c r="E88">
        <v>3164.59</v>
      </c>
      <c r="F88">
        <v>2140.9499999999998</v>
      </c>
      <c r="G88">
        <v>2754.84</v>
      </c>
      <c r="H88">
        <v>2030.08</v>
      </c>
      <c r="I88">
        <v>2229.48</v>
      </c>
      <c r="J88">
        <v>2702.57</v>
      </c>
      <c r="K88">
        <v>2930.86</v>
      </c>
      <c r="L88">
        <v>3582.9</v>
      </c>
      <c r="M88">
        <v>6447.98</v>
      </c>
    </row>
    <row r="89" spans="1:13" x14ac:dyDescent="0.25">
      <c r="A89" t="s">
        <v>160</v>
      </c>
      <c r="B89">
        <v>2349.3200000000002</v>
      </c>
      <c r="C89">
        <v>2183.19</v>
      </c>
      <c r="D89">
        <v>1091.4000000000001</v>
      </c>
      <c r="E89">
        <v>1944.54</v>
      </c>
      <c r="F89">
        <v>1331.97</v>
      </c>
      <c r="G89">
        <v>4771.1099999999997</v>
      </c>
      <c r="H89">
        <v>2246.25</v>
      </c>
      <c r="I89">
        <v>2854.09</v>
      </c>
      <c r="J89">
        <v>2860.83</v>
      </c>
      <c r="K89">
        <v>2941.16</v>
      </c>
      <c r="L89">
        <v>2038.49</v>
      </c>
      <c r="M89">
        <v>1828.98</v>
      </c>
    </row>
    <row r="90" spans="1:13" x14ac:dyDescent="0.25">
      <c r="A90" t="s">
        <v>161</v>
      </c>
      <c r="B90">
        <v>0</v>
      </c>
      <c r="C90">
        <v>0</v>
      </c>
      <c r="D90">
        <v>7735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1515.22</v>
      </c>
    </row>
    <row r="91" spans="1:13" x14ac:dyDescent="0.25">
      <c r="A91" t="s">
        <v>162</v>
      </c>
      <c r="B91">
        <v>0</v>
      </c>
      <c r="C91">
        <v>0</v>
      </c>
      <c r="D91">
        <v>0</v>
      </c>
      <c r="E91">
        <v>0</v>
      </c>
      <c r="F91">
        <v>-94.83</v>
      </c>
      <c r="G91">
        <v>-1337</v>
      </c>
      <c r="H91">
        <v>1431.83</v>
      </c>
      <c r="I91">
        <v>1515.22</v>
      </c>
      <c r="J91">
        <v>0</v>
      </c>
      <c r="K91">
        <v>0</v>
      </c>
      <c r="L91">
        <v>0</v>
      </c>
      <c r="M91">
        <v>-1465.22</v>
      </c>
    </row>
    <row r="92" spans="1:13" x14ac:dyDescent="0.25">
      <c r="A92" t="s">
        <v>163</v>
      </c>
      <c r="B92">
        <v>5088.1400000000003</v>
      </c>
      <c r="C92">
        <v>11421.73</v>
      </c>
      <c r="D92">
        <v>11097</v>
      </c>
      <c r="E92">
        <v>10390.030000000001</v>
      </c>
      <c r="F92">
        <v>9624.86</v>
      </c>
      <c r="G92">
        <v>8125.67</v>
      </c>
      <c r="H92">
        <v>8759.39</v>
      </c>
      <c r="I92">
        <v>-6056.77</v>
      </c>
      <c r="J92">
        <v>7768.49</v>
      </c>
      <c r="K92">
        <v>8443.31</v>
      </c>
      <c r="L92">
        <v>6688.87</v>
      </c>
      <c r="M92">
        <v>5698.23</v>
      </c>
    </row>
    <row r="93" spans="1:13" x14ac:dyDescent="0.25">
      <c r="A93" t="s">
        <v>164</v>
      </c>
      <c r="B93">
        <v>274944.03999999998</v>
      </c>
      <c r="C93">
        <v>253453.25999999989</v>
      </c>
      <c r="D93">
        <v>421980.36</v>
      </c>
      <c r="E93">
        <v>257236.40000000011</v>
      </c>
      <c r="F93">
        <v>283626.78999999998</v>
      </c>
      <c r="G93">
        <v>251404.9199999999</v>
      </c>
      <c r="H93">
        <v>316493.51</v>
      </c>
      <c r="I93">
        <v>348565.39000000007</v>
      </c>
      <c r="J93">
        <v>249349.02</v>
      </c>
      <c r="K93">
        <v>233275.09</v>
      </c>
      <c r="L93">
        <v>298075.75</v>
      </c>
      <c r="M93">
        <v>609603.90000000014</v>
      </c>
    </row>
    <row r="94" spans="1:13" x14ac:dyDescent="0.25">
      <c r="A94" t="s">
        <v>165</v>
      </c>
      <c r="B94">
        <v>-541938.17999999993</v>
      </c>
      <c r="C94">
        <v>-173718.43999999989</v>
      </c>
      <c r="D94">
        <v>239763.25000000009</v>
      </c>
      <c r="E94">
        <v>-43761.250000000087</v>
      </c>
      <c r="F94">
        <v>74515.73000000004</v>
      </c>
      <c r="G94">
        <v>13486.59000000008</v>
      </c>
      <c r="H94">
        <v>-4721.8999999999069</v>
      </c>
      <c r="I94">
        <v>-82622.280000000144</v>
      </c>
      <c r="J94">
        <v>55609.870000000054</v>
      </c>
      <c r="K94">
        <v>-100669.09</v>
      </c>
      <c r="L94">
        <v>86865.290000000037</v>
      </c>
      <c r="M94">
        <v>-118345.6800000002</v>
      </c>
    </row>
    <row r="95" spans="1:13" x14ac:dyDescent="0.25">
      <c r="A95" t="s">
        <v>166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</row>
    <row r="96" spans="1:13" x14ac:dyDescent="0.25">
      <c r="A96" t="s">
        <v>167</v>
      </c>
      <c r="B96">
        <v>1469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41273.56</v>
      </c>
      <c r="L96">
        <v>0</v>
      </c>
      <c r="M96">
        <v>0</v>
      </c>
    </row>
    <row r="97" spans="1:13" x14ac:dyDescent="0.25">
      <c r="A97" t="s">
        <v>168</v>
      </c>
      <c r="B97">
        <v>1469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41273.56</v>
      </c>
      <c r="L97">
        <v>0</v>
      </c>
      <c r="M97">
        <v>0</v>
      </c>
    </row>
    <row r="98" spans="1:13" x14ac:dyDescent="0.25">
      <c r="A98" t="s">
        <v>169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</row>
    <row r="99" spans="1:13" x14ac:dyDescent="0.25">
      <c r="A99" t="s">
        <v>170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71836.210000000006</v>
      </c>
    </row>
    <row r="100" spans="1:13" x14ac:dyDescent="0.25">
      <c r="A100" t="s">
        <v>171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71836.210000000006</v>
      </c>
    </row>
    <row r="101" spans="1:13" x14ac:dyDescent="0.25">
      <c r="A101" t="s">
        <v>172</v>
      </c>
      <c r="B101">
        <v>1469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41273.56</v>
      </c>
      <c r="L101">
        <v>0</v>
      </c>
      <c r="M101">
        <v>-71836.210000000006</v>
      </c>
    </row>
    <row r="102" spans="1:13" x14ac:dyDescent="0.25">
      <c r="A102" t="s">
        <v>5</v>
      </c>
      <c r="B102">
        <v>-540469.17999999993</v>
      </c>
      <c r="C102">
        <v>-173718.43999999989</v>
      </c>
      <c r="D102">
        <v>239763.25000000009</v>
      </c>
      <c r="E102">
        <v>-43761.250000000087</v>
      </c>
      <c r="F102">
        <v>74515.73000000004</v>
      </c>
      <c r="G102">
        <v>13486.59000000008</v>
      </c>
      <c r="H102">
        <v>-4721.8999999999069</v>
      </c>
      <c r="I102">
        <v>-82622.280000000144</v>
      </c>
      <c r="J102">
        <v>55609.870000000054</v>
      </c>
      <c r="K102">
        <v>-59395.530000000028</v>
      </c>
      <c r="L102">
        <v>86865.290000000037</v>
      </c>
      <c r="M102">
        <v>-190181.89000000019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M119"/>
  <sheetViews>
    <sheetView workbookViewId="0"/>
  </sheetViews>
  <sheetFormatPr defaultRowHeight="15" x14ac:dyDescent="0.25"/>
  <cols>
    <col min="1" max="1" width="69.42578125" bestFit="1" customWidth="1"/>
    <col min="2" max="2" width="11.7109375" bestFit="1" customWidth="1"/>
    <col min="3" max="13" width="12.7109375" bestFit="1" customWidth="1"/>
  </cols>
  <sheetData>
    <row r="1" spans="1:13" x14ac:dyDescent="0.25">
      <c r="A1" t="s">
        <v>73</v>
      </c>
      <c r="B1" s="1">
        <v>45292</v>
      </c>
      <c r="C1" s="1">
        <v>45323</v>
      </c>
      <c r="D1" s="1">
        <v>45352</v>
      </c>
      <c r="E1" s="1">
        <v>45383</v>
      </c>
      <c r="F1" s="1">
        <v>45413</v>
      </c>
      <c r="G1" s="1">
        <v>45444</v>
      </c>
      <c r="H1" s="1">
        <v>45474</v>
      </c>
      <c r="I1" s="1">
        <v>45505</v>
      </c>
      <c r="J1" s="1">
        <v>45536</v>
      </c>
      <c r="K1" s="1">
        <v>45566</v>
      </c>
      <c r="L1" s="1">
        <v>45597</v>
      </c>
      <c r="M1" s="1">
        <v>45627</v>
      </c>
    </row>
    <row r="2" spans="1:13" x14ac:dyDescent="0.25">
      <c r="A2" t="s">
        <v>173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</row>
    <row r="3" spans="1:13" x14ac:dyDescent="0.25">
      <c r="A3" t="s">
        <v>174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  <row r="4" spans="1:13" x14ac:dyDescent="0.25">
      <c r="A4" t="s">
        <v>175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 x14ac:dyDescent="0.25">
      <c r="A5" t="s">
        <v>176</v>
      </c>
      <c r="B5">
        <v>170906.45</v>
      </c>
      <c r="C5">
        <v>38882.110000000022</v>
      </c>
      <c r="D5">
        <v>266297.2</v>
      </c>
      <c r="E5">
        <v>199553.96</v>
      </c>
      <c r="F5">
        <v>85836.180000000022</v>
      </c>
      <c r="G5">
        <v>95201.500000000029</v>
      </c>
      <c r="H5">
        <v>130676.08</v>
      </c>
      <c r="I5">
        <v>119943.55</v>
      </c>
      <c r="J5">
        <v>46425.340000000033</v>
      </c>
      <c r="K5">
        <v>-8497.9399999999732</v>
      </c>
      <c r="L5">
        <v>81723.61000000003</v>
      </c>
      <c r="M5">
        <v>88856.630000000034</v>
      </c>
    </row>
    <row r="6" spans="1:13" x14ac:dyDescent="0.25">
      <c r="A6" t="s">
        <v>177</v>
      </c>
      <c r="B6">
        <v>67327.539999999994</v>
      </c>
      <c r="C6">
        <v>111570.9</v>
      </c>
      <c r="D6">
        <v>44014.39</v>
      </c>
      <c r="E6">
        <v>27414.66</v>
      </c>
      <c r="F6">
        <v>19608.72</v>
      </c>
      <c r="G6">
        <v>30857.88</v>
      </c>
      <c r="H6">
        <v>40649.64</v>
      </c>
      <c r="I6">
        <v>74883.38</v>
      </c>
      <c r="J6">
        <v>85720.77</v>
      </c>
      <c r="K6">
        <v>71650.02</v>
      </c>
      <c r="L6">
        <v>84307.650000000009</v>
      </c>
      <c r="M6">
        <v>220900.89</v>
      </c>
    </row>
    <row r="7" spans="1:13" x14ac:dyDescent="0.25">
      <c r="A7" t="s">
        <v>178</v>
      </c>
      <c r="B7">
        <v>576.74000000001979</v>
      </c>
      <c r="C7">
        <v>576.74000000001979</v>
      </c>
      <c r="D7">
        <v>576.74000000001979</v>
      </c>
      <c r="E7">
        <v>576.74000000001979</v>
      </c>
      <c r="F7">
        <v>152576.74</v>
      </c>
      <c r="G7">
        <v>576.74000000001979</v>
      </c>
      <c r="H7">
        <v>576.74000000001979</v>
      </c>
      <c r="I7">
        <v>576.74000000001979</v>
      </c>
      <c r="J7">
        <v>576.74000000001979</v>
      </c>
      <c r="K7">
        <v>576.74000000001979</v>
      </c>
      <c r="L7">
        <v>576.74000000001979</v>
      </c>
      <c r="M7">
        <v>576.74000000001979</v>
      </c>
    </row>
    <row r="8" spans="1:13" x14ac:dyDescent="0.25">
      <c r="A8" t="s">
        <v>179</v>
      </c>
      <c r="B8">
        <v>184.52</v>
      </c>
      <c r="C8">
        <v>184.52</v>
      </c>
      <c r="D8">
        <v>184.52</v>
      </c>
      <c r="E8">
        <v>184.52</v>
      </c>
      <c r="F8">
        <v>184.52</v>
      </c>
      <c r="G8">
        <v>8278.9500000000007</v>
      </c>
      <c r="H8">
        <v>8278.9500000000007</v>
      </c>
      <c r="I8">
        <v>184.52000000000041</v>
      </c>
      <c r="J8">
        <v>184.52000000000041</v>
      </c>
      <c r="K8">
        <v>184.52000000000041</v>
      </c>
      <c r="L8">
        <v>184.52000000000041</v>
      </c>
      <c r="M8">
        <v>4.2632564145606011E-13</v>
      </c>
    </row>
    <row r="9" spans="1:13" x14ac:dyDescent="0.25">
      <c r="A9" t="s">
        <v>180</v>
      </c>
      <c r="B9">
        <v>74408.73</v>
      </c>
      <c r="C9">
        <v>44635.66</v>
      </c>
      <c r="D9">
        <v>80738.679999999993</v>
      </c>
      <c r="E9">
        <v>66160.7</v>
      </c>
      <c r="F9">
        <v>61137.03</v>
      </c>
      <c r="G9">
        <v>61137.03</v>
      </c>
      <c r="H9">
        <v>74852.399999999994</v>
      </c>
      <c r="I9">
        <v>33815.410000000003</v>
      </c>
      <c r="J9">
        <v>185099.48</v>
      </c>
      <c r="K9">
        <v>134696.97</v>
      </c>
      <c r="L9">
        <v>105320.82</v>
      </c>
      <c r="M9">
        <v>111902.34</v>
      </c>
    </row>
    <row r="10" spans="1:13" x14ac:dyDescent="0.25">
      <c r="A10" t="s">
        <v>181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</row>
    <row r="11" spans="1:13" x14ac:dyDescent="0.25">
      <c r="A11" t="s">
        <v>182</v>
      </c>
      <c r="B11">
        <v>0</v>
      </c>
      <c r="C11">
        <v>0</v>
      </c>
      <c r="D11">
        <v>0</v>
      </c>
      <c r="E11">
        <v>-555</v>
      </c>
      <c r="F11">
        <v>1431.83</v>
      </c>
      <c r="G11">
        <v>1431.83</v>
      </c>
      <c r="H11">
        <v>5520.76</v>
      </c>
      <c r="I11">
        <v>0</v>
      </c>
      <c r="J11">
        <v>0</v>
      </c>
      <c r="K11">
        <v>0</v>
      </c>
      <c r="L11">
        <v>0</v>
      </c>
      <c r="M11">
        <v>0</v>
      </c>
    </row>
    <row r="12" spans="1:13" x14ac:dyDescent="0.25">
      <c r="A12" t="s">
        <v>183</v>
      </c>
      <c r="B12">
        <v>313403.98</v>
      </c>
      <c r="C12">
        <v>195849.93</v>
      </c>
      <c r="D12">
        <v>391811.53000000009</v>
      </c>
      <c r="E12">
        <v>293335.58</v>
      </c>
      <c r="F12">
        <v>320775.02000000008</v>
      </c>
      <c r="G12">
        <v>197483.93000000011</v>
      </c>
      <c r="H12">
        <v>260554.57000000009</v>
      </c>
      <c r="I12">
        <v>229403.60000000009</v>
      </c>
      <c r="J12">
        <v>318006.85000000009</v>
      </c>
      <c r="K12">
        <v>198610.31000000011</v>
      </c>
      <c r="L12">
        <v>272113.34000000008</v>
      </c>
      <c r="M12">
        <v>422236.6</v>
      </c>
    </row>
    <row r="13" spans="1:13" x14ac:dyDescent="0.25">
      <c r="A13" t="s">
        <v>184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</row>
    <row r="14" spans="1:13" x14ac:dyDescent="0.25">
      <c r="A14" t="s">
        <v>185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</row>
    <row r="15" spans="1:13" x14ac:dyDescent="0.25">
      <c r="A15" t="s">
        <v>186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</row>
    <row r="16" spans="1:13" x14ac:dyDescent="0.25">
      <c r="A16" t="s">
        <v>187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</row>
    <row r="17" spans="1:13" x14ac:dyDescent="0.25">
      <c r="A17" t="s">
        <v>188</v>
      </c>
      <c r="B17">
        <v>0</v>
      </c>
      <c r="C17">
        <v>0</v>
      </c>
      <c r="D17">
        <v>0</v>
      </c>
      <c r="E17">
        <v>0</v>
      </c>
      <c r="F17">
        <v>1846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</row>
    <row r="18" spans="1:13" x14ac:dyDescent="0.25">
      <c r="A18" t="s">
        <v>189</v>
      </c>
      <c r="B18">
        <v>747.38</v>
      </c>
      <c r="C18">
        <v>747.38</v>
      </c>
      <c r="D18">
        <v>19358.439999999999</v>
      </c>
      <c r="E18">
        <v>28221.74</v>
      </c>
      <c r="F18">
        <v>25189.74</v>
      </c>
      <c r="G18">
        <v>30189.74</v>
      </c>
      <c r="H18">
        <v>30189.74</v>
      </c>
      <c r="I18">
        <v>28003.05</v>
      </c>
      <c r="J18">
        <v>28003.05</v>
      </c>
      <c r="K18">
        <v>28003.05</v>
      </c>
      <c r="L18">
        <v>28003.05</v>
      </c>
      <c r="M18">
        <v>28187.57</v>
      </c>
    </row>
    <row r="19" spans="1:13" x14ac:dyDescent="0.25">
      <c r="A19" t="s">
        <v>190</v>
      </c>
      <c r="B19">
        <v>0</v>
      </c>
      <c r="C19">
        <v>0</v>
      </c>
      <c r="D19">
        <v>0</v>
      </c>
      <c r="E19">
        <v>0</v>
      </c>
      <c r="F19">
        <v>11849</v>
      </c>
      <c r="G19">
        <v>11849</v>
      </c>
      <c r="H19">
        <v>11849</v>
      </c>
      <c r="I19">
        <v>11849</v>
      </c>
      <c r="J19">
        <v>11849</v>
      </c>
      <c r="K19">
        <v>11849</v>
      </c>
      <c r="L19">
        <v>11849</v>
      </c>
      <c r="M19">
        <v>11849</v>
      </c>
    </row>
    <row r="20" spans="1:13" x14ac:dyDescent="0.25">
      <c r="A20" t="s">
        <v>191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</row>
    <row r="21" spans="1:13" x14ac:dyDescent="0.25">
      <c r="A21" t="s">
        <v>192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</row>
    <row r="22" spans="1:13" x14ac:dyDescent="0.25">
      <c r="A22" t="s">
        <v>193</v>
      </c>
      <c r="B22">
        <v>747.38</v>
      </c>
      <c r="C22">
        <v>747.38</v>
      </c>
      <c r="D22">
        <v>19358.439999999999</v>
      </c>
      <c r="E22">
        <v>28221.74</v>
      </c>
      <c r="F22">
        <v>38884.740000000013</v>
      </c>
      <c r="G22">
        <v>42038.740000000013</v>
      </c>
      <c r="H22">
        <v>42038.740000000013</v>
      </c>
      <c r="I22">
        <v>39852.050000000003</v>
      </c>
      <c r="J22">
        <v>39852.050000000003</v>
      </c>
      <c r="K22">
        <v>39852.050000000003</v>
      </c>
      <c r="L22">
        <v>39852.050000000003</v>
      </c>
      <c r="M22">
        <v>40036.570000000007</v>
      </c>
    </row>
    <row r="23" spans="1:13" x14ac:dyDescent="0.25">
      <c r="A23" t="s">
        <v>194</v>
      </c>
      <c r="B23">
        <v>314151.36</v>
      </c>
      <c r="C23">
        <v>196597.31</v>
      </c>
      <c r="D23">
        <v>411169.97000000009</v>
      </c>
      <c r="E23">
        <v>321557.32</v>
      </c>
      <c r="F23">
        <v>359659.76000000013</v>
      </c>
      <c r="G23">
        <v>239522.67</v>
      </c>
      <c r="H23">
        <v>302593.31000000011</v>
      </c>
      <c r="I23">
        <v>269255.65000000008</v>
      </c>
      <c r="J23">
        <v>357858.90000000008</v>
      </c>
      <c r="K23">
        <v>238462.36</v>
      </c>
      <c r="L23">
        <v>311965.39000000007</v>
      </c>
      <c r="M23">
        <v>462273.17</v>
      </c>
    </row>
    <row r="24" spans="1:13" x14ac:dyDescent="0.25">
      <c r="A24" t="s">
        <v>195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</row>
    <row r="25" spans="1:13" x14ac:dyDescent="0.25">
      <c r="A25" t="s">
        <v>196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</row>
    <row r="26" spans="1:13" x14ac:dyDescent="0.25">
      <c r="A26" t="s">
        <v>197</v>
      </c>
      <c r="B26">
        <v>887944.59</v>
      </c>
      <c r="C26">
        <v>887944.59</v>
      </c>
      <c r="D26">
        <v>887944.59</v>
      </c>
      <c r="E26">
        <v>887944.59</v>
      </c>
      <c r="F26">
        <v>887944.59</v>
      </c>
      <c r="G26">
        <v>887944.59</v>
      </c>
      <c r="H26">
        <v>887944.59</v>
      </c>
      <c r="I26">
        <v>887944.59</v>
      </c>
      <c r="J26">
        <v>979155.2</v>
      </c>
      <c r="K26">
        <v>1007973.58</v>
      </c>
      <c r="L26">
        <v>1007973.58</v>
      </c>
      <c r="M26">
        <v>798927.54999999993</v>
      </c>
    </row>
    <row r="27" spans="1:13" x14ac:dyDescent="0.25">
      <c r="A27" t="s">
        <v>198</v>
      </c>
      <c r="B27">
        <v>23657.119999999999</v>
      </c>
      <c r="C27">
        <v>23657.119999999999</v>
      </c>
      <c r="D27">
        <v>23657.119999999999</v>
      </c>
      <c r="E27">
        <v>23657.119999999999</v>
      </c>
      <c r="F27">
        <v>23657.119999999999</v>
      </c>
      <c r="G27">
        <v>23657.119999999999</v>
      </c>
      <c r="H27">
        <v>23657.119999999999</v>
      </c>
      <c r="I27">
        <v>23657.119999999999</v>
      </c>
      <c r="J27">
        <v>23657.119999999999</v>
      </c>
      <c r="K27">
        <v>23657.119999999999</v>
      </c>
      <c r="L27">
        <v>23657.119999999999</v>
      </c>
      <c r="M27">
        <v>4995.4500000000007</v>
      </c>
    </row>
    <row r="28" spans="1:13" x14ac:dyDescent="0.25">
      <c r="A28" t="s">
        <v>199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</row>
    <row r="29" spans="1:13" x14ac:dyDescent="0.25">
      <c r="A29" t="s">
        <v>200</v>
      </c>
      <c r="B29">
        <v>54871.06</v>
      </c>
      <c r="C29">
        <v>54871.06</v>
      </c>
      <c r="D29">
        <v>54871.06</v>
      </c>
      <c r="E29">
        <v>54871.06</v>
      </c>
      <c r="F29">
        <v>54871.06</v>
      </c>
      <c r="G29">
        <v>54871.06</v>
      </c>
      <c r="H29">
        <v>54871.06</v>
      </c>
      <c r="I29">
        <v>54871.06</v>
      </c>
      <c r="J29">
        <v>54871.06</v>
      </c>
      <c r="K29">
        <v>54871.06</v>
      </c>
      <c r="L29">
        <v>54871.06</v>
      </c>
      <c r="M29">
        <v>0</v>
      </c>
    </row>
    <row r="30" spans="1:13" x14ac:dyDescent="0.25">
      <c r="A30" t="s">
        <v>201</v>
      </c>
      <c r="B30">
        <v>18384.43</v>
      </c>
      <c r="C30">
        <v>18384.43</v>
      </c>
      <c r="D30">
        <v>18384.43</v>
      </c>
      <c r="E30">
        <v>18384.43</v>
      </c>
      <c r="F30">
        <v>18384.43</v>
      </c>
      <c r="G30">
        <v>18384.43</v>
      </c>
      <c r="H30">
        <v>18384.43</v>
      </c>
      <c r="I30">
        <v>18384.43</v>
      </c>
      <c r="J30">
        <v>18384.43</v>
      </c>
      <c r="K30">
        <v>18384.43</v>
      </c>
      <c r="L30">
        <v>18384.43</v>
      </c>
      <c r="M30">
        <v>0</v>
      </c>
    </row>
    <row r="31" spans="1:13" x14ac:dyDescent="0.25">
      <c r="A31" t="s">
        <v>202</v>
      </c>
      <c r="B31">
        <v>103275.77</v>
      </c>
      <c r="C31">
        <v>172805.96</v>
      </c>
      <c r="D31">
        <v>172805.96</v>
      </c>
      <c r="E31">
        <v>172805.96</v>
      </c>
      <c r="F31">
        <v>172805.96</v>
      </c>
      <c r="G31">
        <v>172805.96</v>
      </c>
      <c r="H31">
        <v>172805.96</v>
      </c>
      <c r="I31">
        <v>172805.96</v>
      </c>
      <c r="J31">
        <v>172805.96</v>
      </c>
      <c r="K31">
        <v>193555.96</v>
      </c>
      <c r="L31">
        <v>193555.96</v>
      </c>
      <c r="M31">
        <v>193555.96</v>
      </c>
    </row>
    <row r="32" spans="1:13" x14ac:dyDescent="0.25">
      <c r="A32" t="s">
        <v>203</v>
      </c>
      <c r="B32">
        <v>176531.26</v>
      </c>
      <c r="C32">
        <v>246061.45</v>
      </c>
      <c r="D32">
        <v>246061.45</v>
      </c>
      <c r="E32">
        <v>246061.45</v>
      </c>
      <c r="F32">
        <v>246061.45</v>
      </c>
      <c r="G32">
        <v>246061.45</v>
      </c>
      <c r="H32">
        <v>246061.45</v>
      </c>
      <c r="I32">
        <v>246061.45</v>
      </c>
      <c r="J32">
        <v>246061.45</v>
      </c>
      <c r="K32">
        <v>266811.45</v>
      </c>
      <c r="L32">
        <v>266811.45</v>
      </c>
      <c r="M32">
        <v>193555.96</v>
      </c>
    </row>
    <row r="33" spans="1:13" x14ac:dyDescent="0.25">
      <c r="A33" t="s">
        <v>204</v>
      </c>
      <c r="B33">
        <v>33286.22</v>
      </c>
      <c r="C33">
        <v>33286.22</v>
      </c>
      <c r="D33">
        <v>33286.22</v>
      </c>
      <c r="E33">
        <v>33286.22</v>
      </c>
      <c r="F33">
        <v>33286.22</v>
      </c>
      <c r="G33">
        <v>33286.22</v>
      </c>
      <c r="H33">
        <v>33286.22</v>
      </c>
      <c r="I33">
        <v>33286.22</v>
      </c>
      <c r="J33">
        <v>33286.22</v>
      </c>
      <c r="K33">
        <v>38358.300000000003</v>
      </c>
      <c r="L33">
        <v>47272.06</v>
      </c>
      <c r="M33">
        <v>41549.47</v>
      </c>
    </row>
    <row r="34" spans="1:13" x14ac:dyDescent="0.25">
      <c r="A34" t="s">
        <v>205</v>
      </c>
      <c r="B34">
        <v>761069.27</v>
      </c>
      <c r="C34">
        <v>761069.27</v>
      </c>
      <c r="D34">
        <v>761069.27</v>
      </c>
      <c r="E34">
        <v>761069.27</v>
      </c>
      <c r="F34">
        <v>811454.27</v>
      </c>
      <c r="G34">
        <v>932344.27</v>
      </c>
      <c r="H34">
        <v>932344.27</v>
      </c>
      <c r="I34">
        <v>932344.27</v>
      </c>
      <c r="J34">
        <v>932344.27</v>
      </c>
      <c r="K34">
        <v>932344.27</v>
      </c>
      <c r="L34">
        <v>932344.27</v>
      </c>
      <c r="M34">
        <v>916024.9</v>
      </c>
    </row>
    <row r="35" spans="1:13" x14ac:dyDescent="0.25">
      <c r="A35" t="s">
        <v>206</v>
      </c>
      <c r="B35">
        <v>48500</v>
      </c>
      <c r="C35">
        <v>48500</v>
      </c>
      <c r="D35">
        <v>48500</v>
      </c>
      <c r="E35">
        <v>48500</v>
      </c>
      <c r="F35">
        <v>48500</v>
      </c>
      <c r="G35">
        <v>48500</v>
      </c>
      <c r="H35">
        <v>48500</v>
      </c>
      <c r="I35">
        <v>48500</v>
      </c>
      <c r="J35">
        <v>48500</v>
      </c>
      <c r="K35">
        <v>48500</v>
      </c>
      <c r="L35">
        <v>48500</v>
      </c>
      <c r="M35">
        <v>48500</v>
      </c>
    </row>
    <row r="36" spans="1:13" x14ac:dyDescent="0.25">
      <c r="A36" t="s">
        <v>207</v>
      </c>
      <c r="B36">
        <v>70555.56</v>
      </c>
      <c r="C36">
        <v>70555.56</v>
      </c>
      <c r="D36">
        <v>70555.56</v>
      </c>
      <c r="E36">
        <v>70555.56</v>
      </c>
      <c r="F36">
        <v>70555.56</v>
      </c>
      <c r="G36">
        <v>70555.56</v>
      </c>
      <c r="H36">
        <v>70555.56</v>
      </c>
      <c r="I36">
        <v>70555.56</v>
      </c>
      <c r="J36">
        <v>70555.56</v>
      </c>
      <c r="K36">
        <v>70555.56</v>
      </c>
      <c r="L36">
        <v>70555.56</v>
      </c>
      <c r="M36">
        <v>70555.56</v>
      </c>
    </row>
    <row r="37" spans="1:13" x14ac:dyDescent="0.25">
      <c r="A37" t="s">
        <v>208</v>
      </c>
      <c r="B37">
        <v>880124.83000000007</v>
      </c>
      <c r="C37">
        <v>880124.83000000007</v>
      </c>
      <c r="D37">
        <v>880124.83000000007</v>
      </c>
      <c r="E37">
        <v>880124.83000000007</v>
      </c>
      <c r="F37">
        <v>930509.83000000007</v>
      </c>
      <c r="G37">
        <v>1051399.83</v>
      </c>
      <c r="H37">
        <v>1051399.83</v>
      </c>
      <c r="I37">
        <v>1051399.83</v>
      </c>
      <c r="J37">
        <v>1051399.83</v>
      </c>
      <c r="K37">
        <v>1051399.83</v>
      </c>
      <c r="L37">
        <v>1051399.83</v>
      </c>
      <c r="M37">
        <v>1035080.46</v>
      </c>
    </row>
    <row r="38" spans="1:13" x14ac:dyDescent="0.25">
      <c r="A38" t="s">
        <v>209</v>
      </c>
      <c r="B38">
        <v>-1047115.16</v>
      </c>
      <c r="C38">
        <v>-1047115.16</v>
      </c>
      <c r="D38">
        <v>-1047115.16</v>
      </c>
      <c r="E38">
        <v>-1047115.16</v>
      </c>
      <c r="F38">
        <v>-1047115.16</v>
      </c>
      <c r="G38">
        <v>-1047115.16</v>
      </c>
      <c r="H38">
        <v>-1047115.16</v>
      </c>
      <c r="I38">
        <v>-1047115.16</v>
      </c>
      <c r="J38">
        <v>-1047115.16</v>
      </c>
      <c r="K38">
        <v>-1047115.16</v>
      </c>
      <c r="L38">
        <v>-1047115.16</v>
      </c>
      <c r="M38">
        <v>-991109.9</v>
      </c>
    </row>
    <row r="39" spans="1:13" x14ac:dyDescent="0.25">
      <c r="A39" t="s">
        <v>210</v>
      </c>
      <c r="B39">
        <v>954428.86</v>
      </c>
      <c r="C39">
        <v>1023959.05</v>
      </c>
      <c r="D39">
        <v>1023959.05</v>
      </c>
      <c r="E39">
        <v>1023959.05</v>
      </c>
      <c r="F39">
        <v>1074344.05</v>
      </c>
      <c r="G39">
        <v>1195234.05</v>
      </c>
      <c r="H39">
        <v>1195234.05</v>
      </c>
      <c r="I39">
        <v>1195234.05</v>
      </c>
      <c r="J39">
        <v>1286444.6599999999</v>
      </c>
      <c r="K39">
        <v>1341085.1200000001</v>
      </c>
      <c r="L39">
        <v>1349998.88</v>
      </c>
      <c r="M39">
        <v>1082998.99</v>
      </c>
    </row>
    <row r="40" spans="1:13" x14ac:dyDescent="0.25">
      <c r="A40" t="s">
        <v>211</v>
      </c>
      <c r="B40">
        <v>954428.86</v>
      </c>
      <c r="C40">
        <v>1023959.05</v>
      </c>
      <c r="D40">
        <v>1023959.05</v>
      </c>
      <c r="E40">
        <v>1023959.05</v>
      </c>
      <c r="F40">
        <v>1074344.05</v>
      </c>
      <c r="G40">
        <v>1195234.05</v>
      </c>
      <c r="H40">
        <v>1195234.05</v>
      </c>
      <c r="I40">
        <v>1195234.05</v>
      </c>
      <c r="J40">
        <v>1286444.6599999999</v>
      </c>
      <c r="K40">
        <v>1341085.1200000001</v>
      </c>
      <c r="L40">
        <v>1349998.88</v>
      </c>
      <c r="M40">
        <v>1082998.99</v>
      </c>
    </row>
    <row r="41" spans="1:13" x14ac:dyDescent="0.25">
      <c r="A41" t="s">
        <v>212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</row>
    <row r="42" spans="1:13" x14ac:dyDescent="0.25">
      <c r="A42" t="s">
        <v>213</v>
      </c>
      <c r="B42">
        <v>824</v>
      </c>
      <c r="C42">
        <v>824</v>
      </c>
      <c r="D42">
        <v>824</v>
      </c>
      <c r="E42">
        <v>824</v>
      </c>
      <c r="F42">
        <v>824</v>
      </c>
      <c r="G42">
        <v>824</v>
      </c>
      <c r="H42">
        <v>824</v>
      </c>
      <c r="I42">
        <v>824</v>
      </c>
      <c r="J42">
        <v>824</v>
      </c>
      <c r="K42">
        <v>824</v>
      </c>
      <c r="L42">
        <v>824</v>
      </c>
      <c r="M42">
        <v>0</v>
      </c>
    </row>
    <row r="43" spans="1:13" x14ac:dyDescent="0.25">
      <c r="A43" t="s">
        <v>214</v>
      </c>
      <c r="B43">
        <v>0</v>
      </c>
      <c r="C43">
        <v>0</v>
      </c>
      <c r="D43">
        <v>0</v>
      </c>
      <c r="E43">
        <v>700</v>
      </c>
      <c r="F43">
        <v>700</v>
      </c>
      <c r="G43">
        <v>700</v>
      </c>
      <c r="H43">
        <v>700</v>
      </c>
      <c r="I43">
        <v>700</v>
      </c>
      <c r="J43">
        <v>700</v>
      </c>
      <c r="K43">
        <v>700</v>
      </c>
      <c r="L43">
        <v>700</v>
      </c>
      <c r="M43">
        <v>700</v>
      </c>
    </row>
    <row r="44" spans="1:13" x14ac:dyDescent="0.25">
      <c r="A44" t="s">
        <v>215</v>
      </c>
      <c r="B44">
        <v>824</v>
      </c>
      <c r="C44">
        <v>824</v>
      </c>
      <c r="D44">
        <v>824</v>
      </c>
      <c r="E44">
        <v>1524</v>
      </c>
      <c r="F44">
        <v>1524</v>
      </c>
      <c r="G44">
        <v>1524</v>
      </c>
      <c r="H44">
        <v>1524</v>
      </c>
      <c r="I44">
        <v>1524</v>
      </c>
      <c r="J44">
        <v>1524</v>
      </c>
      <c r="K44">
        <v>1524</v>
      </c>
      <c r="L44">
        <v>1524</v>
      </c>
      <c r="M44">
        <v>700</v>
      </c>
    </row>
    <row r="45" spans="1:13" x14ac:dyDescent="0.25">
      <c r="A45" t="s">
        <v>216</v>
      </c>
      <c r="B45">
        <v>1269404.22</v>
      </c>
      <c r="C45">
        <v>1221380.3600000001</v>
      </c>
      <c r="D45">
        <v>1435953.02</v>
      </c>
      <c r="E45">
        <v>1347040.37</v>
      </c>
      <c r="F45">
        <v>1435527.81</v>
      </c>
      <c r="G45">
        <v>1436280.72</v>
      </c>
      <c r="H45">
        <v>1499351.36</v>
      </c>
      <c r="I45">
        <v>1466013.7</v>
      </c>
      <c r="J45">
        <v>1645827.56</v>
      </c>
      <c r="K45">
        <v>1581071.48</v>
      </c>
      <c r="L45">
        <v>1663488.27</v>
      </c>
      <c r="M45">
        <v>1545972.16</v>
      </c>
    </row>
    <row r="46" spans="1:13" x14ac:dyDescent="0.25">
      <c r="A46" t="s">
        <v>217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</row>
    <row r="47" spans="1:13" x14ac:dyDescent="0.25">
      <c r="A47" t="s">
        <v>218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</row>
    <row r="48" spans="1:13" x14ac:dyDescent="0.25">
      <c r="A48" t="s">
        <v>219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</row>
    <row r="49" spans="1:13" x14ac:dyDescent="0.25">
      <c r="A49" t="s">
        <v>220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</row>
    <row r="50" spans="1:13" x14ac:dyDescent="0.25">
      <c r="A50" t="s">
        <v>221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</row>
    <row r="51" spans="1:13" x14ac:dyDescent="0.25">
      <c r="A51" t="s">
        <v>222</v>
      </c>
      <c r="B51">
        <v>15476.72</v>
      </c>
      <c r="C51">
        <v>7848.3399999999992</v>
      </c>
      <c r="D51">
        <v>6781.2199999999993</v>
      </c>
      <c r="E51">
        <v>8776.119999999999</v>
      </c>
      <c r="F51">
        <v>6202.9399999999987</v>
      </c>
      <c r="G51">
        <v>11732.26</v>
      </c>
      <c r="H51">
        <v>15515.47</v>
      </c>
      <c r="I51">
        <v>8655.9099999999962</v>
      </c>
      <c r="J51">
        <v>9312.8799999999956</v>
      </c>
      <c r="K51">
        <v>3059.919999999996</v>
      </c>
      <c r="L51">
        <v>19646.339999999989</v>
      </c>
      <c r="M51">
        <v>17417.709999999988</v>
      </c>
    </row>
    <row r="52" spans="1:13" x14ac:dyDescent="0.25">
      <c r="A52" t="s">
        <v>223</v>
      </c>
      <c r="B52">
        <v>32621.91</v>
      </c>
      <c r="C52">
        <v>23081.52</v>
      </c>
      <c r="D52">
        <v>76.290000000000873</v>
      </c>
      <c r="E52">
        <v>4558.5400000000009</v>
      </c>
      <c r="F52">
        <v>3321.2400000000011</v>
      </c>
      <c r="G52">
        <v>5889.4900000000007</v>
      </c>
      <c r="H52">
        <v>18385.43</v>
      </c>
      <c r="I52">
        <v>579.45000000000073</v>
      </c>
      <c r="J52">
        <v>16522.27</v>
      </c>
      <c r="K52">
        <v>24019.57</v>
      </c>
      <c r="L52">
        <v>4913.2099999999991</v>
      </c>
      <c r="M52">
        <v>32047.83</v>
      </c>
    </row>
    <row r="53" spans="1:13" x14ac:dyDescent="0.25">
      <c r="A53" t="s">
        <v>224</v>
      </c>
      <c r="B53">
        <v>1754.21</v>
      </c>
      <c r="C53">
        <v>1974.46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</row>
    <row r="54" spans="1:13" x14ac:dyDescent="0.25">
      <c r="A54" t="s">
        <v>225</v>
      </c>
      <c r="B54">
        <v>29485.98</v>
      </c>
      <c r="C54">
        <v>14813.04</v>
      </c>
      <c r="D54">
        <v>7994.8399999999992</v>
      </c>
      <c r="E54">
        <v>2084.7199999999989</v>
      </c>
      <c r="F54">
        <v>16586.080000000002</v>
      </c>
      <c r="G54">
        <v>13327.13</v>
      </c>
      <c r="H54">
        <v>13405.34</v>
      </c>
      <c r="I54">
        <v>23086.73</v>
      </c>
      <c r="J54">
        <v>16269.57</v>
      </c>
      <c r="K54">
        <v>21621.8</v>
      </c>
      <c r="L54">
        <v>1949.149999999998</v>
      </c>
      <c r="M54">
        <v>8999.6899999999987</v>
      </c>
    </row>
    <row r="55" spans="1:13" x14ac:dyDescent="0.25">
      <c r="A55" t="s">
        <v>226</v>
      </c>
      <c r="B55">
        <v>0</v>
      </c>
      <c r="C55">
        <v>0</v>
      </c>
      <c r="D55">
        <v>0</v>
      </c>
      <c r="E55">
        <v>694.4</v>
      </c>
      <c r="F55">
        <v>694.4</v>
      </c>
      <c r="G55">
        <v>740.85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</row>
    <row r="56" spans="1:13" x14ac:dyDescent="0.25">
      <c r="A56" t="s">
        <v>227</v>
      </c>
      <c r="B56">
        <v>0</v>
      </c>
      <c r="C56">
        <v>6506.06</v>
      </c>
      <c r="D56">
        <v>-3472.53</v>
      </c>
      <c r="E56">
        <v>-61.869999999999891</v>
      </c>
      <c r="F56">
        <v>1.06581410364015E-13</v>
      </c>
      <c r="G56">
        <v>1.06581410364015E-13</v>
      </c>
      <c r="H56">
        <v>11811.61</v>
      </c>
      <c r="I56">
        <v>0</v>
      </c>
      <c r="J56">
        <v>0</v>
      </c>
      <c r="K56">
        <v>10562.31</v>
      </c>
      <c r="L56">
        <v>0</v>
      </c>
      <c r="M56">
        <v>0</v>
      </c>
    </row>
    <row r="57" spans="1:13" x14ac:dyDescent="0.25">
      <c r="A57" t="s">
        <v>228</v>
      </c>
      <c r="B57">
        <v>4896.88</v>
      </c>
      <c r="C57">
        <v>9265.4700000000012</v>
      </c>
      <c r="D57">
        <v>9738.69</v>
      </c>
      <c r="E57">
        <v>117.5400000000009</v>
      </c>
      <c r="F57">
        <v>8.6686213762732223E-13</v>
      </c>
      <c r="G57">
        <v>8969.5300000000007</v>
      </c>
      <c r="H57">
        <v>7869.2400000000007</v>
      </c>
      <c r="I57">
        <v>7608.1600000000008</v>
      </c>
      <c r="J57">
        <v>10621.68</v>
      </c>
      <c r="K57">
        <v>2171.6200000000008</v>
      </c>
      <c r="L57">
        <v>9.0949470177292824E-13</v>
      </c>
      <c r="M57">
        <v>11.74000000000091</v>
      </c>
    </row>
    <row r="58" spans="1:13" x14ac:dyDescent="0.25">
      <c r="A58" t="s">
        <v>229</v>
      </c>
      <c r="B58">
        <v>1619.52</v>
      </c>
      <c r="C58">
        <v>209.98</v>
      </c>
      <c r="D58">
        <v>327.43</v>
      </c>
      <c r="E58">
        <v>0</v>
      </c>
      <c r="F58">
        <v>0</v>
      </c>
      <c r="G58">
        <v>628.16</v>
      </c>
      <c r="H58">
        <v>642.79</v>
      </c>
      <c r="I58">
        <v>367.99999999999989</v>
      </c>
      <c r="J58">
        <v>-5.6843418860808009E-14</v>
      </c>
      <c r="K58">
        <v>-5.6843418860808009E-14</v>
      </c>
      <c r="L58">
        <v>-5.6843418860808009E-14</v>
      </c>
      <c r="M58">
        <v>-5.6843418860808009E-14</v>
      </c>
    </row>
    <row r="59" spans="1:13" x14ac:dyDescent="0.25">
      <c r="A59" t="s">
        <v>230</v>
      </c>
      <c r="B59">
        <v>0</v>
      </c>
      <c r="C59">
        <v>126.33</v>
      </c>
      <c r="D59">
        <v>0</v>
      </c>
      <c r="E59">
        <v>0</v>
      </c>
      <c r="F59">
        <v>0</v>
      </c>
      <c r="G59">
        <v>0</v>
      </c>
      <c r="H59">
        <v>0</v>
      </c>
      <c r="I59">
        <v>336.64</v>
      </c>
      <c r="J59">
        <v>46.63</v>
      </c>
      <c r="K59">
        <v>-7.1054273576010019E-15</v>
      </c>
      <c r="L59">
        <v>-7.1054273576010019E-15</v>
      </c>
      <c r="M59">
        <v>-7.1054273576010019E-15</v>
      </c>
    </row>
    <row r="60" spans="1:13" x14ac:dyDescent="0.25">
      <c r="A60" t="s">
        <v>231</v>
      </c>
      <c r="B60">
        <v>0</v>
      </c>
      <c r="C60">
        <v>0</v>
      </c>
      <c r="D60">
        <v>30.56</v>
      </c>
      <c r="E60">
        <v>0</v>
      </c>
      <c r="F60">
        <v>0</v>
      </c>
      <c r="G60">
        <v>23.17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</row>
    <row r="61" spans="1:13" x14ac:dyDescent="0.25">
      <c r="A61" t="s">
        <v>232</v>
      </c>
      <c r="B61">
        <v>67.039999999999992</v>
      </c>
      <c r="C61">
        <v>-1.4210854715202001E-14</v>
      </c>
      <c r="D61">
        <v>-1.4210854715202001E-14</v>
      </c>
      <c r="E61">
        <v>-1.4210854715202001E-14</v>
      </c>
      <c r="F61">
        <v>-1.4210854715202001E-14</v>
      </c>
      <c r="G61">
        <v>-1.4210854715202001E-14</v>
      </c>
      <c r="H61">
        <v>-1.4210854715202001E-14</v>
      </c>
      <c r="I61">
        <v>-1.4210854715202001E-14</v>
      </c>
      <c r="J61">
        <v>-1.4210854715202001E-14</v>
      </c>
      <c r="K61">
        <v>-1.4210854715202001E-14</v>
      </c>
      <c r="L61">
        <v>-1.4210854715202001E-14</v>
      </c>
      <c r="M61">
        <v>-1.4210854715202001E-14</v>
      </c>
    </row>
    <row r="62" spans="1:13" x14ac:dyDescent="0.25">
      <c r="A62" t="s">
        <v>233</v>
      </c>
      <c r="B62">
        <v>7556.7199999999993</v>
      </c>
      <c r="C62">
        <v>7536.1299999999992</v>
      </c>
      <c r="D62">
        <v>-9.0949470177292824E-13</v>
      </c>
      <c r="E62">
        <v>-9.0949470177292824E-13</v>
      </c>
      <c r="F62">
        <v>-9.0949470177292824E-13</v>
      </c>
      <c r="G62">
        <v>-9.0949470177292824E-13</v>
      </c>
      <c r="H62">
        <v>-9.0949470177292824E-13</v>
      </c>
      <c r="I62">
        <v>-9.0949470177292824E-13</v>
      </c>
      <c r="J62">
        <v>49.999999999999091</v>
      </c>
      <c r="K62">
        <v>-9.0949470177292824E-13</v>
      </c>
      <c r="L62">
        <v>-9.0949470177292824E-13</v>
      </c>
      <c r="M62">
        <v>-9.0949470177292824E-13</v>
      </c>
    </row>
    <row r="63" spans="1:13" x14ac:dyDescent="0.25">
      <c r="A63" t="s">
        <v>234</v>
      </c>
      <c r="B63">
        <v>93478.98</v>
      </c>
      <c r="C63">
        <v>71361.33</v>
      </c>
      <c r="D63">
        <v>21476.5</v>
      </c>
      <c r="E63">
        <v>16169.45</v>
      </c>
      <c r="F63">
        <v>26804.66</v>
      </c>
      <c r="G63">
        <v>41310.589999999997</v>
      </c>
      <c r="H63">
        <v>67629.87999999999</v>
      </c>
      <c r="I63">
        <v>40634.89</v>
      </c>
      <c r="J63">
        <v>52823.029999999992</v>
      </c>
      <c r="K63">
        <v>61435.219999999987</v>
      </c>
      <c r="L63">
        <v>26508.69999999999</v>
      </c>
      <c r="M63">
        <v>58476.969999999987</v>
      </c>
    </row>
    <row r="64" spans="1:13" x14ac:dyDescent="0.25">
      <c r="A64" t="s">
        <v>235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</row>
    <row r="65" spans="1:13" x14ac:dyDescent="0.25">
      <c r="A65" t="s">
        <v>236</v>
      </c>
      <c r="B65">
        <v>210000</v>
      </c>
      <c r="C65">
        <v>360000</v>
      </c>
      <c r="D65">
        <v>375707.44</v>
      </c>
      <c r="E65">
        <v>375707.44</v>
      </c>
      <c r="F65">
        <v>367707.44</v>
      </c>
      <c r="G65">
        <v>215707.44</v>
      </c>
      <c r="H65">
        <v>255707.44</v>
      </c>
      <c r="I65">
        <v>318000</v>
      </c>
      <c r="J65">
        <v>360000</v>
      </c>
      <c r="K65">
        <v>360000</v>
      </c>
      <c r="L65">
        <v>400000</v>
      </c>
      <c r="M65">
        <v>400000</v>
      </c>
    </row>
    <row r="66" spans="1:13" x14ac:dyDescent="0.25">
      <c r="A66" t="s">
        <v>237</v>
      </c>
      <c r="B66">
        <v>0</v>
      </c>
      <c r="C66">
        <v>0</v>
      </c>
      <c r="D66">
        <v>17533.63</v>
      </c>
      <c r="E66">
        <v>-14640.48</v>
      </c>
      <c r="F66">
        <v>-14640.48</v>
      </c>
      <c r="G66">
        <v>-14822.48</v>
      </c>
      <c r="H66">
        <v>-14822.48</v>
      </c>
      <c r="I66">
        <v>-14822.48</v>
      </c>
      <c r="J66">
        <v>-14822.48</v>
      </c>
      <c r="K66">
        <v>-14822.48</v>
      </c>
      <c r="L66">
        <v>-14822.48</v>
      </c>
      <c r="M66">
        <v>0</v>
      </c>
    </row>
    <row r="67" spans="1:13" x14ac:dyDescent="0.25">
      <c r="A67" t="s">
        <v>238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</row>
    <row r="68" spans="1:13" x14ac:dyDescent="0.25">
      <c r="A68" t="s">
        <v>239</v>
      </c>
      <c r="B68">
        <v>32174.11</v>
      </c>
      <c r="C68">
        <v>32174.11</v>
      </c>
      <c r="D68">
        <v>31648.95</v>
      </c>
      <c r="E68">
        <v>32380.28</v>
      </c>
      <c r="F68">
        <v>15061.22</v>
      </c>
      <c r="G68">
        <v>15061.22</v>
      </c>
      <c r="H68">
        <v>15061.22</v>
      </c>
      <c r="I68">
        <v>33832.43</v>
      </c>
      <c r="J68">
        <v>37046.629999999997</v>
      </c>
      <c r="K68">
        <v>15061.22</v>
      </c>
      <c r="L68">
        <v>15061.22</v>
      </c>
      <c r="M68">
        <v>-1.8189894035458561E-12</v>
      </c>
    </row>
    <row r="69" spans="1:13" x14ac:dyDescent="0.25">
      <c r="A69" t="s">
        <v>240</v>
      </c>
      <c r="B69">
        <v>546</v>
      </c>
      <c r="C69">
        <v>821.6</v>
      </c>
      <c r="D69">
        <v>947.49</v>
      </c>
      <c r="E69">
        <v>-122.53</v>
      </c>
      <c r="F69">
        <v>-118.09</v>
      </c>
      <c r="G69">
        <v>-67.259999999999977</v>
      </c>
      <c r="H69">
        <v>-33.219999999999978</v>
      </c>
      <c r="I69">
        <v>-28.34999999999998</v>
      </c>
      <c r="J69">
        <v>17.860000000000021</v>
      </c>
      <c r="K69">
        <v>88.270000000000024</v>
      </c>
      <c r="L69">
        <v>254.82000000000011</v>
      </c>
      <c r="M69">
        <v>599.23</v>
      </c>
    </row>
    <row r="70" spans="1:13" x14ac:dyDescent="0.25">
      <c r="A70" t="s">
        <v>241</v>
      </c>
      <c r="B70">
        <v>11107.67</v>
      </c>
      <c r="C70">
        <v>15942.2</v>
      </c>
      <c r="D70">
        <v>17170.580000000002</v>
      </c>
      <c r="E70">
        <v>14831.88</v>
      </c>
      <c r="F70">
        <v>14906.95</v>
      </c>
      <c r="G70">
        <v>14896.83</v>
      </c>
      <c r="H70">
        <v>14768.91</v>
      </c>
      <c r="I70">
        <v>17559.89</v>
      </c>
      <c r="J70">
        <v>15549.8</v>
      </c>
      <c r="K70">
        <v>16389.650000000001</v>
      </c>
      <c r="L70">
        <v>17945.689999999999</v>
      </c>
      <c r="M70">
        <v>7005.3299999999981</v>
      </c>
    </row>
    <row r="71" spans="1:13" x14ac:dyDescent="0.25">
      <c r="A71" t="s">
        <v>242</v>
      </c>
      <c r="B71">
        <v>185.55</v>
      </c>
      <c r="C71">
        <v>271.77999999999997</v>
      </c>
      <c r="D71">
        <v>-604.71</v>
      </c>
      <c r="E71">
        <v>-922.32</v>
      </c>
      <c r="F71">
        <v>-917.88</v>
      </c>
      <c r="G71">
        <v>-915.18</v>
      </c>
      <c r="H71">
        <v>-936.62</v>
      </c>
      <c r="I71">
        <v>-935.41</v>
      </c>
      <c r="J71">
        <v>-920.01</v>
      </c>
      <c r="K71">
        <v>-926.45</v>
      </c>
      <c r="L71">
        <v>-894.86</v>
      </c>
      <c r="M71">
        <v>70.569999999999936</v>
      </c>
    </row>
    <row r="72" spans="1:13" x14ac:dyDescent="0.25">
      <c r="A72" t="s">
        <v>243</v>
      </c>
      <c r="B72">
        <v>549.91</v>
      </c>
      <c r="C72">
        <v>598.47</v>
      </c>
      <c r="D72">
        <v>977.02</v>
      </c>
      <c r="E72">
        <v>594</v>
      </c>
      <c r="F72">
        <v>657.4</v>
      </c>
      <c r="G72">
        <v>653.86</v>
      </c>
      <c r="H72">
        <v>983.88</v>
      </c>
      <c r="I72">
        <v>2198.0500000000002</v>
      </c>
      <c r="J72">
        <v>1354.46</v>
      </c>
      <c r="K72">
        <v>1656.17</v>
      </c>
      <c r="L72">
        <v>2067.25</v>
      </c>
      <c r="M72">
        <v>2811.42</v>
      </c>
    </row>
    <row r="73" spans="1:13" x14ac:dyDescent="0.25">
      <c r="A73" t="s">
        <v>244</v>
      </c>
      <c r="B73">
        <v>287.69</v>
      </c>
      <c r="C73">
        <v>464.34</v>
      </c>
      <c r="D73">
        <v>513</v>
      </c>
      <c r="E73">
        <v>0</v>
      </c>
      <c r="F73">
        <v>0</v>
      </c>
      <c r="G73">
        <v>264.99</v>
      </c>
      <c r="H73">
        <v>174.93</v>
      </c>
      <c r="I73">
        <v>248.01</v>
      </c>
      <c r="J73">
        <v>248.01</v>
      </c>
      <c r="K73">
        <v>206.5</v>
      </c>
      <c r="L73">
        <v>613.55999999999995</v>
      </c>
      <c r="M73">
        <v>1216.28</v>
      </c>
    </row>
    <row r="74" spans="1:13" x14ac:dyDescent="0.25">
      <c r="A74" t="s">
        <v>245</v>
      </c>
      <c r="B74">
        <v>167.5</v>
      </c>
      <c r="C74">
        <v>583.20000000000005</v>
      </c>
      <c r="D74">
        <v>1206.06</v>
      </c>
      <c r="E74">
        <v>413.04</v>
      </c>
      <c r="F74">
        <v>826.07999999999993</v>
      </c>
      <c r="G74">
        <v>1239.1199999999999</v>
      </c>
      <c r="H74">
        <v>413.03999999999979</v>
      </c>
      <c r="I74">
        <v>1052.1600000000001</v>
      </c>
      <c r="J74">
        <v>1496.99</v>
      </c>
      <c r="K74">
        <v>457.05999999999972</v>
      </c>
      <c r="L74">
        <v>914.11999999999966</v>
      </c>
      <c r="M74">
        <v>1371.18</v>
      </c>
    </row>
    <row r="75" spans="1:13" x14ac:dyDescent="0.25">
      <c r="A75" t="s">
        <v>246</v>
      </c>
      <c r="B75">
        <v>0</v>
      </c>
      <c r="C75">
        <v>195.46</v>
      </c>
      <c r="D75">
        <v>221</v>
      </c>
      <c r="E75">
        <v>221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</row>
    <row r="76" spans="1:13" x14ac:dyDescent="0.25">
      <c r="A76" t="s">
        <v>247</v>
      </c>
      <c r="B76">
        <v>402.25</v>
      </c>
      <c r="C76">
        <v>502.62</v>
      </c>
      <c r="D76">
        <v>567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</row>
    <row r="77" spans="1:13" x14ac:dyDescent="0.25">
      <c r="A77" t="s">
        <v>248</v>
      </c>
      <c r="B77">
        <v>45420.680000000008</v>
      </c>
      <c r="C77">
        <v>51553.78</v>
      </c>
      <c r="D77">
        <v>52646.39</v>
      </c>
      <c r="E77">
        <v>47395.350000000013</v>
      </c>
      <c r="F77">
        <v>30415.68</v>
      </c>
      <c r="G77">
        <v>31133.58</v>
      </c>
      <c r="H77">
        <v>30432.14000000001</v>
      </c>
      <c r="I77">
        <v>53926.78</v>
      </c>
      <c r="J77">
        <v>54793.739999999991</v>
      </c>
      <c r="K77">
        <v>32932.419999999991</v>
      </c>
      <c r="L77">
        <v>35961.800000000003</v>
      </c>
      <c r="M77">
        <v>13074.01</v>
      </c>
    </row>
    <row r="78" spans="1:13" x14ac:dyDescent="0.25">
      <c r="A78" t="s">
        <v>249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</row>
    <row r="79" spans="1:13" x14ac:dyDescent="0.25">
      <c r="A79" t="s">
        <v>250</v>
      </c>
      <c r="B79">
        <v>-990.56</v>
      </c>
      <c r="C79">
        <v>-1638.32</v>
      </c>
      <c r="D79">
        <v>-472.55</v>
      </c>
      <c r="E79">
        <v>-593.13</v>
      </c>
      <c r="F79">
        <v>-694.68</v>
      </c>
      <c r="G79">
        <v>-678.17</v>
      </c>
      <c r="H79">
        <v>-842.82999999999993</v>
      </c>
      <c r="I79">
        <v>-323.74999999999989</v>
      </c>
      <c r="J79">
        <v>-576.4799999999999</v>
      </c>
      <c r="K79">
        <v>-704.76999999999987</v>
      </c>
      <c r="L79">
        <v>-802.24999999999989</v>
      </c>
      <c r="M79">
        <v>1326.8</v>
      </c>
    </row>
    <row r="80" spans="1:13" x14ac:dyDescent="0.25">
      <c r="A80" t="s">
        <v>251</v>
      </c>
      <c r="B80">
        <v>148.91999999999999</v>
      </c>
      <c r="C80">
        <v>320.86</v>
      </c>
      <c r="D80">
        <v>597.77</v>
      </c>
      <c r="E80">
        <v>558.74</v>
      </c>
      <c r="F80">
        <v>535.25</v>
      </c>
      <c r="G80">
        <v>543.52</v>
      </c>
      <c r="H80">
        <v>502.95</v>
      </c>
      <c r="I80">
        <v>622.87</v>
      </c>
      <c r="J80">
        <v>570.51</v>
      </c>
      <c r="K80">
        <v>548.18999999999994</v>
      </c>
      <c r="L80">
        <v>526.44999999999993</v>
      </c>
      <c r="M80">
        <v>289.00999999999988</v>
      </c>
    </row>
    <row r="81" spans="1:13" x14ac:dyDescent="0.25">
      <c r="A81" t="s">
        <v>252</v>
      </c>
      <c r="B81">
        <v>0</v>
      </c>
      <c r="C81">
        <v>0</v>
      </c>
      <c r="D81">
        <v>0</v>
      </c>
      <c r="E81">
        <v>9.9499999999999993</v>
      </c>
      <c r="F81">
        <v>-13.5</v>
      </c>
      <c r="G81">
        <v>31.19</v>
      </c>
      <c r="H81">
        <v>6.6099999999999994</v>
      </c>
      <c r="I81">
        <v>81.19</v>
      </c>
      <c r="J81">
        <v>62.9</v>
      </c>
      <c r="K81">
        <v>43.91</v>
      </c>
      <c r="L81">
        <v>50.86</v>
      </c>
      <c r="M81">
        <v>279.36</v>
      </c>
    </row>
    <row r="82" spans="1:13" x14ac:dyDescent="0.25">
      <c r="A82" t="s">
        <v>253</v>
      </c>
      <c r="B82">
        <v>0</v>
      </c>
      <c r="C82">
        <v>0</v>
      </c>
      <c r="D82">
        <v>0</v>
      </c>
      <c r="E82">
        <v>-74.09</v>
      </c>
      <c r="F82">
        <v>-91.92</v>
      </c>
      <c r="G82">
        <v>-71.849999999999994</v>
      </c>
      <c r="H82">
        <v>-99.339999999999989</v>
      </c>
      <c r="I82">
        <v>8.2800000000000153</v>
      </c>
      <c r="J82">
        <v>-28.11999999999998</v>
      </c>
      <c r="K82">
        <v>-51.499999999999993</v>
      </c>
      <c r="L82">
        <v>-55.739999999999988</v>
      </c>
      <c r="M82">
        <v>328.16</v>
      </c>
    </row>
    <row r="83" spans="1:13" x14ac:dyDescent="0.25">
      <c r="A83" t="s">
        <v>254</v>
      </c>
      <c r="B83">
        <v>0</v>
      </c>
      <c r="C83">
        <v>0</v>
      </c>
      <c r="D83">
        <v>0</v>
      </c>
      <c r="E83">
        <v>-98.44</v>
      </c>
      <c r="F83">
        <v>-178.84</v>
      </c>
      <c r="G83">
        <v>-64.73</v>
      </c>
      <c r="H83">
        <v>-141.13999999999999</v>
      </c>
      <c r="I83">
        <v>146.54</v>
      </c>
      <c r="J83">
        <v>89.03000000000003</v>
      </c>
      <c r="K83">
        <v>54.340000000000032</v>
      </c>
      <c r="L83">
        <v>-23.699999999999971</v>
      </c>
      <c r="M83">
        <v>928.07</v>
      </c>
    </row>
    <row r="84" spans="1:13" x14ac:dyDescent="0.25">
      <c r="A84" t="s">
        <v>255</v>
      </c>
      <c r="B84">
        <v>0</v>
      </c>
      <c r="C84">
        <v>0</v>
      </c>
      <c r="D84">
        <v>297.16000000000003</v>
      </c>
      <c r="E84">
        <v>7428.76</v>
      </c>
      <c r="F84">
        <v>-3789.83</v>
      </c>
      <c r="G84">
        <v>-5439.57</v>
      </c>
      <c r="H84">
        <v>-5439.57</v>
      </c>
      <c r="I84">
        <v>-5439.57</v>
      </c>
      <c r="J84">
        <v>-5736.7199999999993</v>
      </c>
      <c r="K84">
        <v>-5712.6299999999992</v>
      </c>
      <c r="L84">
        <v>-5985.69</v>
      </c>
      <c r="M84">
        <v>7725.9000000000005</v>
      </c>
    </row>
    <row r="85" spans="1:13" x14ac:dyDescent="0.25">
      <c r="A85" t="s">
        <v>256</v>
      </c>
      <c r="B85">
        <v>26659.599999999999</v>
      </c>
      <c r="C85">
        <v>26659.599999999999</v>
      </c>
      <c r="D85">
        <v>26659.599999999999</v>
      </c>
      <c r="E85">
        <v>26659.599999999999</v>
      </c>
      <c r="F85">
        <v>26659.599999999999</v>
      </c>
      <c r="G85">
        <v>26659.599999999999</v>
      </c>
      <c r="H85">
        <v>26659.599999999999</v>
      </c>
      <c r="I85">
        <v>26659.599999999999</v>
      </c>
      <c r="J85">
        <v>26659.599999999999</v>
      </c>
      <c r="K85">
        <v>26659.599999999999</v>
      </c>
      <c r="L85">
        <v>26659.599999999999</v>
      </c>
      <c r="M85">
        <v>26659.599999999999</v>
      </c>
    </row>
    <row r="86" spans="1:13" x14ac:dyDescent="0.25">
      <c r="A86" t="s">
        <v>257</v>
      </c>
      <c r="B86">
        <v>25817.96</v>
      </c>
      <c r="C86">
        <v>25342.14</v>
      </c>
      <c r="D86">
        <v>27081.98</v>
      </c>
      <c r="E86">
        <v>33891.39</v>
      </c>
      <c r="F86">
        <v>22426.080000000002</v>
      </c>
      <c r="G86">
        <v>20979.99</v>
      </c>
      <c r="H86">
        <v>20646.28</v>
      </c>
      <c r="I86">
        <v>21755.16</v>
      </c>
      <c r="J86">
        <v>21040.720000000001</v>
      </c>
      <c r="K86">
        <v>20837.14</v>
      </c>
      <c r="L86">
        <v>20369.53</v>
      </c>
      <c r="M86">
        <v>37536.9</v>
      </c>
    </row>
    <row r="87" spans="1:13" x14ac:dyDescent="0.25">
      <c r="A87" t="s">
        <v>258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</row>
    <row r="88" spans="1:13" x14ac:dyDescent="0.25">
      <c r="A88" t="s">
        <v>259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</row>
    <row r="89" spans="1:13" x14ac:dyDescent="0.25">
      <c r="A89" t="s">
        <v>260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</row>
    <row r="90" spans="1:13" x14ac:dyDescent="0.25">
      <c r="A90" t="s">
        <v>261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21682.400000000001</v>
      </c>
      <c r="L90">
        <v>21682.400000000001</v>
      </c>
      <c r="M90">
        <v>19479.16</v>
      </c>
    </row>
    <row r="91" spans="1:13" x14ac:dyDescent="0.25">
      <c r="A91" t="s">
        <v>262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</row>
    <row r="92" spans="1:13" x14ac:dyDescent="0.25">
      <c r="A92" t="s">
        <v>263</v>
      </c>
      <c r="B92">
        <v>281238.64</v>
      </c>
      <c r="C92">
        <v>436895.92</v>
      </c>
      <c r="D92">
        <v>472969.44</v>
      </c>
      <c r="E92">
        <v>442353.70000000013</v>
      </c>
      <c r="F92">
        <v>405908.72</v>
      </c>
      <c r="G92">
        <v>252998.53</v>
      </c>
      <c r="H92">
        <v>291963.38</v>
      </c>
      <c r="I92">
        <v>378859.46</v>
      </c>
      <c r="J92">
        <v>421011.98</v>
      </c>
      <c r="K92">
        <v>420629.48</v>
      </c>
      <c r="L92">
        <v>463191.25</v>
      </c>
      <c r="M92">
        <v>470090.07000000012</v>
      </c>
    </row>
    <row r="93" spans="1:13" x14ac:dyDescent="0.25">
      <c r="A93" t="s">
        <v>264</v>
      </c>
      <c r="B93">
        <v>374717.62</v>
      </c>
      <c r="C93">
        <v>508257.25000000012</v>
      </c>
      <c r="D93">
        <v>494445.94</v>
      </c>
      <c r="E93">
        <v>458523.15000000008</v>
      </c>
      <c r="F93">
        <v>432713.38</v>
      </c>
      <c r="G93">
        <v>294309.12</v>
      </c>
      <c r="H93">
        <v>359593.26</v>
      </c>
      <c r="I93">
        <v>419494.35</v>
      </c>
      <c r="J93">
        <v>473835.01</v>
      </c>
      <c r="K93">
        <v>482064.7</v>
      </c>
      <c r="L93">
        <v>489699.95</v>
      </c>
      <c r="M93">
        <v>528567.04000000004</v>
      </c>
    </row>
    <row r="94" spans="1:13" x14ac:dyDescent="0.25">
      <c r="A94" t="s">
        <v>265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</row>
    <row r="95" spans="1:13" x14ac:dyDescent="0.25">
      <c r="A95" t="s">
        <v>266</v>
      </c>
      <c r="B95">
        <v>89499.839999999997</v>
      </c>
      <c r="C95">
        <v>89499.839999999997</v>
      </c>
      <c r="D95">
        <v>89499.839999999997</v>
      </c>
      <c r="E95">
        <v>89499.839999999997</v>
      </c>
      <c r="F95">
        <v>89499.839999999997</v>
      </c>
      <c r="G95">
        <v>89499.839999999997</v>
      </c>
      <c r="H95">
        <v>89499.839999999997</v>
      </c>
      <c r="I95">
        <v>89499.839999999997</v>
      </c>
      <c r="J95">
        <v>89499.839999999997</v>
      </c>
      <c r="K95">
        <v>89499.839999999997</v>
      </c>
      <c r="L95">
        <v>89499.839999999997</v>
      </c>
      <c r="M95">
        <v>0</v>
      </c>
    </row>
    <row r="96" spans="1:13" x14ac:dyDescent="0.25">
      <c r="A96" t="s">
        <v>267</v>
      </c>
      <c r="B96">
        <v>12818.62</v>
      </c>
      <c r="C96">
        <v>12430.18</v>
      </c>
      <c r="D96">
        <v>12041.74</v>
      </c>
      <c r="E96">
        <v>11653.3</v>
      </c>
      <c r="F96">
        <v>11264.86</v>
      </c>
      <c r="G96">
        <v>10876.42</v>
      </c>
      <c r="H96">
        <v>10487.98</v>
      </c>
      <c r="I96">
        <v>10099.540000000001</v>
      </c>
      <c r="J96">
        <v>9711.0999999999949</v>
      </c>
      <c r="K96">
        <v>9322.6599999999944</v>
      </c>
      <c r="L96">
        <v>8934.2199999999939</v>
      </c>
      <c r="M96">
        <v>8545.7799999999934</v>
      </c>
    </row>
    <row r="97" spans="1:13" x14ac:dyDescent="0.25">
      <c r="A97" t="s">
        <v>268</v>
      </c>
      <c r="B97">
        <v>8493.44</v>
      </c>
      <c r="C97">
        <v>7858.0800000000008</v>
      </c>
      <c r="D97">
        <v>7217.5600000000013</v>
      </c>
      <c r="E97">
        <v>6576.4300000000012</v>
      </c>
      <c r="F97">
        <v>5931.4500000000007</v>
      </c>
      <c r="G97">
        <v>5284.51</v>
      </c>
      <c r="H97">
        <v>4634.0600000000004</v>
      </c>
      <c r="I97">
        <v>3981.25</v>
      </c>
      <c r="J97">
        <v>3325.4900000000011</v>
      </c>
      <c r="K97">
        <v>2666.4700000000012</v>
      </c>
      <c r="L97">
        <v>2004.7700000000009</v>
      </c>
      <c r="M97">
        <v>1339.7900000000011</v>
      </c>
    </row>
    <row r="98" spans="1:13" x14ac:dyDescent="0.25">
      <c r="A98" t="s">
        <v>269</v>
      </c>
      <c r="B98">
        <v>21535.53</v>
      </c>
      <c r="C98">
        <v>20677.150000000001</v>
      </c>
      <c r="D98">
        <v>19810.45</v>
      </c>
      <c r="E98">
        <v>18945.509999999998</v>
      </c>
      <c r="F98">
        <v>18075.14</v>
      </c>
      <c r="G98">
        <v>17203.7</v>
      </c>
      <c r="H98">
        <v>16326.91</v>
      </c>
      <c r="I98">
        <v>15449.03</v>
      </c>
      <c r="J98">
        <v>14567.75</v>
      </c>
      <c r="K98">
        <v>13681.62</v>
      </c>
      <c r="L98">
        <v>12793.72</v>
      </c>
      <c r="M98">
        <v>11900.95</v>
      </c>
    </row>
    <row r="99" spans="1:13" x14ac:dyDescent="0.25">
      <c r="A99" t="s">
        <v>270</v>
      </c>
      <c r="B99">
        <v>14568.76</v>
      </c>
      <c r="C99">
        <v>13828.14</v>
      </c>
      <c r="D99">
        <v>13081.58</v>
      </c>
      <c r="E99">
        <v>12335.39</v>
      </c>
      <c r="F99">
        <v>11584.91</v>
      </c>
      <c r="G99">
        <v>10833.29</v>
      </c>
      <c r="H99">
        <v>10077.370000000001</v>
      </c>
      <c r="I99">
        <v>9319.9199999999983</v>
      </c>
      <c r="J99">
        <v>8559.7299999999977</v>
      </c>
      <c r="K99">
        <v>7795.5599999999977</v>
      </c>
      <c r="L99">
        <v>7029.5699999999979</v>
      </c>
      <c r="M99">
        <v>6259.8599999999979</v>
      </c>
    </row>
    <row r="100" spans="1:13" x14ac:dyDescent="0.25">
      <c r="A100" t="s">
        <v>271</v>
      </c>
      <c r="B100">
        <v>38989.82</v>
      </c>
      <c r="C100">
        <v>37759.760000000002</v>
      </c>
      <c r="D100">
        <v>36515.839999999997</v>
      </c>
      <c r="E100">
        <v>35276.280000000013</v>
      </c>
      <c r="F100">
        <v>34028.31</v>
      </c>
      <c r="G100">
        <v>32779.65</v>
      </c>
      <c r="H100">
        <v>31522.55</v>
      </c>
      <c r="I100">
        <v>30265.02</v>
      </c>
      <c r="J100">
        <v>29002.59</v>
      </c>
      <c r="K100">
        <v>27732.11</v>
      </c>
      <c r="L100">
        <v>26460.71</v>
      </c>
      <c r="M100">
        <v>25181.23</v>
      </c>
    </row>
    <row r="101" spans="1:13" x14ac:dyDescent="0.25">
      <c r="A101" t="s">
        <v>272</v>
      </c>
      <c r="B101">
        <v>51054.2</v>
      </c>
      <c r="C101">
        <v>50028.860000000008</v>
      </c>
      <c r="D101">
        <v>48999.890000000007</v>
      </c>
      <c r="E101">
        <v>47973.30000000001</v>
      </c>
      <c r="F101">
        <v>46937.05000000001</v>
      </c>
      <c r="G101">
        <v>46937.05000000001</v>
      </c>
      <c r="H101">
        <v>44859.210000000006</v>
      </c>
      <c r="I101">
        <v>43817.23</v>
      </c>
      <c r="J101">
        <v>42771.43</v>
      </c>
      <c r="K101">
        <v>41716.76</v>
      </c>
      <c r="L101">
        <v>41716.76</v>
      </c>
      <c r="M101">
        <v>39601.39</v>
      </c>
    </row>
    <row r="102" spans="1:13" x14ac:dyDescent="0.25">
      <c r="A102" t="s">
        <v>273</v>
      </c>
      <c r="B102">
        <v>60914.22</v>
      </c>
      <c r="C102">
        <v>59648.75</v>
      </c>
      <c r="D102">
        <v>58357.49</v>
      </c>
      <c r="E102">
        <v>57079.02</v>
      </c>
      <c r="F102">
        <v>55784.219999999987</v>
      </c>
      <c r="G102">
        <v>54492.239999999991</v>
      </c>
      <c r="H102">
        <v>53184.509999999987</v>
      </c>
      <c r="I102">
        <v>51879.099999999977</v>
      </c>
      <c r="J102">
        <v>50567.379999999983</v>
      </c>
      <c r="K102">
        <v>49240.019999999982</v>
      </c>
      <c r="L102">
        <v>47914.229999999981</v>
      </c>
      <c r="M102">
        <v>46573.82999999998</v>
      </c>
    </row>
    <row r="103" spans="1:13" x14ac:dyDescent="0.25">
      <c r="A103" t="s">
        <v>274</v>
      </c>
      <c r="B103">
        <v>59395.719999999987</v>
      </c>
      <c r="C103">
        <v>57920.249999999993</v>
      </c>
      <c r="D103">
        <v>56417.109999999993</v>
      </c>
      <c r="E103">
        <v>54925.509999999987</v>
      </c>
      <c r="F103">
        <v>53417.55</v>
      </c>
      <c r="G103">
        <v>51910.46</v>
      </c>
      <c r="H103">
        <v>50386.93</v>
      </c>
      <c r="I103">
        <v>48864.68</v>
      </c>
      <c r="J103">
        <v>47334.06</v>
      </c>
      <c r="K103">
        <v>45787.649999999987</v>
      </c>
      <c r="L103">
        <v>44241.639999999992</v>
      </c>
      <c r="M103">
        <v>42679.759999999987</v>
      </c>
    </row>
    <row r="104" spans="1:13" x14ac:dyDescent="0.25">
      <c r="A104" t="s">
        <v>275</v>
      </c>
      <c r="B104">
        <v>62990</v>
      </c>
      <c r="C104">
        <v>62764.09</v>
      </c>
      <c r="D104">
        <v>60447.46</v>
      </c>
      <c r="E104">
        <v>59593.71</v>
      </c>
      <c r="F104">
        <v>58747.78</v>
      </c>
      <c r="G104">
        <v>57853.84</v>
      </c>
      <c r="H104">
        <v>56967.44</v>
      </c>
      <c r="I104">
        <v>56088.219999999987</v>
      </c>
      <c r="J104">
        <v>55202.55999999999</v>
      </c>
      <c r="K104">
        <v>54323.44999999999</v>
      </c>
      <c r="L104">
        <v>53399.219999999987</v>
      </c>
      <c r="M104">
        <v>52481.26999999999</v>
      </c>
    </row>
    <row r="105" spans="1:13" x14ac:dyDescent="0.25">
      <c r="A105" t="s">
        <v>276</v>
      </c>
      <c r="B105">
        <v>0</v>
      </c>
      <c r="C105">
        <v>0</v>
      </c>
      <c r="D105">
        <v>0</v>
      </c>
      <c r="E105">
        <v>0</v>
      </c>
      <c r="F105">
        <v>50385</v>
      </c>
      <c r="G105">
        <v>50385</v>
      </c>
      <c r="H105">
        <v>49036.29</v>
      </c>
      <c r="I105">
        <v>49036.29</v>
      </c>
      <c r="J105">
        <v>47557.48</v>
      </c>
      <c r="K105">
        <v>46836.11</v>
      </c>
      <c r="L105">
        <v>46315.25</v>
      </c>
      <c r="M105">
        <v>45593.88</v>
      </c>
    </row>
    <row r="106" spans="1:13" x14ac:dyDescent="0.25">
      <c r="A106" t="s">
        <v>277</v>
      </c>
      <c r="B106">
        <v>40359.18</v>
      </c>
      <c r="C106">
        <v>40359.18</v>
      </c>
      <c r="D106">
        <v>38962.120000000003</v>
      </c>
      <c r="E106">
        <v>38264.18</v>
      </c>
      <c r="F106">
        <v>37247.839999999997</v>
      </c>
      <c r="G106">
        <v>36534.100000000013</v>
      </c>
      <c r="H106">
        <v>36115.410000000003</v>
      </c>
      <c r="I106">
        <v>35099.070000000007</v>
      </c>
      <c r="J106">
        <v>34377.670000000013</v>
      </c>
      <c r="K106">
        <v>33650.570000000007</v>
      </c>
      <c r="L106">
        <v>33185.420000000013</v>
      </c>
      <c r="M106">
        <v>32431.52</v>
      </c>
    </row>
    <row r="107" spans="1:13" x14ac:dyDescent="0.25">
      <c r="A107" t="s">
        <v>278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120890</v>
      </c>
      <c r="H107">
        <v>120890</v>
      </c>
      <c r="I107">
        <v>119972.84</v>
      </c>
      <c r="J107">
        <v>118668.73</v>
      </c>
      <c r="K107">
        <v>117328.83</v>
      </c>
      <c r="L107">
        <v>116006.28</v>
      </c>
      <c r="M107">
        <v>114648.43</v>
      </c>
    </row>
    <row r="108" spans="1:13" x14ac:dyDescent="0.25">
      <c r="A108" t="s">
        <v>279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82089.55</v>
      </c>
      <c r="K108">
        <v>80063.47</v>
      </c>
      <c r="L108">
        <v>78059.740000000005</v>
      </c>
      <c r="M108">
        <v>75988.89</v>
      </c>
    </row>
    <row r="109" spans="1:13" x14ac:dyDescent="0.25">
      <c r="A109" t="s">
        <v>280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106800.81</v>
      </c>
    </row>
    <row r="110" spans="1:13" x14ac:dyDescent="0.25">
      <c r="A110" t="s">
        <v>281</v>
      </c>
      <c r="B110">
        <v>500000</v>
      </c>
      <c r="C110">
        <v>500000</v>
      </c>
      <c r="D110">
        <v>500000</v>
      </c>
      <c r="E110">
        <v>500000</v>
      </c>
      <c r="F110">
        <v>500000</v>
      </c>
      <c r="G110">
        <v>500000</v>
      </c>
      <c r="H110">
        <v>500000</v>
      </c>
      <c r="I110">
        <v>500000</v>
      </c>
      <c r="J110">
        <v>500000</v>
      </c>
      <c r="K110">
        <v>500000</v>
      </c>
      <c r="L110">
        <v>500000</v>
      </c>
      <c r="M110">
        <v>500000</v>
      </c>
    </row>
    <row r="111" spans="1:13" x14ac:dyDescent="0.25">
      <c r="A111" t="s">
        <v>282</v>
      </c>
      <c r="B111">
        <v>960619.33000000007</v>
      </c>
      <c r="C111">
        <v>952774.28</v>
      </c>
      <c r="D111">
        <v>941351.08000000007</v>
      </c>
      <c r="E111">
        <v>932122.47000000009</v>
      </c>
      <c r="F111">
        <v>972903.95</v>
      </c>
      <c r="G111">
        <v>1085480.1000000001</v>
      </c>
      <c r="H111">
        <v>1073988.5</v>
      </c>
      <c r="I111">
        <v>1063372.03</v>
      </c>
      <c r="J111">
        <v>1133235.3600000001</v>
      </c>
      <c r="K111">
        <v>1119645.1200000001</v>
      </c>
      <c r="L111">
        <v>1107561.3700000001</v>
      </c>
      <c r="M111">
        <v>1110027.3899999999</v>
      </c>
    </row>
    <row r="112" spans="1:13" x14ac:dyDescent="0.25">
      <c r="A112" t="s">
        <v>283</v>
      </c>
      <c r="B112">
        <v>1335336.95</v>
      </c>
      <c r="C112">
        <v>1461031.53</v>
      </c>
      <c r="D112">
        <v>1435797.02</v>
      </c>
      <c r="E112">
        <v>1390645.62</v>
      </c>
      <c r="F112">
        <v>1405617.33</v>
      </c>
      <c r="G112">
        <v>1379789.22</v>
      </c>
      <c r="H112">
        <v>1433581.76</v>
      </c>
      <c r="I112">
        <v>1482866.38</v>
      </c>
      <c r="J112">
        <v>1607070.37</v>
      </c>
      <c r="K112">
        <v>1601709.82</v>
      </c>
      <c r="L112">
        <v>1597261.32</v>
      </c>
      <c r="M112">
        <v>1638594.43</v>
      </c>
    </row>
    <row r="113" spans="1:13" x14ac:dyDescent="0.25">
      <c r="A113" t="s">
        <v>284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</row>
    <row r="114" spans="1:13" x14ac:dyDescent="0.25">
      <c r="A114" t="s">
        <v>285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5000</v>
      </c>
      <c r="H114">
        <v>5000</v>
      </c>
      <c r="I114">
        <v>5000</v>
      </c>
      <c r="J114">
        <v>5000</v>
      </c>
      <c r="K114">
        <v>5000</v>
      </c>
      <c r="L114">
        <v>5000</v>
      </c>
      <c r="M114">
        <v>5000</v>
      </c>
    </row>
    <row r="115" spans="1:13" x14ac:dyDescent="0.25">
      <c r="A115" t="s">
        <v>286</v>
      </c>
      <c r="B115">
        <v>-280814.03999999998</v>
      </c>
      <c r="C115">
        <v>-280814.03999999998</v>
      </c>
      <c r="D115">
        <v>-280770.12</v>
      </c>
      <c r="E115">
        <v>-280770.12</v>
      </c>
      <c r="F115">
        <v>-281770.12</v>
      </c>
      <c r="G115">
        <v>-273675.69</v>
      </c>
      <c r="H115">
        <v>-259675.69</v>
      </c>
      <c r="I115">
        <v>-259675.69</v>
      </c>
      <c r="J115">
        <v>-259675.69</v>
      </c>
      <c r="K115">
        <v>-259675.69</v>
      </c>
      <c r="L115">
        <v>-259675.69</v>
      </c>
      <c r="M115">
        <v>-228343.02</v>
      </c>
    </row>
    <row r="116" spans="1:13" x14ac:dyDescent="0.25">
      <c r="A116" t="s">
        <v>287</v>
      </c>
      <c r="B116">
        <v>755350.49</v>
      </c>
      <c r="C116">
        <v>755350.49</v>
      </c>
      <c r="D116">
        <v>755350.49</v>
      </c>
      <c r="E116">
        <v>755350.49</v>
      </c>
      <c r="F116">
        <v>755350.49</v>
      </c>
      <c r="G116">
        <v>755350.49</v>
      </c>
      <c r="H116">
        <v>755350.49</v>
      </c>
      <c r="I116">
        <v>755350.49</v>
      </c>
      <c r="J116">
        <v>755350.49</v>
      </c>
      <c r="K116">
        <v>755350.49</v>
      </c>
      <c r="L116">
        <v>755350.49</v>
      </c>
      <c r="M116">
        <v>755350.49</v>
      </c>
    </row>
    <row r="117" spans="1:13" x14ac:dyDescent="0.25">
      <c r="A117" t="s">
        <v>5</v>
      </c>
      <c r="B117">
        <v>-540469.18000000005</v>
      </c>
      <c r="C117">
        <v>-714187.62000000011</v>
      </c>
      <c r="D117">
        <v>-474424.37</v>
      </c>
      <c r="E117">
        <v>-518185.62</v>
      </c>
      <c r="F117">
        <v>-443669.89</v>
      </c>
      <c r="G117">
        <v>-430183.3</v>
      </c>
      <c r="H117">
        <v>-434905.2</v>
      </c>
      <c r="I117">
        <v>-517527.4800000001</v>
      </c>
      <c r="J117">
        <v>-461917.6100000001</v>
      </c>
      <c r="K117">
        <v>-521313.14000000007</v>
      </c>
      <c r="L117">
        <v>-434447.85000000033</v>
      </c>
      <c r="M117">
        <v>-624629.74000000046</v>
      </c>
    </row>
    <row r="118" spans="1:13" x14ac:dyDescent="0.25">
      <c r="A118" t="s">
        <v>288</v>
      </c>
      <c r="B118">
        <v>-65932.73000000004</v>
      </c>
      <c r="C118">
        <v>-239651.1700000001</v>
      </c>
      <c r="D118">
        <v>156</v>
      </c>
      <c r="E118">
        <v>-43605.25</v>
      </c>
      <c r="F118">
        <v>29910.479999999981</v>
      </c>
      <c r="G118">
        <v>56491.499999999942</v>
      </c>
      <c r="H118">
        <v>65769.600000000035</v>
      </c>
      <c r="I118">
        <v>-16852.680000000109</v>
      </c>
      <c r="J118">
        <v>38757.189999999893</v>
      </c>
      <c r="K118">
        <v>-20638.340000000138</v>
      </c>
      <c r="L118">
        <v>66226.949999999721</v>
      </c>
      <c r="M118">
        <v>-92622.270000000484</v>
      </c>
    </row>
    <row r="119" spans="1:13" x14ac:dyDescent="0.25">
      <c r="A119" t="s">
        <v>289</v>
      </c>
      <c r="B119">
        <v>1269404.22</v>
      </c>
      <c r="C119">
        <v>1221380.3600000001</v>
      </c>
      <c r="D119">
        <v>1435953.02</v>
      </c>
      <c r="E119">
        <v>1347040.37</v>
      </c>
      <c r="F119">
        <v>1435527.81</v>
      </c>
      <c r="G119">
        <v>1436280.72</v>
      </c>
      <c r="H119">
        <v>1499351.36</v>
      </c>
      <c r="I119">
        <v>1466013.7</v>
      </c>
      <c r="J119">
        <v>1645827.56</v>
      </c>
      <c r="K119">
        <v>1581071.48</v>
      </c>
      <c r="L119">
        <v>1663488.27</v>
      </c>
      <c r="M119">
        <v>1545972.159999999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O105"/>
  <sheetViews>
    <sheetView workbookViewId="0"/>
  </sheetViews>
  <sheetFormatPr defaultRowHeight="15" x14ac:dyDescent="0.25"/>
  <cols>
    <col min="1" max="1" width="41.7109375" bestFit="1" customWidth="1"/>
    <col min="2" max="3" width="8.28515625" bestFit="1" customWidth="1"/>
    <col min="4" max="10" width="7.5703125" bestFit="1" customWidth="1"/>
    <col min="11" max="11" width="8.28515625" bestFit="1" customWidth="1"/>
    <col min="12" max="12" width="7.5703125" bestFit="1" customWidth="1"/>
    <col min="13" max="13" width="8.28515625" bestFit="1" customWidth="1"/>
  </cols>
  <sheetData>
    <row r="1" spans="1:15" ht="18.75" customHeight="1" x14ac:dyDescent="0.3">
      <c r="A1" s="3" t="s">
        <v>0</v>
      </c>
    </row>
    <row r="2" spans="1:15" x14ac:dyDescent="0.25">
      <c r="A2" s="4" t="s">
        <v>290</v>
      </c>
    </row>
    <row r="4" spans="1:15" x14ac:dyDescent="0.25">
      <c r="A4" s="4" t="s">
        <v>73</v>
      </c>
      <c r="B4" s="5">
        <v>45292</v>
      </c>
      <c r="C4" s="5">
        <v>45323</v>
      </c>
      <c r="D4" s="5">
        <v>45352</v>
      </c>
      <c r="E4" s="5">
        <v>45383</v>
      </c>
      <c r="F4" s="5">
        <v>45413</v>
      </c>
      <c r="G4" s="5">
        <v>45444</v>
      </c>
      <c r="H4" s="5">
        <v>45474</v>
      </c>
      <c r="I4" s="5">
        <v>45505</v>
      </c>
      <c r="J4" s="5">
        <v>45536</v>
      </c>
      <c r="K4" s="5">
        <v>45566</v>
      </c>
      <c r="L4" s="5">
        <v>45597</v>
      </c>
      <c r="M4" s="5">
        <v>45627</v>
      </c>
      <c r="O4" t="s">
        <v>19</v>
      </c>
    </row>
    <row r="5" spans="1:15" x14ac:dyDescent="0.25">
      <c r="A5" t="s">
        <v>74</v>
      </c>
      <c r="B5" s="6">
        <f>SUMIF(Source_PL!$A:$A,$A5,Source_PL!B:B)</f>
        <v>0</v>
      </c>
      <c r="C5" s="6">
        <f>SUMIF(Source_PL!$A:$A,$A5,Source_PL!C:C)</f>
        <v>0</v>
      </c>
      <c r="D5" s="6">
        <f>SUMIF(Source_PL!$A:$A,$A5,Source_PL!D:D)</f>
        <v>0</v>
      </c>
      <c r="E5" s="6">
        <f>SUMIF(Source_PL!$A:$A,$A5,Source_PL!E:E)</f>
        <v>0</v>
      </c>
      <c r="F5" s="6">
        <f>SUMIF(Source_PL!$A:$A,$A5,Source_PL!F:F)</f>
        <v>0</v>
      </c>
      <c r="G5" s="6">
        <f>SUMIF(Source_PL!$A:$A,$A5,Source_PL!G:G)</f>
        <v>0</v>
      </c>
      <c r="H5" s="6">
        <f>SUMIF(Source_PL!$A:$A,$A5,Source_PL!H:H)</f>
        <v>0</v>
      </c>
      <c r="I5" s="6">
        <f>SUMIF(Source_PL!$A:$A,$A5,Source_PL!I:I)</f>
        <v>0</v>
      </c>
      <c r="J5" s="6">
        <f>SUMIF(Source_PL!$A:$A,$A5,Source_PL!J:J)</f>
        <v>0</v>
      </c>
      <c r="K5" s="6">
        <f>SUMIF(Source_PL!$A:$A,$A5,Source_PL!K:K)</f>
        <v>0</v>
      </c>
      <c r="L5" s="6">
        <f>SUMIF(Source_PL!$A:$A,$A5,Source_PL!L:L)</f>
        <v>0</v>
      </c>
      <c r="M5" s="6">
        <f>SUMIF(Source_PL!$A:$A,$A5,Source_PL!M:M)</f>
        <v>0</v>
      </c>
      <c r="O5" s="6">
        <f t="shared" ref="O5:O36" si="0">SUM(B5:M5)</f>
        <v>0</v>
      </c>
    </row>
    <row r="6" spans="1:15" x14ac:dyDescent="0.25">
      <c r="A6" t="s">
        <v>75</v>
      </c>
      <c r="B6" s="6">
        <f>SUMIF(Source_PL!$A:$A,$A6,Source_PL!B:B)</f>
        <v>161373.18</v>
      </c>
      <c r="C6" s="6">
        <f>SUMIF(Source_PL!$A:$A,$A6,Source_PL!C:C)</f>
        <v>121704</v>
      </c>
      <c r="D6" s="6">
        <f>SUMIF(Source_PL!$A:$A,$A6,Source_PL!D:D)</f>
        <v>711615.3</v>
      </c>
      <c r="E6" s="6">
        <f>SUMIF(Source_PL!$A:$A,$A6,Source_PL!E:E)</f>
        <v>184733.67</v>
      </c>
      <c r="F6" s="6">
        <f>SUMIF(Source_PL!$A:$A,$A6,Source_PL!F:F)</f>
        <v>64915.92</v>
      </c>
      <c r="G6" s="6">
        <f>SUMIF(Source_PL!$A:$A,$A6,Source_PL!G:G)</f>
        <v>26798</v>
      </c>
      <c r="H6" s="6">
        <f>SUMIF(Source_PL!$A:$A,$A6,Source_PL!H:H)</f>
        <v>0</v>
      </c>
      <c r="I6" s="6">
        <f>SUMIF(Source_PL!$A:$A,$A6,Source_PL!I:I)</f>
        <v>0</v>
      </c>
      <c r="J6" s="6">
        <f>SUMIF(Source_PL!$A:$A,$A6,Source_PL!J:J)</f>
        <v>0</v>
      </c>
      <c r="K6" s="6">
        <f>SUMIF(Source_PL!$A:$A,$A6,Source_PL!K:K)</f>
        <v>22701.33</v>
      </c>
      <c r="L6" s="6">
        <f>SUMIF(Source_PL!$A:$A,$A6,Source_PL!L:L)</f>
        <v>0</v>
      </c>
      <c r="M6" s="6">
        <f>SUMIF(Source_PL!$A:$A,$A6,Source_PL!M:M)</f>
        <v>0</v>
      </c>
      <c r="O6" s="6">
        <f t="shared" si="0"/>
        <v>1293841.3999999999</v>
      </c>
    </row>
    <row r="7" spans="1:15" x14ac:dyDescent="0.25">
      <c r="A7" t="s">
        <v>76</v>
      </c>
      <c r="B7" s="6">
        <f>SUMIF(Source_PL!$A:$A,$A7,Source_PL!B:B)</f>
        <v>0</v>
      </c>
      <c r="C7" s="6">
        <f>SUMIF(Source_PL!$A:$A,$A7,Source_PL!C:C)</f>
        <v>0</v>
      </c>
      <c r="D7" s="6">
        <f>SUMIF(Source_PL!$A:$A,$A7,Source_PL!D:D)</f>
        <v>0</v>
      </c>
      <c r="E7" s="6">
        <f>SUMIF(Source_PL!$A:$A,$A7,Source_PL!E:E)</f>
        <v>31071</v>
      </c>
      <c r="F7" s="6">
        <f>SUMIF(Source_PL!$A:$A,$A7,Source_PL!F:F)</f>
        <v>325952.78000000003</v>
      </c>
      <c r="G7" s="6">
        <f>SUMIF(Source_PL!$A:$A,$A7,Source_PL!G:G)</f>
        <v>112476.44</v>
      </c>
      <c r="H7" s="6">
        <f>SUMIF(Source_PL!$A:$A,$A7,Source_PL!H:H)</f>
        <v>319502.03000000003</v>
      </c>
      <c r="I7" s="6">
        <f>SUMIF(Source_PL!$A:$A,$A7,Source_PL!I:I)</f>
        <v>520745.67</v>
      </c>
      <c r="J7" s="6">
        <f>SUMIF(Source_PL!$A:$A,$A7,Source_PL!J:J)</f>
        <v>191940.76</v>
      </c>
      <c r="K7" s="6">
        <f>SUMIF(Source_PL!$A:$A,$A7,Source_PL!K:K)</f>
        <v>151783.79999999999</v>
      </c>
      <c r="L7" s="6">
        <f>SUMIF(Source_PL!$A:$A,$A7,Source_PL!L:L)</f>
        <v>445540.71</v>
      </c>
      <c r="M7" s="6">
        <f>SUMIF(Source_PL!$A:$A,$A7,Source_PL!M:M)</f>
        <v>536248.32999999996</v>
      </c>
      <c r="O7" s="6">
        <f t="shared" si="0"/>
        <v>2635261.52</v>
      </c>
    </row>
    <row r="8" spans="1:15" x14ac:dyDescent="0.25">
      <c r="A8" t="s">
        <v>77</v>
      </c>
      <c r="B8" s="6">
        <f>SUMIF(Source_PL!$A:$A,$A8,Source_PL!B:B)</f>
        <v>0</v>
      </c>
      <c r="C8" s="6">
        <f>SUMIF(Source_PL!$A:$A,$A8,Source_PL!C:C)</f>
        <v>0</v>
      </c>
      <c r="D8" s="6">
        <f>SUMIF(Source_PL!$A:$A,$A8,Source_PL!D:D)</f>
        <v>0</v>
      </c>
      <c r="E8" s="6">
        <f>SUMIF(Source_PL!$A:$A,$A8,Source_PL!E:E)</f>
        <v>0</v>
      </c>
      <c r="F8" s="6">
        <f>SUMIF(Source_PL!$A:$A,$A8,Source_PL!F:F)</f>
        <v>1660</v>
      </c>
      <c r="G8" s="6">
        <f>SUMIF(Source_PL!$A:$A,$A8,Source_PL!G:G)</f>
        <v>116167.77</v>
      </c>
      <c r="H8" s="6">
        <f>SUMIF(Source_PL!$A:$A,$A8,Source_PL!H:H)</f>
        <v>115009.68</v>
      </c>
      <c r="I8" s="6">
        <f>SUMIF(Source_PL!$A:$A,$A8,Source_PL!I:I)</f>
        <v>48829.04</v>
      </c>
      <c r="J8" s="6">
        <f>SUMIF(Source_PL!$A:$A,$A8,Source_PL!J:J)</f>
        <v>246378.58</v>
      </c>
      <c r="K8" s="6">
        <f>SUMIF(Source_PL!$A:$A,$A8,Source_PL!K:K)</f>
        <v>147682.63</v>
      </c>
      <c r="L8" s="6">
        <f>SUMIF(Source_PL!$A:$A,$A8,Source_PL!L:L)</f>
        <v>147019.51999999999</v>
      </c>
      <c r="M8" s="6">
        <f>SUMIF(Source_PL!$A:$A,$A8,Source_PL!M:M)</f>
        <v>179550</v>
      </c>
      <c r="O8" s="6">
        <f t="shared" si="0"/>
        <v>1002297.22</v>
      </c>
    </row>
    <row r="9" spans="1:15" x14ac:dyDescent="0.25">
      <c r="A9" t="s">
        <v>78</v>
      </c>
      <c r="B9" s="6">
        <f>SUMIF(Source_PL!$A:$A,$A9,Source_PL!B:B)</f>
        <v>4575</v>
      </c>
      <c r="C9" s="6">
        <f>SUMIF(Source_PL!$A:$A,$A9,Source_PL!C:C)</f>
        <v>0</v>
      </c>
      <c r="D9" s="6">
        <f>SUMIF(Source_PL!$A:$A,$A9,Source_PL!D:D)</f>
        <v>0</v>
      </c>
      <c r="E9" s="6">
        <f>SUMIF(Source_PL!$A:$A,$A9,Source_PL!E:E)</f>
        <v>0</v>
      </c>
      <c r="F9" s="6">
        <f>SUMIF(Source_PL!$A:$A,$A9,Source_PL!F:F)</f>
        <v>0</v>
      </c>
      <c r="G9" s="6">
        <f>SUMIF(Source_PL!$A:$A,$A9,Source_PL!G:G)</f>
        <v>9000</v>
      </c>
      <c r="H9" s="6">
        <f>SUMIF(Source_PL!$A:$A,$A9,Source_PL!H:H)</f>
        <v>0</v>
      </c>
      <c r="I9" s="6">
        <f>SUMIF(Source_PL!$A:$A,$A9,Source_PL!I:I)</f>
        <v>1607.77</v>
      </c>
      <c r="J9" s="6">
        <f>SUMIF(Source_PL!$A:$A,$A9,Source_PL!J:J)</f>
        <v>0</v>
      </c>
      <c r="K9" s="6">
        <f>SUMIF(Source_PL!$A:$A,$A9,Source_PL!K:K)</f>
        <v>0</v>
      </c>
      <c r="L9" s="6">
        <f>SUMIF(Source_PL!$A:$A,$A9,Source_PL!L:L)</f>
        <v>0</v>
      </c>
      <c r="M9" s="6">
        <f>SUMIF(Source_PL!$A:$A,$A9,Source_PL!M:M)</f>
        <v>0</v>
      </c>
      <c r="O9" s="6">
        <f t="shared" si="0"/>
        <v>15182.77</v>
      </c>
    </row>
    <row r="10" spans="1:15" x14ac:dyDescent="0.25">
      <c r="A10" t="s">
        <v>79</v>
      </c>
      <c r="B10" s="6">
        <f>SUMIF(Source_PL!$A:$A,$A10,Source_PL!B:B)</f>
        <v>2.2200000000000002</v>
      </c>
      <c r="C10" s="6">
        <f>SUMIF(Source_PL!$A:$A,$A10,Source_PL!C:C)</f>
        <v>156.22</v>
      </c>
      <c r="D10" s="6">
        <f>SUMIF(Source_PL!$A:$A,$A10,Source_PL!D:D)</f>
        <v>214.52</v>
      </c>
      <c r="E10" s="6">
        <f>SUMIF(Source_PL!$A:$A,$A10,Source_PL!E:E)</f>
        <v>97.66</v>
      </c>
      <c r="F10" s="6">
        <f>SUMIF(Source_PL!$A:$A,$A10,Source_PL!F:F)</f>
        <v>111.99</v>
      </c>
      <c r="G10" s="6">
        <f>SUMIF(Source_PL!$A:$A,$A10,Source_PL!G:G)</f>
        <v>401.97</v>
      </c>
      <c r="H10" s="6">
        <f>SUMIF(Source_PL!$A:$A,$A10,Source_PL!H:H)</f>
        <v>40.5</v>
      </c>
      <c r="I10" s="6">
        <f>SUMIF(Source_PL!$A:$A,$A10,Source_PL!I:I)</f>
        <v>241.12</v>
      </c>
      <c r="J10" s="6">
        <f>SUMIF(Source_PL!$A:$A,$A10,Source_PL!J:J)</f>
        <v>0</v>
      </c>
      <c r="K10" s="6">
        <f>SUMIF(Source_PL!$A:$A,$A10,Source_PL!K:K)</f>
        <v>0</v>
      </c>
      <c r="L10" s="6">
        <f>SUMIF(Source_PL!$A:$A,$A10,Source_PL!L:L)</f>
        <v>485.92</v>
      </c>
      <c r="M10" s="6">
        <f>SUMIF(Source_PL!$A:$A,$A10,Source_PL!M:M)</f>
        <v>0</v>
      </c>
      <c r="O10" s="6">
        <f t="shared" si="0"/>
        <v>1752.12</v>
      </c>
    </row>
    <row r="11" spans="1:15" x14ac:dyDescent="0.25">
      <c r="A11" t="s">
        <v>80</v>
      </c>
      <c r="B11" s="6">
        <f>SUMIF(Source_PL!$A:$A,$A11,Source_PL!B:B)</f>
        <v>-826.65</v>
      </c>
      <c r="C11" s="6">
        <f>SUMIF(Source_PL!$A:$A,$A11,Source_PL!C:C)</f>
        <v>-101.12</v>
      </c>
      <c r="D11" s="6">
        <f>SUMIF(Source_PL!$A:$A,$A11,Source_PL!D:D)</f>
        <v>-438.4</v>
      </c>
      <c r="E11" s="6">
        <f>SUMIF(Source_PL!$A:$A,$A11,Source_PL!E:E)</f>
        <v>-623.87</v>
      </c>
      <c r="F11" s="6">
        <f>SUMIF(Source_PL!$A:$A,$A11,Source_PL!F:F)</f>
        <v>-1056.2</v>
      </c>
      <c r="G11" s="6">
        <f>SUMIF(Source_PL!$A:$A,$A11,Source_PL!G:G)</f>
        <v>-22.2</v>
      </c>
      <c r="H11" s="6">
        <f>SUMIF(Source_PL!$A:$A,$A11,Source_PL!H:H)</f>
        <v>-846.7</v>
      </c>
      <c r="I11" s="6">
        <f>SUMIF(Source_PL!$A:$A,$A11,Source_PL!I:I)</f>
        <v>-419.42</v>
      </c>
      <c r="J11" s="6">
        <f>SUMIF(Source_PL!$A:$A,$A11,Source_PL!J:J)</f>
        <v>-392.82</v>
      </c>
      <c r="K11" s="6">
        <f>SUMIF(Source_PL!$A:$A,$A11,Source_PL!K:K)</f>
        <v>0</v>
      </c>
      <c r="L11" s="6">
        <f>SUMIF(Source_PL!$A:$A,$A11,Source_PL!L:L)</f>
        <v>-1824.96</v>
      </c>
      <c r="M11" s="6">
        <f>SUMIF(Source_PL!$A:$A,$A11,Source_PL!M:M)</f>
        <v>0</v>
      </c>
      <c r="O11" s="6">
        <f t="shared" si="0"/>
        <v>-6552.3399999999992</v>
      </c>
    </row>
    <row r="12" spans="1:15" x14ac:dyDescent="0.25">
      <c r="A12" t="s">
        <v>81</v>
      </c>
      <c r="B12" s="6">
        <f>SUMIF(Source_PL!$A:$A,$A12,Source_PL!B:B)</f>
        <v>0</v>
      </c>
      <c r="C12" s="6">
        <f>SUMIF(Source_PL!$A:$A,$A12,Source_PL!C:C)</f>
        <v>0</v>
      </c>
      <c r="D12" s="6">
        <f>SUMIF(Source_PL!$A:$A,$A12,Source_PL!D:D)</f>
        <v>0</v>
      </c>
      <c r="E12" s="6">
        <f>SUMIF(Source_PL!$A:$A,$A12,Source_PL!E:E)</f>
        <v>0</v>
      </c>
      <c r="F12" s="6">
        <f>SUMIF(Source_PL!$A:$A,$A12,Source_PL!F:F)</f>
        <v>0</v>
      </c>
      <c r="G12" s="6">
        <f>SUMIF(Source_PL!$A:$A,$A12,Source_PL!G:G)</f>
        <v>7000</v>
      </c>
      <c r="H12" s="6">
        <f>SUMIF(Source_PL!$A:$A,$A12,Source_PL!H:H)</f>
        <v>0</v>
      </c>
      <c r="I12" s="6">
        <f>SUMIF(Source_PL!$A:$A,$A12,Source_PL!I:I)</f>
        <v>0</v>
      </c>
      <c r="J12" s="6">
        <f>SUMIF(Source_PL!$A:$A,$A12,Source_PL!J:J)</f>
        <v>0</v>
      </c>
      <c r="K12" s="6">
        <f>SUMIF(Source_PL!$A:$A,$A12,Source_PL!K:K)</f>
        <v>0</v>
      </c>
      <c r="L12" s="6">
        <f>SUMIF(Source_PL!$A:$A,$A12,Source_PL!L:L)</f>
        <v>0</v>
      </c>
      <c r="M12" s="6">
        <f>SUMIF(Source_PL!$A:$A,$A12,Source_PL!M:M)</f>
        <v>0</v>
      </c>
      <c r="O12" s="6">
        <f t="shared" si="0"/>
        <v>7000</v>
      </c>
    </row>
    <row r="13" spans="1:15" x14ac:dyDescent="0.25">
      <c r="A13" t="s">
        <v>82</v>
      </c>
      <c r="B13" s="6">
        <f>SUMIF(Source_PL!$A:$A,$A13,Source_PL!B:B)</f>
        <v>0</v>
      </c>
      <c r="C13" s="6">
        <f>SUMIF(Source_PL!$A:$A,$A13,Source_PL!C:C)</f>
        <v>0</v>
      </c>
      <c r="D13" s="6">
        <f>SUMIF(Source_PL!$A:$A,$A13,Source_PL!D:D)</f>
        <v>0</v>
      </c>
      <c r="E13" s="6">
        <f>SUMIF(Source_PL!$A:$A,$A13,Source_PL!E:E)</f>
        <v>0</v>
      </c>
      <c r="F13" s="6">
        <f>SUMIF(Source_PL!$A:$A,$A13,Source_PL!F:F)</f>
        <v>0</v>
      </c>
      <c r="G13" s="6">
        <f>SUMIF(Source_PL!$A:$A,$A13,Source_PL!G:G)</f>
        <v>0</v>
      </c>
      <c r="H13" s="6">
        <f>SUMIF(Source_PL!$A:$A,$A13,Source_PL!H:H)</f>
        <v>5600</v>
      </c>
      <c r="I13" s="6">
        <f>SUMIF(Source_PL!$A:$A,$A13,Source_PL!I:I)</f>
        <v>5500</v>
      </c>
      <c r="J13" s="6">
        <f>SUMIF(Source_PL!$A:$A,$A13,Source_PL!J:J)</f>
        <v>0</v>
      </c>
      <c r="K13" s="6">
        <f>SUMIF(Source_PL!$A:$A,$A13,Source_PL!K:K)</f>
        <v>0</v>
      </c>
      <c r="L13" s="6">
        <f>SUMIF(Source_PL!$A:$A,$A13,Source_PL!L:L)</f>
        <v>4500</v>
      </c>
      <c r="M13" s="6">
        <f>SUMIF(Source_PL!$A:$A,$A13,Source_PL!M:M)</f>
        <v>0</v>
      </c>
      <c r="O13" s="6">
        <f t="shared" si="0"/>
        <v>15600</v>
      </c>
    </row>
    <row r="14" spans="1:15" x14ac:dyDescent="0.25">
      <c r="A14" s="7" t="s">
        <v>83</v>
      </c>
      <c r="B14" s="9">
        <f>SUMIF(Source_PL!$A:$A,$A14,Source_PL!B:B)</f>
        <v>165123.75</v>
      </c>
      <c r="C14" s="9">
        <f>SUMIF(Source_PL!$A:$A,$A14,Source_PL!C:C)</f>
        <v>121759.1</v>
      </c>
      <c r="D14" s="9">
        <f>SUMIF(Source_PL!$A:$A,$A14,Source_PL!D:D)</f>
        <v>711391.42</v>
      </c>
      <c r="E14" s="9">
        <f>SUMIF(Source_PL!$A:$A,$A14,Source_PL!E:E)</f>
        <v>215278.46</v>
      </c>
      <c r="F14" s="9">
        <f>SUMIF(Source_PL!$A:$A,$A14,Source_PL!F:F)</f>
        <v>391584.49</v>
      </c>
      <c r="G14" s="9">
        <f>SUMIF(Source_PL!$A:$A,$A14,Source_PL!G:G)</f>
        <v>271821.98</v>
      </c>
      <c r="H14" s="9">
        <f>SUMIF(Source_PL!$A:$A,$A14,Source_PL!H:H)</f>
        <v>439305.51</v>
      </c>
      <c r="I14" s="9">
        <f>SUMIF(Source_PL!$A:$A,$A14,Source_PL!I:I)</f>
        <v>576504.17999999993</v>
      </c>
      <c r="J14" s="9">
        <f>SUMIF(Source_PL!$A:$A,$A14,Source_PL!J:J)</f>
        <v>437926.52</v>
      </c>
      <c r="K14" s="9">
        <f>SUMIF(Source_PL!$A:$A,$A14,Source_PL!K:K)</f>
        <v>322167.76</v>
      </c>
      <c r="L14" s="9">
        <f>SUMIF(Source_PL!$A:$A,$A14,Source_PL!L:L)</f>
        <v>595721.19000000006</v>
      </c>
      <c r="M14" s="9">
        <f>SUMIF(Source_PL!$A:$A,$A14,Source_PL!M:M)</f>
        <v>715798.33</v>
      </c>
      <c r="N14" s="8"/>
      <c r="O14" s="9">
        <f t="shared" si="0"/>
        <v>4964382.6900000004</v>
      </c>
    </row>
    <row r="15" spans="1:15" x14ac:dyDescent="0.25">
      <c r="A15" t="s">
        <v>84</v>
      </c>
      <c r="B15" s="6">
        <f>SUMIF(Source_PL!$A:$A,$A15,Source_PL!B:B)</f>
        <v>0</v>
      </c>
      <c r="C15" s="6">
        <f>SUMIF(Source_PL!$A:$A,$A15,Source_PL!C:C)</f>
        <v>0</v>
      </c>
      <c r="D15" s="6">
        <f>SUMIF(Source_PL!$A:$A,$A15,Source_PL!D:D)</f>
        <v>0</v>
      </c>
      <c r="E15" s="6">
        <f>SUMIF(Source_PL!$A:$A,$A15,Source_PL!E:E)</f>
        <v>1755.1</v>
      </c>
      <c r="F15" s="6">
        <f>SUMIF(Source_PL!$A:$A,$A15,Source_PL!F:F)</f>
        <v>0</v>
      </c>
      <c r="G15" s="6">
        <f>SUMIF(Source_PL!$A:$A,$A15,Source_PL!G:G)</f>
        <v>0</v>
      </c>
      <c r="H15" s="6">
        <f>SUMIF(Source_PL!$A:$A,$A15,Source_PL!H:H)</f>
        <v>0</v>
      </c>
      <c r="I15" s="6">
        <f>SUMIF(Source_PL!$A:$A,$A15,Source_PL!I:I)</f>
        <v>0</v>
      </c>
      <c r="J15" s="6">
        <f>SUMIF(Source_PL!$A:$A,$A15,Source_PL!J:J)</f>
        <v>0</v>
      </c>
      <c r="K15" s="6">
        <f>SUMIF(Source_PL!$A:$A,$A15,Source_PL!K:K)</f>
        <v>0</v>
      </c>
      <c r="L15" s="6">
        <f>SUMIF(Source_PL!$A:$A,$A15,Source_PL!L:L)</f>
        <v>0</v>
      </c>
      <c r="M15" s="6">
        <f>SUMIF(Source_PL!$A:$A,$A15,Source_PL!M:M)</f>
        <v>0</v>
      </c>
      <c r="O15" s="6">
        <f t="shared" si="0"/>
        <v>1755.1</v>
      </c>
    </row>
    <row r="16" spans="1:15" x14ac:dyDescent="0.25">
      <c r="A16" t="s">
        <v>85</v>
      </c>
      <c r="B16" s="6">
        <f>SUMIF(Source_PL!$A:$A,$A16,Source_PL!B:B)</f>
        <v>0</v>
      </c>
      <c r="C16" s="6">
        <f>SUMIF(Source_PL!$A:$A,$A16,Source_PL!C:C)</f>
        <v>0</v>
      </c>
      <c r="D16" s="6">
        <f>SUMIF(Source_PL!$A:$A,$A16,Source_PL!D:D)</f>
        <v>0</v>
      </c>
      <c r="E16" s="6">
        <f>SUMIF(Source_PL!$A:$A,$A16,Source_PL!E:E)</f>
        <v>0</v>
      </c>
      <c r="F16" s="6">
        <f>SUMIF(Source_PL!$A:$A,$A16,Source_PL!F:F)</f>
        <v>0</v>
      </c>
      <c r="G16" s="6">
        <f>SUMIF(Source_PL!$A:$A,$A16,Source_PL!G:G)</f>
        <v>0</v>
      </c>
      <c r="H16" s="6">
        <f>SUMIF(Source_PL!$A:$A,$A16,Source_PL!H:H)</f>
        <v>1607.77</v>
      </c>
      <c r="I16" s="6">
        <f>SUMIF(Source_PL!$A:$A,$A16,Source_PL!I:I)</f>
        <v>-1607.77</v>
      </c>
      <c r="J16" s="6">
        <f>SUMIF(Source_PL!$A:$A,$A16,Source_PL!J:J)</f>
        <v>18338.400000000001</v>
      </c>
      <c r="K16" s="6">
        <f>SUMIF(Source_PL!$A:$A,$A16,Source_PL!K:K)</f>
        <v>0</v>
      </c>
      <c r="L16" s="6">
        <f>SUMIF(Source_PL!$A:$A,$A16,Source_PL!L:L)</f>
        <v>0</v>
      </c>
      <c r="M16" s="6">
        <f>SUMIF(Source_PL!$A:$A,$A16,Source_PL!M:M)</f>
        <v>0</v>
      </c>
      <c r="O16" s="6">
        <f t="shared" si="0"/>
        <v>18338.400000000001</v>
      </c>
    </row>
    <row r="17" spans="1:15" x14ac:dyDescent="0.25">
      <c r="A17" s="7" t="s">
        <v>86</v>
      </c>
      <c r="B17" s="9">
        <f>SUMIF(Source_PL!$A:$A,$A17,Source_PL!B:B)</f>
        <v>165123.75</v>
      </c>
      <c r="C17" s="9">
        <f>SUMIF(Source_PL!$A:$A,$A17,Source_PL!C:C)</f>
        <v>121759.1</v>
      </c>
      <c r="D17" s="9">
        <f>SUMIF(Source_PL!$A:$A,$A17,Source_PL!D:D)</f>
        <v>711391.42</v>
      </c>
      <c r="E17" s="9">
        <f>SUMIF(Source_PL!$A:$A,$A17,Source_PL!E:E)</f>
        <v>217033.56</v>
      </c>
      <c r="F17" s="9">
        <f>SUMIF(Source_PL!$A:$A,$A17,Source_PL!F:F)</f>
        <v>391584.49</v>
      </c>
      <c r="G17" s="9">
        <f>SUMIF(Source_PL!$A:$A,$A17,Source_PL!G:G)</f>
        <v>271821.98</v>
      </c>
      <c r="H17" s="9">
        <f>SUMIF(Source_PL!$A:$A,$A17,Source_PL!H:H)</f>
        <v>440913.28</v>
      </c>
      <c r="I17" s="9">
        <f>SUMIF(Source_PL!$A:$A,$A17,Source_PL!I:I)</f>
        <v>574896.40999999992</v>
      </c>
      <c r="J17" s="9">
        <f>SUMIF(Source_PL!$A:$A,$A17,Source_PL!J:J)</f>
        <v>456264.92</v>
      </c>
      <c r="K17" s="9">
        <f>SUMIF(Source_PL!$A:$A,$A17,Source_PL!K:K)</f>
        <v>322167.76</v>
      </c>
      <c r="L17" s="9">
        <f>SUMIF(Source_PL!$A:$A,$A17,Source_PL!L:L)</f>
        <v>595721.19000000006</v>
      </c>
      <c r="M17" s="9">
        <f>SUMIF(Source_PL!$A:$A,$A17,Source_PL!M:M)</f>
        <v>715798.33</v>
      </c>
      <c r="N17" s="8"/>
      <c r="O17" s="9">
        <f t="shared" si="0"/>
        <v>4984476.1900000004</v>
      </c>
    </row>
    <row r="18" spans="1:15" x14ac:dyDescent="0.25">
      <c r="A18" t="s">
        <v>87</v>
      </c>
      <c r="B18" s="6">
        <f>SUMIF(Source_PL!$A:$A,$A18,Source_PL!B:B)</f>
        <v>0</v>
      </c>
      <c r="C18" s="6">
        <f>SUMIF(Source_PL!$A:$A,$A18,Source_PL!C:C)</f>
        <v>0</v>
      </c>
      <c r="D18" s="6">
        <f>SUMIF(Source_PL!$A:$A,$A18,Source_PL!D:D)</f>
        <v>0</v>
      </c>
      <c r="E18" s="6">
        <f>SUMIF(Source_PL!$A:$A,$A18,Source_PL!E:E)</f>
        <v>0</v>
      </c>
      <c r="F18" s="6">
        <f>SUMIF(Source_PL!$A:$A,$A18,Source_PL!F:F)</f>
        <v>0</v>
      </c>
      <c r="G18" s="6">
        <f>SUMIF(Source_PL!$A:$A,$A18,Source_PL!G:G)</f>
        <v>0</v>
      </c>
      <c r="H18" s="6">
        <f>SUMIF(Source_PL!$A:$A,$A18,Source_PL!H:H)</f>
        <v>0</v>
      </c>
      <c r="I18" s="6">
        <f>SUMIF(Source_PL!$A:$A,$A18,Source_PL!I:I)</f>
        <v>0</v>
      </c>
      <c r="J18" s="6">
        <f>SUMIF(Source_PL!$A:$A,$A18,Source_PL!J:J)</f>
        <v>0</v>
      </c>
      <c r="K18" s="6">
        <f>SUMIF(Source_PL!$A:$A,$A18,Source_PL!K:K)</f>
        <v>0</v>
      </c>
      <c r="L18" s="6">
        <f>SUMIF(Source_PL!$A:$A,$A18,Source_PL!L:L)</f>
        <v>0</v>
      </c>
      <c r="M18" s="6">
        <f>SUMIF(Source_PL!$A:$A,$A18,Source_PL!M:M)</f>
        <v>0</v>
      </c>
      <c r="O18" s="6">
        <f t="shared" si="0"/>
        <v>0</v>
      </c>
    </row>
    <row r="19" spans="1:15" x14ac:dyDescent="0.25">
      <c r="A19" t="s">
        <v>88</v>
      </c>
      <c r="B19" s="6">
        <f>SUMIF(Source_PL!$A:$A,$A19,Source_PL!B:B)</f>
        <v>0</v>
      </c>
      <c r="C19" s="6">
        <f>SUMIF(Source_PL!$A:$A,$A19,Source_PL!C:C)</f>
        <v>0</v>
      </c>
      <c r="D19" s="6">
        <f>SUMIF(Source_PL!$A:$A,$A19,Source_PL!D:D)</f>
        <v>0</v>
      </c>
      <c r="E19" s="6">
        <f>SUMIF(Source_PL!$A:$A,$A19,Source_PL!E:E)</f>
        <v>0</v>
      </c>
      <c r="F19" s="6">
        <f>SUMIF(Source_PL!$A:$A,$A19,Source_PL!F:F)</f>
        <v>0</v>
      </c>
      <c r="G19" s="6">
        <f>SUMIF(Source_PL!$A:$A,$A19,Source_PL!G:G)</f>
        <v>0</v>
      </c>
      <c r="H19" s="6">
        <f>SUMIF(Source_PL!$A:$A,$A19,Source_PL!H:H)</f>
        <v>0</v>
      </c>
      <c r="I19" s="6">
        <f>SUMIF(Source_PL!$A:$A,$A19,Source_PL!I:I)</f>
        <v>0</v>
      </c>
      <c r="J19" s="6">
        <f>SUMIF(Source_PL!$A:$A,$A19,Source_PL!J:J)</f>
        <v>0</v>
      </c>
      <c r="K19" s="6">
        <f>SUMIF(Source_PL!$A:$A,$A19,Source_PL!K:K)</f>
        <v>0</v>
      </c>
      <c r="L19" s="6">
        <f>SUMIF(Source_PL!$A:$A,$A19,Source_PL!L:L)</f>
        <v>0</v>
      </c>
      <c r="M19" s="6">
        <f>SUMIF(Source_PL!$A:$A,$A19,Source_PL!M:M)</f>
        <v>0</v>
      </c>
      <c r="O19" s="6">
        <f t="shared" si="0"/>
        <v>0</v>
      </c>
    </row>
    <row r="20" spans="1:15" x14ac:dyDescent="0.25">
      <c r="A20" t="s">
        <v>89</v>
      </c>
      <c r="B20" s="6">
        <f>SUMIF(Source_PL!$A:$A,$A20,Source_PL!B:B)</f>
        <v>401918.85</v>
      </c>
      <c r="C20" s="6">
        <f>SUMIF(Source_PL!$A:$A,$A20,Source_PL!C:C)</f>
        <v>31195.59</v>
      </c>
      <c r="D20" s="6">
        <f>SUMIF(Source_PL!$A:$A,$A20,Source_PL!D:D)</f>
        <v>3264.86</v>
      </c>
      <c r="E20" s="6">
        <f>SUMIF(Source_PL!$A:$A,$A20,Source_PL!E:E)</f>
        <v>1202.5899999999999</v>
      </c>
      <c r="F20" s="6">
        <f>SUMIF(Source_PL!$A:$A,$A20,Source_PL!F:F)</f>
        <v>26179.84</v>
      </c>
      <c r="G20" s="6">
        <f>SUMIF(Source_PL!$A:$A,$A20,Source_PL!G:G)</f>
        <v>2183.17</v>
      </c>
      <c r="H20" s="6">
        <f>SUMIF(Source_PL!$A:$A,$A20,Source_PL!H:H)</f>
        <v>86573.09</v>
      </c>
      <c r="I20" s="6">
        <f>SUMIF(Source_PL!$A:$A,$A20,Source_PL!I:I)</f>
        <v>181803.62</v>
      </c>
      <c r="J20" s="6">
        <f>SUMIF(Source_PL!$A:$A,$A20,Source_PL!J:J)</f>
        <v>31916.93</v>
      </c>
      <c r="K20" s="6">
        <f>SUMIF(Source_PL!$A:$A,$A20,Source_PL!K:K)</f>
        <v>55094.11</v>
      </c>
      <c r="L20" s="6">
        <f>SUMIF(Source_PL!$A:$A,$A20,Source_PL!L:L)</f>
        <v>8163.62</v>
      </c>
      <c r="M20" s="6">
        <f>SUMIF(Source_PL!$A:$A,$A20,Source_PL!M:M)</f>
        <v>9893.92</v>
      </c>
      <c r="O20" s="6">
        <f t="shared" si="0"/>
        <v>839390.19000000006</v>
      </c>
    </row>
    <row r="21" spans="1:15" x14ac:dyDescent="0.25">
      <c r="A21" t="s">
        <v>90</v>
      </c>
      <c r="B21" s="6">
        <f>SUMIF(Source_PL!$A:$A,$A21,Source_PL!B:B)</f>
        <v>0</v>
      </c>
      <c r="C21" s="6">
        <f>SUMIF(Source_PL!$A:$A,$A21,Source_PL!C:C)</f>
        <v>0</v>
      </c>
      <c r="D21" s="6">
        <f>SUMIF(Source_PL!$A:$A,$A21,Source_PL!D:D)</f>
        <v>0</v>
      </c>
      <c r="E21" s="6">
        <f>SUMIF(Source_PL!$A:$A,$A21,Source_PL!E:E)</f>
        <v>0</v>
      </c>
      <c r="F21" s="6">
        <f>SUMIF(Source_PL!$A:$A,$A21,Source_PL!F:F)</f>
        <v>302.47000000000003</v>
      </c>
      <c r="G21" s="6">
        <f>SUMIF(Source_PL!$A:$A,$A21,Source_PL!G:G)</f>
        <v>241.17</v>
      </c>
      <c r="H21" s="6">
        <f>SUMIF(Source_PL!$A:$A,$A21,Source_PL!H:H)</f>
        <v>30.68</v>
      </c>
      <c r="I21" s="6">
        <f>SUMIF(Source_PL!$A:$A,$A21,Source_PL!I:I)</f>
        <v>3923.93</v>
      </c>
      <c r="J21" s="6">
        <f>SUMIF(Source_PL!$A:$A,$A21,Source_PL!J:J)</f>
        <v>2356.0300000000002</v>
      </c>
      <c r="K21" s="6">
        <f>SUMIF(Source_PL!$A:$A,$A21,Source_PL!K:K)</f>
        <v>4023.39</v>
      </c>
      <c r="L21" s="6">
        <f>SUMIF(Source_PL!$A:$A,$A21,Source_PL!L:L)</f>
        <v>4053.9</v>
      </c>
      <c r="M21" s="6">
        <f>SUMIF(Source_PL!$A:$A,$A21,Source_PL!M:M)</f>
        <v>4508.6400000000003</v>
      </c>
      <c r="O21" s="6">
        <f t="shared" si="0"/>
        <v>19440.21</v>
      </c>
    </row>
    <row r="22" spans="1:15" x14ac:dyDescent="0.25">
      <c r="A22" t="s">
        <v>91</v>
      </c>
      <c r="B22" s="6">
        <f>SUMIF(Source_PL!$A:$A,$A22,Source_PL!B:B)</f>
        <v>0</v>
      </c>
      <c r="C22" s="6">
        <f>SUMIF(Source_PL!$A:$A,$A22,Source_PL!C:C)</f>
        <v>0</v>
      </c>
      <c r="D22" s="6">
        <f>SUMIF(Source_PL!$A:$A,$A22,Source_PL!D:D)</f>
        <v>0</v>
      </c>
      <c r="E22" s="6">
        <f>SUMIF(Source_PL!$A:$A,$A22,Source_PL!E:E)</f>
        <v>0</v>
      </c>
      <c r="F22" s="6">
        <f>SUMIF(Source_PL!$A:$A,$A22,Source_PL!F:F)</f>
        <v>185.84</v>
      </c>
      <c r="G22" s="6">
        <f>SUMIF(Source_PL!$A:$A,$A22,Source_PL!G:G)</f>
        <v>324.89</v>
      </c>
      <c r="H22" s="6">
        <f>SUMIF(Source_PL!$A:$A,$A22,Source_PL!H:H)</f>
        <v>0</v>
      </c>
      <c r="I22" s="6">
        <f>SUMIF(Source_PL!$A:$A,$A22,Source_PL!I:I)</f>
        <v>494.4</v>
      </c>
      <c r="J22" s="6">
        <f>SUMIF(Source_PL!$A:$A,$A22,Source_PL!J:J)</f>
        <v>468.35</v>
      </c>
      <c r="K22" s="6">
        <f>SUMIF(Source_PL!$A:$A,$A22,Source_PL!K:K)</f>
        <v>1434.67</v>
      </c>
      <c r="L22" s="6">
        <f>SUMIF(Source_PL!$A:$A,$A22,Source_PL!L:L)</f>
        <v>542.66999999999996</v>
      </c>
      <c r="M22" s="6">
        <f>SUMIF(Source_PL!$A:$A,$A22,Source_PL!M:M)</f>
        <v>283.56</v>
      </c>
      <c r="O22" s="6">
        <f t="shared" si="0"/>
        <v>3734.38</v>
      </c>
    </row>
    <row r="23" spans="1:15" x14ac:dyDescent="0.25">
      <c r="A23" t="s">
        <v>92</v>
      </c>
      <c r="B23" s="6">
        <f>SUMIF(Source_PL!$A:$A,$A23,Source_PL!B:B)</f>
        <v>5182.87</v>
      </c>
      <c r="C23" s="6">
        <f>SUMIF(Source_PL!$A:$A,$A23,Source_PL!C:C)</f>
        <v>0</v>
      </c>
      <c r="D23" s="6">
        <f>SUMIF(Source_PL!$A:$A,$A23,Source_PL!D:D)</f>
        <v>0</v>
      </c>
      <c r="E23" s="6">
        <f>SUMIF(Source_PL!$A:$A,$A23,Source_PL!E:E)</f>
        <v>0</v>
      </c>
      <c r="F23" s="6">
        <f>SUMIF(Source_PL!$A:$A,$A23,Source_PL!F:F)</f>
        <v>2767.82</v>
      </c>
      <c r="G23" s="6">
        <f>SUMIF(Source_PL!$A:$A,$A23,Source_PL!G:G)</f>
        <v>3881.24</v>
      </c>
      <c r="H23" s="6">
        <f>SUMIF(Source_PL!$A:$A,$A23,Source_PL!H:H)</f>
        <v>-36.33</v>
      </c>
      <c r="I23" s="6">
        <f>SUMIF(Source_PL!$A:$A,$A23,Source_PL!I:I)</f>
        <v>37151.33</v>
      </c>
      <c r="J23" s="6">
        <f>SUMIF(Source_PL!$A:$A,$A23,Source_PL!J:J)</f>
        <v>17953.62</v>
      </c>
      <c r="K23" s="6">
        <f>SUMIF(Source_PL!$A:$A,$A23,Source_PL!K:K)</f>
        <v>11235.63</v>
      </c>
      <c r="L23" s="6">
        <f>SUMIF(Source_PL!$A:$A,$A23,Source_PL!L:L)</f>
        <v>9555.0300000000007</v>
      </c>
      <c r="M23" s="6">
        <f>SUMIF(Source_PL!$A:$A,$A23,Source_PL!M:M)</f>
        <v>7321.74</v>
      </c>
      <c r="O23" s="6">
        <f t="shared" si="0"/>
        <v>95012.950000000012</v>
      </c>
    </row>
    <row r="24" spans="1:15" x14ac:dyDescent="0.25">
      <c r="A24" t="s">
        <v>93</v>
      </c>
      <c r="B24" s="6">
        <f>SUMIF(Source_PL!$A:$A,$A24,Source_PL!B:B)</f>
        <v>0</v>
      </c>
      <c r="C24" s="6">
        <f>SUMIF(Source_PL!$A:$A,$A24,Source_PL!C:C)</f>
        <v>0</v>
      </c>
      <c r="D24" s="6">
        <f>SUMIF(Source_PL!$A:$A,$A24,Source_PL!D:D)</f>
        <v>0</v>
      </c>
      <c r="E24" s="6">
        <f>SUMIF(Source_PL!$A:$A,$A24,Source_PL!E:E)</f>
        <v>0</v>
      </c>
      <c r="F24" s="6">
        <f>SUMIF(Source_PL!$A:$A,$A24,Source_PL!F:F)</f>
        <v>0</v>
      </c>
      <c r="G24" s="6">
        <f>SUMIF(Source_PL!$A:$A,$A24,Source_PL!G:G)</f>
        <v>0</v>
      </c>
      <c r="H24" s="6">
        <f>SUMIF(Source_PL!$A:$A,$A24,Source_PL!H:H)</f>
        <v>0</v>
      </c>
      <c r="I24" s="6">
        <f>SUMIF(Source_PL!$A:$A,$A24,Source_PL!I:I)</f>
        <v>229.83</v>
      </c>
      <c r="J24" s="6">
        <f>SUMIF(Source_PL!$A:$A,$A24,Source_PL!J:J)</f>
        <v>0</v>
      </c>
      <c r="K24" s="6">
        <f>SUMIF(Source_PL!$A:$A,$A24,Source_PL!K:K)</f>
        <v>0</v>
      </c>
      <c r="L24" s="6">
        <f>SUMIF(Source_PL!$A:$A,$A24,Source_PL!L:L)</f>
        <v>187</v>
      </c>
      <c r="M24" s="6">
        <f>SUMIF(Source_PL!$A:$A,$A24,Source_PL!M:M)</f>
        <v>518.41</v>
      </c>
      <c r="O24" s="6">
        <f t="shared" si="0"/>
        <v>935.24</v>
      </c>
    </row>
    <row r="25" spans="1:15" x14ac:dyDescent="0.25">
      <c r="A25" t="s">
        <v>94</v>
      </c>
      <c r="B25" s="6">
        <f>SUMIF(Source_PL!$A:$A,$A25,Source_PL!B:B)</f>
        <v>0</v>
      </c>
      <c r="C25" s="6">
        <f>SUMIF(Source_PL!$A:$A,$A25,Source_PL!C:C)</f>
        <v>0</v>
      </c>
      <c r="D25" s="6">
        <f>SUMIF(Source_PL!$A:$A,$A25,Source_PL!D:D)</f>
        <v>0</v>
      </c>
      <c r="E25" s="6">
        <f>SUMIF(Source_PL!$A:$A,$A25,Source_PL!E:E)</f>
        <v>0</v>
      </c>
      <c r="F25" s="6">
        <f>SUMIF(Source_PL!$A:$A,$A25,Source_PL!F:F)</f>
        <v>0</v>
      </c>
      <c r="G25" s="6">
        <f>SUMIF(Source_PL!$A:$A,$A25,Source_PL!G:G)</f>
        <v>0</v>
      </c>
      <c r="H25" s="6">
        <f>SUMIF(Source_PL!$A:$A,$A25,Source_PL!H:H)</f>
        <v>0</v>
      </c>
      <c r="I25" s="6">
        <f>SUMIF(Source_PL!$A:$A,$A25,Source_PL!I:I)</f>
        <v>36895.97</v>
      </c>
      <c r="J25" s="6">
        <f>SUMIF(Source_PL!$A:$A,$A25,Source_PL!J:J)</f>
        <v>82264.639999999999</v>
      </c>
      <c r="K25" s="6">
        <f>SUMIF(Source_PL!$A:$A,$A25,Source_PL!K:K)</f>
        <v>91277.73</v>
      </c>
      <c r="L25" s="6">
        <f>SUMIF(Source_PL!$A:$A,$A25,Source_PL!L:L)</f>
        <v>107220.78</v>
      </c>
      <c r="M25" s="6">
        <f>SUMIF(Source_PL!$A:$A,$A25,Source_PL!M:M)</f>
        <v>92045.01</v>
      </c>
      <c r="O25" s="6">
        <f t="shared" si="0"/>
        <v>409704.13</v>
      </c>
    </row>
    <row r="26" spans="1:15" x14ac:dyDescent="0.25">
      <c r="A26" t="s">
        <v>95</v>
      </c>
      <c r="B26" s="6">
        <f>SUMIF(Source_PL!$A:$A,$A26,Source_PL!B:B)</f>
        <v>0</v>
      </c>
      <c r="C26" s="6">
        <f>SUMIF(Source_PL!$A:$A,$A26,Source_PL!C:C)</f>
        <v>0</v>
      </c>
      <c r="D26" s="6">
        <f>SUMIF(Source_PL!$A:$A,$A26,Source_PL!D:D)</f>
        <v>0</v>
      </c>
      <c r="E26" s="6">
        <f>SUMIF(Source_PL!$A:$A,$A26,Source_PL!E:E)</f>
        <v>0</v>
      </c>
      <c r="F26" s="6">
        <f>SUMIF(Source_PL!$A:$A,$A26,Source_PL!F:F)</f>
        <v>0</v>
      </c>
      <c r="G26" s="6">
        <f>SUMIF(Source_PL!$A:$A,$A26,Source_PL!G:G)</f>
        <v>0</v>
      </c>
      <c r="H26" s="6">
        <f>SUMIF(Source_PL!$A:$A,$A26,Source_PL!H:H)</f>
        <v>0</v>
      </c>
      <c r="I26" s="6">
        <f>SUMIF(Source_PL!$A:$A,$A26,Source_PL!I:I)</f>
        <v>1624.16</v>
      </c>
      <c r="J26" s="6">
        <f>SUMIF(Source_PL!$A:$A,$A26,Source_PL!J:J)</f>
        <v>0</v>
      </c>
      <c r="K26" s="6">
        <f>SUMIF(Source_PL!$A:$A,$A26,Source_PL!K:K)</f>
        <v>0</v>
      </c>
      <c r="L26" s="6">
        <f>SUMIF(Source_PL!$A:$A,$A26,Source_PL!L:L)</f>
        <v>3860.32</v>
      </c>
      <c r="M26" s="6">
        <f>SUMIF(Source_PL!$A:$A,$A26,Source_PL!M:M)</f>
        <v>14913.4</v>
      </c>
      <c r="O26" s="6">
        <f t="shared" si="0"/>
        <v>20397.88</v>
      </c>
    </row>
    <row r="27" spans="1:15" x14ac:dyDescent="0.25">
      <c r="A27" t="s">
        <v>96</v>
      </c>
      <c r="B27" s="6">
        <f>SUMIF(Source_PL!$A:$A,$A27,Source_PL!B:B)</f>
        <v>25016.17</v>
      </c>
      <c r="C27" s="6">
        <f>SUMIF(Source_PL!$A:$A,$A27,Source_PL!C:C)</f>
        <v>10828.69</v>
      </c>
      <c r="D27" s="6">
        <f>SUMIF(Source_PL!$A:$A,$A27,Source_PL!D:D)</f>
        <v>46382.95</v>
      </c>
      <c r="E27" s="6">
        <f>SUMIF(Source_PL!$A:$A,$A27,Source_PL!E:E)</f>
        <v>2355.8200000000002</v>
      </c>
      <c r="F27" s="6">
        <f>SUMIF(Source_PL!$A:$A,$A27,Source_PL!F:F)</f>
        <v>3706</v>
      </c>
      <c r="G27" s="6">
        <f>SUMIF(Source_PL!$A:$A,$A27,Source_PL!G:G)</f>
        <v>0</v>
      </c>
      <c r="H27" s="6">
        <f>SUMIF(Source_PL!$A:$A,$A27,Source_PL!H:H)</f>
        <v>37406.730000000003</v>
      </c>
      <c r="I27" s="6">
        <f>SUMIF(Source_PL!$A:$A,$A27,Source_PL!I:I)</f>
        <v>46830.06</v>
      </c>
      <c r="J27" s="6">
        <f>SUMIF(Source_PL!$A:$A,$A27,Source_PL!J:J)</f>
        <v>16346.46</v>
      </c>
      <c r="K27" s="6">
        <f>SUMIF(Source_PL!$A:$A,$A27,Source_PL!K:K)</f>
        <v>26496.23</v>
      </c>
      <c r="L27" s="6">
        <f>SUMIF(Source_PL!$A:$A,$A27,Source_PL!L:L)</f>
        <v>71496.83</v>
      </c>
      <c r="M27" s="6">
        <f>SUMIF(Source_PL!$A:$A,$A27,Source_PL!M:M)</f>
        <v>95055.43</v>
      </c>
      <c r="O27" s="6">
        <f t="shared" si="0"/>
        <v>381921.37</v>
      </c>
    </row>
    <row r="28" spans="1:15" x14ac:dyDescent="0.25">
      <c r="A28" t="s">
        <v>97</v>
      </c>
      <c r="B28" s="6">
        <f>SUMIF(Source_PL!$A:$A,$A28,Source_PL!B:B)</f>
        <v>0</v>
      </c>
      <c r="C28" s="6">
        <f>SUMIF(Source_PL!$A:$A,$A28,Source_PL!C:C)</f>
        <v>0</v>
      </c>
      <c r="D28" s="6">
        <f>SUMIF(Source_PL!$A:$A,$A28,Source_PL!D:D)</f>
        <v>0</v>
      </c>
      <c r="E28" s="6">
        <f>SUMIF(Source_PL!$A:$A,$A28,Source_PL!E:E)</f>
        <v>0</v>
      </c>
      <c r="F28" s="6">
        <f>SUMIF(Source_PL!$A:$A,$A28,Source_PL!F:F)</f>
        <v>300</v>
      </c>
      <c r="G28" s="6">
        <f>SUMIF(Source_PL!$A:$A,$A28,Source_PL!G:G)</f>
        <v>300</v>
      </c>
      <c r="H28" s="6">
        <f>SUMIF(Source_PL!$A:$A,$A28,Source_PL!H:H)</f>
        <v>0</v>
      </c>
      <c r="I28" s="6">
        <f>SUMIF(Source_PL!$A:$A,$A28,Source_PL!I:I)</f>
        <v>0</v>
      </c>
      <c r="J28" s="6">
        <f>SUMIF(Source_PL!$A:$A,$A28,Source_PL!J:J)</f>
        <v>0</v>
      </c>
      <c r="K28" s="6">
        <f>SUMIF(Source_PL!$A:$A,$A28,Source_PL!K:K)</f>
        <v>0</v>
      </c>
      <c r="L28" s="6">
        <f>SUMIF(Source_PL!$A:$A,$A28,Source_PL!L:L)</f>
        <v>5700</v>
      </c>
      <c r="M28" s="6">
        <f>SUMIF(Source_PL!$A:$A,$A28,Source_PL!M:M)</f>
        <v>0</v>
      </c>
      <c r="O28" s="6">
        <f t="shared" si="0"/>
        <v>6300</v>
      </c>
    </row>
    <row r="29" spans="1:15" x14ac:dyDescent="0.25">
      <c r="A29" t="s">
        <v>98</v>
      </c>
      <c r="B29" s="6">
        <f>SUMIF(Source_PL!$A:$A,$A29,Source_PL!B:B)</f>
        <v>0</v>
      </c>
      <c r="C29" s="6">
        <f>SUMIF(Source_PL!$A:$A,$A29,Source_PL!C:C)</f>
        <v>0</v>
      </c>
      <c r="D29" s="6">
        <f>SUMIF(Source_PL!$A:$A,$A29,Source_PL!D:D)</f>
        <v>0</v>
      </c>
      <c r="E29" s="6">
        <f>SUMIF(Source_PL!$A:$A,$A29,Source_PL!E:E)</f>
        <v>0</v>
      </c>
      <c r="F29" s="6">
        <f>SUMIF(Source_PL!$A:$A,$A29,Source_PL!F:F)</f>
        <v>0</v>
      </c>
      <c r="G29" s="6">
        <f>SUMIF(Source_PL!$A:$A,$A29,Source_PL!G:G)</f>
        <v>0</v>
      </c>
      <c r="H29" s="6">
        <f>SUMIF(Source_PL!$A:$A,$A29,Source_PL!H:H)</f>
        <v>5167.5</v>
      </c>
      <c r="I29" s="6">
        <f>SUMIF(Source_PL!$A:$A,$A29,Source_PL!I:I)</f>
        <v>0</v>
      </c>
      <c r="J29" s="6">
        <f>SUMIF(Source_PL!$A:$A,$A29,Source_PL!J:J)</f>
        <v>0</v>
      </c>
      <c r="K29" s="6">
        <f>SUMIF(Source_PL!$A:$A,$A29,Source_PL!K:K)</f>
        <v>0</v>
      </c>
      <c r="L29" s="6">
        <f>SUMIF(Source_PL!$A:$A,$A29,Source_PL!L:L)</f>
        <v>0</v>
      </c>
      <c r="M29" s="6">
        <f>SUMIF(Source_PL!$A:$A,$A29,Source_PL!M:M)</f>
        <v>0</v>
      </c>
      <c r="O29" s="6">
        <f t="shared" si="0"/>
        <v>5167.5</v>
      </c>
    </row>
    <row r="30" spans="1:15" x14ac:dyDescent="0.25">
      <c r="A30" s="7" t="s">
        <v>99</v>
      </c>
      <c r="B30" s="9">
        <f>SUMIF(Source_PL!$A:$A,$A30,Source_PL!B:B)</f>
        <v>432117.89</v>
      </c>
      <c r="C30" s="9">
        <f>SUMIF(Source_PL!$A:$A,$A30,Source_PL!C:C)</f>
        <v>42024.28</v>
      </c>
      <c r="D30" s="9">
        <f>SUMIF(Source_PL!$A:$A,$A30,Source_PL!D:D)</f>
        <v>49647.81</v>
      </c>
      <c r="E30" s="9">
        <f>SUMIF(Source_PL!$A:$A,$A30,Source_PL!E:E)</f>
        <v>3558.41</v>
      </c>
      <c r="F30" s="9">
        <f>SUMIF(Source_PL!$A:$A,$A30,Source_PL!F:F)</f>
        <v>33441.97</v>
      </c>
      <c r="G30" s="9">
        <f>SUMIF(Source_PL!$A:$A,$A30,Source_PL!G:G)</f>
        <v>6930.4699999999993</v>
      </c>
      <c r="H30" s="9">
        <f>SUMIF(Source_PL!$A:$A,$A30,Source_PL!H:H)</f>
        <v>129141.67</v>
      </c>
      <c r="I30" s="9">
        <f>SUMIF(Source_PL!$A:$A,$A30,Source_PL!I:I)</f>
        <v>308953.29999999987</v>
      </c>
      <c r="J30" s="9">
        <f>SUMIF(Source_PL!$A:$A,$A30,Source_PL!J:J)</f>
        <v>151306.03</v>
      </c>
      <c r="K30" s="9">
        <f>SUMIF(Source_PL!$A:$A,$A30,Source_PL!K:K)</f>
        <v>189561.76</v>
      </c>
      <c r="L30" s="9">
        <f>SUMIF(Source_PL!$A:$A,$A30,Source_PL!L:L)</f>
        <v>210780.15</v>
      </c>
      <c r="M30" s="9">
        <f>SUMIF(Source_PL!$A:$A,$A30,Source_PL!M:M)</f>
        <v>224540.11</v>
      </c>
      <c r="N30" s="8"/>
      <c r="O30" s="9">
        <f t="shared" si="0"/>
        <v>1782003.8499999996</v>
      </c>
    </row>
    <row r="31" spans="1:15" x14ac:dyDescent="0.25">
      <c r="A31" s="7" t="s">
        <v>100</v>
      </c>
      <c r="B31" s="9">
        <f>SUMIF(Source_PL!$A:$A,$A31,Source_PL!B:B)</f>
        <v>432117.89</v>
      </c>
      <c r="C31" s="9">
        <f>SUMIF(Source_PL!$A:$A,$A31,Source_PL!C:C)</f>
        <v>42024.28</v>
      </c>
      <c r="D31" s="9">
        <f>SUMIF(Source_PL!$A:$A,$A31,Source_PL!D:D)</f>
        <v>49647.81</v>
      </c>
      <c r="E31" s="9">
        <f>SUMIF(Source_PL!$A:$A,$A31,Source_PL!E:E)</f>
        <v>3558.41</v>
      </c>
      <c r="F31" s="9">
        <f>SUMIF(Source_PL!$A:$A,$A31,Source_PL!F:F)</f>
        <v>33441.97</v>
      </c>
      <c r="G31" s="9">
        <f>SUMIF(Source_PL!$A:$A,$A31,Source_PL!G:G)</f>
        <v>6930.4699999999993</v>
      </c>
      <c r="H31" s="9">
        <f>SUMIF(Source_PL!$A:$A,$A31,Source_PL!H:H)</f>
        <v>129141.67</v>
      </c>
      <c r="I31" s="9">
        <f>SUMIF(Source_PL!$A:$A,$A31,Source_PL!I:I)</f>
        <v>308953.29999999987</v>
      </c>
      <c r="J31" s="9">
        <f>SUMIF(Source_PL!$A:$A,$A31,Source_PL!J:J)</f>
        <v>151306.03</v>
      </c>
      <c r="K31" s="9">
        <f>SUMIF(Source_PL!$A:$A,$A31,Source_PL!K:K)</f>
        <v>189561.76</v>
      </c>
      <c r="L31" s="9">
        <f>SUMIF(Source_PL!$A:$A,$A31,Source_PL!L:L)</f>
        <v>210780.15</v>
      </c>
      <c r="M31" s="9">
        <f>SUMIF(Source_PL!$A:$A,$A31,Source_PL!M:M)</f>
        <v>224540.11</v>
      </c>
      <c r="N31" s="8"/>
      <c r="O31" s="9">
        <f t="shared" si="0"/>
        <v>1782003.8499999996</v>
      </c>
    </row>
    <row r="32" spans="1:15" x14ac:dyDescent="0.25">
      <c r="A32" s="7" t="s">
        <v>25</v>
      </c>
      <c r="B32" s="9">
        <f>SUMIF(Source_PL!$A:$A,$A32,Source_PL!B:B)</f>
        <v>-266994.14</v>
      </c>
      <c r="C32" s="9">
        <f>SUMIF(Source_PL!$A:$A,$A32,Source_PL!C:C)</f>
        <v>79734.820000000007</v>
      </c>
      <c r="D32" s="9">
        <f>SUMIF(Source_PL!$A:$A,$A32,Source_PL!D:D)</f>
        <v>661743.6100000001</v>
      </c>
      <c r="E32" s="9">
        <f>SUMIF(Source_PL!$A:$A,$A32,Source_PL!E:E)</f>
        <v>213475.15</v>
      </c>
      <c r="F32" s="9">
        <f>SUMIF(Source_PL!$A:$A,$A32,Source_PL!F:F)</f>
        <v>358142.52</v>
      </c>
      <c r="G32" s="9">
        <f>SUMIF(Source_PL!$A:$A,$A32,Source_PL!G:G)</f>
        <v>264891.51</v>
      </c>
      <c r="H32" s="9">
        <f>SUMIF(Source_PL!$A:$A,$A32,Source_PL!H:H)</f>
        <v>311771.61</v>
      </c>
      <c r="I32" s="9">
        <f>SUMIF(Source_PL!$A:$A,$A32,Source_PL!I:I)</f>
        <v>265943.11</v>
      </c>
      <c r="J32" s="9">
        <f>SUMIF(Source_PL!$A:$A,$A32,Source_PL!J:J)</f>
        <v>304958.89</v>
      </c>
      <c r="K32" s="9">
        <f>SUMIF(Source_PL!$A:$A,$A32,Source_PL!K:K)</f>
        <v>132606</v>
      </c>
      <c r="L32" s="9">
        <f>SUMIF(Source_PL!$A:$A,$A32,Source_PL!L:L)</f>
        <v>384941.04</v>
      </c>
      <c r="M32" s="9">
        <f>SUMIF(Source_PL!$A:$A,$A32,Source_PL!M:M)</f>
        <v>491258.22</v>
      </c>
      <c r="N32" s="8"/>
      <c r="O32" s="9">
        <f t="shared" si="0"/>
        <v>3202472.34</v>
      </c>
    </row>
    <row r="33" spans="1:15" x14ac:dyDescent="0.25">
      <c r="A33" t="s">
        <v>101</v>
      </c>
      <c r="B33" s="6">
        <f>SUMIF(Source_PL!$A:$A,$A33,Source_PL!B:B)</f>
        <v>0</v>
      </c>
      <c r="C33" s="6">
        <f>SUMIF(Source_PL!$A:$A,$A33,Source_PL!C:C)</f>
        <v>0</v>
      </c>
      <c r="D33" s="6">
        <f>SUMIF(Source_PL!$A:$A,$A33,Source_PL!D:D)</f>
        <v>0</v>
      </c>
      <c r="E33" s="6">
        <f>SUMIF(Source_PL!$A:$A,$A33,Source_PL!E:E)</f>
        <v>0</v>
      </c>
      <c r="F33" s="6">
        <f>SUMIF(Source_PL!$A:$A,$A33,Source_PL!F:F)</f>
        <v>0</v>
      </c>
      <c r="G33" s="6">
        <f>SUMIF(Source_PL!$A:$A,$A33,Source_PL!G:G)</f>
        <v>0</v>
      </c>
      <c r="H33" s="6">
        <f>SUMIF(Source_PL!$A:$A,$A33,Source_PL!H:H)</f>
        <v>0</v>
      </c>
      <c r="I33" s="6">
        <f>SUMIF(Source_PL!$A:$A,$A33,Source_PL!I:I)</f>
        <v>0</v>
      </c>
      <c r="J33" s="6">
        <f>SUMIF(Source_PL!$A:$A,$A33,Source_PL!J:J)</f>
        <v>0</v>
      </c>
      <c r="K33" s="6">
        <f>SUMIF(Source_PL!$A:$A,$A33,Source_PL!K:K)</f>
        <v>0</v>
      </c>
      <c r="L33" s="6">
        <f>SUMIF(Source_PL!$A:$A,$A33,Source_PL!L:L)</f>
        <v>0</v>
      </c>
      <c r="M33" s="6">
        <f>SUMIF(Source_PL!$A:$A,$A33,Source_PL!M:M)</f>
        <v>0</v>
      </c>
      <c r="O33" s="6">
        <f t="shared" si="0"/>
        <v>0</v>
      </c>
    </row>
    <row r="34" spans="1:15" x14ac:dyDescent="0.25">
      <c r="A34" t="s">
        <v>102</v>
      </c>
      <c r="B34" s="6">
        <f>SUMIF(Source_PL!$A:$A,$A34,Source_PL!B:B)</f>
        <v>0</v>
      </c>
      <c r="C34" s="6">
        <f>SUMIF(Source_PL!$A:$A,$A34,Source_PL!C:C)</f>
        <v>0</v>
      </c>
      <c r="D34" s="6">
        <f>SUMIF(Source_PL!$A:$A,$A34,Source_PL!D:D)</f>
        <v>0</v>
      </c>
      <c r="E34" s="6">
        <f>SUMIF(Source_PL!$A:$A,$A34,Source_PL!E:E)</f>
        <v>0</v>
      </c>
      <c r="F34" s="6">
        <f>SUMIF(Source_PL!$A:$A,$A34,Source_PL!F:F)</f>
        <v>0</v>
      </c>
      <c r="G34" s="6">
        <f>SUMIF(Source_PL!$A:$A,$A34,Source_PL!G:G)</f>
        <v>0</v>
      </c>
      <c r="H34" s="6">
        <f>SUMIF(Source_PL!$A:$A,$A34,Source_PL!H:H)</f>
        <v>0</v>
      </c>
      <c r="I34" s="6">
        <f>SUMIF(Source_PL!$A:$A,$A34,Source_PL!I:I)</f>
        <v>0</v>
      </c>
      <c r="J34" s="6">
        <f>SUMIF(Source_PL!$A:$A,$A34,Source_PL!J:J)</f>
        <v>0</v>
      </c>
      <c r="K34" s="6">
        <f>SUMIF(Source_PL!$A:$A,$A34,Source_PL!K:K)</f>
        <v>0</v>
      </c>
      <c r="L34" s="6">
        <f>SUMIF(Source_PL!$A:$A,$A34,Source_PL!L:L)</f>
        <v>0</v>
      </c>
      <c r="M34" s="6">
        <f>SUMIF(Source_PL!$A:$A,$A34,Source_PL!M:M)</f>
        <v>0</v>
      </c>
      <c r="O34" s="6">
        <f t="shared" si="0"/>
        <v>0</v>
      </c>
    </row>
    <row r="35" spans="1:15" x14ac:dyDescent="0.25">
      <c r="A35" t="s">
        <v>103</v>
      </c>
      <c r="B35" s="6">
        <f>SUMIF(Source_PL!$A:$A,$A35,Source_PL!B:B)</f>
        <v>146082.88</v>
      </c>
      <c r="C35" s="6">
        <f>SUMIF(Source_PL!$A:$A,$A35,Source_PL!C:C)</f>
        <v>149263.07</v>
      </c>
      <c r="D35" s="6">
        <f>SUMIF(Source_PL!$A:$A,$A35,Source_PL!D:D)</f>
        <v>213768.73</v>
      </c>
      <c r="E35" s="6">
        <f>SUMIF(Source_PL!$A:$A,$A35,Source_PL!E:E)</f>
        <v>145277.29</v>
      </c>
      <c r="F35" s="6">
        <f>SUMIF(Source_PL!$A:$A,$A35,Source_PL!F:F)</f>
        <v>150187.51</v>
      </c>
      <c r="G35" s="6">
        <f>SUMIF(Source_PL!$A:$A,$A35,Source_PL!G:G)</f>
        <v>157126.6</v>
      </c>
      <c r="H35" s="6">
        <f>SUMIF(Source_PL!$A:$A,$A35,Source_PL!H:H)</f>
        <v>155057.94</v>
      </c>
      <c r="I35" s="6">
        <f>SUMIF(Source_PL!$A:$A,$A35,Source_PL!I:I)</f>
        <v>223896.87</v>
      </c>
      <c r="J35" s="6">
        <f>SUMIF(Source_PL!$A:$A,$A35,Source_PL!J:J)</f>
        <v>92240.98</v>
      </c>
      <c r="K35" s="6">
        <f>SUMIF(Source_PL!$A:$A,$A35,Source_PL!K:K)</f>
        <v>112836.98</v>
      </c>
      <c r="L35" s="6">
        <f>SUMIF(Source_PL!$A:$A,$A35,Source_PL!L:L)</f>
        <v>137107.73000000001</v>
      </c>
      <c r="M35" s="6">
        <f>SUMIF(Source_PL!$A:$A,$A35,Source_PL!M:M)</f>
        <v>149071.01999999999</v>
      </c>
      <c r="O35" s="6">
        <f t="shared" si="0"/>
        <v>1831917.6</v>
      </c>
    </row>
    <row r="36" spans="1:15" x14ac:dyDescent="0.25">
      <c r="A36" t="s">
        <v>104</v>
      </c>
      <c r="B36" s="6">
        <f>SUMIF(Source_PL!$A:$A,$A36,Source_PL!B:B)</f>
        <v>12735.11</v>
      </c>
      <c r="C36" s="6">
        <f>SUMIF(Source_PL!$A:$A,$A36,Source_PL!C:C)</f>
        <v>12183.34</v>
      </c>
      <c r="D36" s="6">
        <f>SUMIF(Source_PL!$A:$A,$A36,Source_PL!D:D)</f>
        <v>16909.5</v>
      </c>
      <c r="E36" s="6">
        <f>SUMIF(Source_PL!$A:$A,$A36,Source_PL!E:E)</f>
        <v>10988.34</v>
      </c>
      <c r="F36" s="6">
        <f>SUMIF(Source_PL!$A:$A,$A36,Source_PL!F:F)</f>
        <v>11314.49</v>
      </c>
      <c r="G36" s="6">
        <f>SUMIF(Source_PL!$A:$A,$A36,Source_PL!G:G)</f>
        <v>10040.07</v>
      </c>
      <c r="H36" s="6">
        <f>SUMIF(Source_PL!$A:$A,$A36,Source_PL!H:H)</f>
        <v>11910</v>
      </c>
      <c r="I36" s="6">
        <f>SUMIF(Source_PL!$A:$A,$A36,Source_PL!I:I)</f>
        <v>19724.400000000001</v>
      </c>
      <c r="J36" s="6">
        <f>SUMIF(Source_PL!$A:$A,$A36,Source_PL!J:J)</f>
        <v>13216.04</v>
      </c>
      <c r="K36" s="6">
        <f>SUMIF(Source_PL!$A:$A,$A36,Source_PL!K:K)</f>
        <v>15698.18</v>
      </c>
      <c r="L36" s="6">
        <f>SUMIF(Source_PL!$A:$A,$A36,Source_PL!L:L)</f>
        <v>19095.63</v>
      </c>
      <c r="M36" s="6">
        <f>SUMIF(Source_PL!$A:$A,$A36,Source_PL!M:M)</f>
        <v>9683.64</v>
      </c>
      <c r="O36" s="6">
        <f t="shared" si="0"/>
        <v>163498.74</v>
      </c>
    </row>
    <row r="37" spans="1:15" x14ac:dyDescent="0.25">
      <c r="A37" t="s">
        <v>105</v>
      </c>
      <c r="B37" s="6">
        <f>SUMIF(Source_PL!$A:$A,$A37,Source_PL!B:B)</f>
        <v>-15782.81</v>
      </c>
      <c r="C37" s="6">
        <f>SUMIF(Source_PL!$A:$A,$A37,Source_PL!C:C)</f>
        <v>-38525.99</v>
      </c>
      <c r="D37" s="6">
        <f>SUMIF(Source_PL!$A:$A,$A37,Source_PL!D:D)</f>
        <v>-17689.62</v>
      </c>
      <c r="E37" s="6">
        <f>SUMIF(Source_PL!$A:$A,$A37,Source_PL!E:E)</f>
        <v>-8311.52</v>
      </c>
      <c r="F37" s="6">
        <f>SUMIF(Source_PL!$A:$A,$A37,Source_PL!F:F)</f>
        <v>-22842.75</v>
      </c>
      <c r="G37" s="6">
        <f>SUMIF(Source_PL!$A:$A,$A37,Source_PL!G:G)</f>
        <v>-16798.86</v>
      </c>
      <c r="H37" s="6">
        <f>SUMIF(Source_PL!$A:$A,$A37,Source_PL!H:H)</f>
        <v>-18488.16</v>
      </c>
      <c r="I37" s="6">
        <f>SUMIF(Source_PL!$A:$A,$A37,Source_PL!I:I)</f>
        <v>-27246</v>
      </c>
      <c r="J37" s="6">
        <f>SUMIF(Source_PL!$A:$A,$A37,Source_PL!J:J)</f>
        <v>-20338.669999999998</v>
      </c>
      <c r="K37" s="6">
        <f>SUMIF(Source_PL!$A:$A,$A37,Source_PL!K:K)</f>
        <v>-39237.9</v>
      </c>
      <c r="L37" s="6">
        <f>SUMIF(Source_PL!$A:$A,$A37,Source_PL!L:L)</f>
        <v>-25510.25</v>
      </c>
      <c r="M37" s="6">
        <f>SUMIF(Source_PL!$A:$A,$A37,Source_PL!M:M)</f>
        <v>-33244.04</v>
      </c>
      <c r="O37" s="6">
        <f t="shared" ref="O37:O68" si="1">SUM(B37:M37)</f>
        <v>-284016.57</v>
      </c>
    </row>
    <row r="38" spans="1:15" x14ac:dyDescent="0.25">
      <c r="A38" s="7" t="s">
        <v>106</v>
      </c>
      <c r="B38" s="9">
        <f>SUMIF(Source_PL!$A:$A,$A38,Source_PL!B:B)</f>
        <v>143035.18</v>
      </c>
      <c r="C38" s="9">
        <f>SUMIF(Source_PL!$A:$A,$A38,Source_PL!C:C)</f>
        <v>122920.42</v>
      </c>
      <c r="D38" s="9">
        <f>SUMIF(Source_PL!$A:$A,$A38,Source_PL!D:D)</f>
        <v>212988.61</v>
      </c>
      <c r="E38" s="9">
        <f>SUMIF(Source_PL!$A:$A,$A38,Source_PL!E:E)</f>
        <v>147954.10999999999</v>
      </c>
      <c r="F38" s="9">
        <f>SUMIF(Source_PL!$A:$A,$A38,Source_PL!F:F)</f>
        <v>138659.25</v>
      </c>
      <c r="G38" s="9">
        <f>SUMIF(Source_PL!$A:$A,$A38,Source_PL!G:G)</f>
        <v>150367.81</v>
      </c>
      <c r="H38" s="9">
        <f>SUMIF(Source_PL!$A:$A,$A38,Source_PL!H:H)</f>
        <v>148479.78</v>
      </c>
      <c r="I38" s="9">
        <f>SUMIF(Source_PL!$A:$A,$A38,Source_PL!I:I)</f>
        <v>216375.27</v>
      </c>
      <c r="J38" s="9">
        <f>SUMIF(Source_PL!$A:$A,$A38,Source_PL!J:J)</f>
        <v>85118.349999999991</v>
      </c>
      <c r="K38" s="9">
        <f>SUMIF(Source_PL!$A:$A,$A38,Source_PL!K:K)</f>
        <v>89297.260000000009</v>
      </c>
      <c r="L38" s="9">
        <f>SUMIF(Source_PL!$A:$A,$A38,Source_PL!L:L)</f>
        <v>130693.11</v>
      </c>
      <c r="M38" s="9">
        <f>SUMIF(Source_PL!$A:$A,$A38,Source_PL!M:M)</f>
        <v>125510.62</v>
      </c>
      <c r="N38" s="8"/>
      <c r="O38" s="9">
        <f t="shared" si="1"/>
        <v>1711399.77</v>
      </c>
    </row>
    <row r="39" spans="1:15" x14ac:dyDescent="0.25">
      <c r="A39" t="s">
        <v>107</v>
      </c>
      <c r="B39" s="6">
        <f>SUMIF(Source_PL!$A:$A,$A39,Source_PL!B:B)</f>
        <v>-6700.45</v>
      </c>
      <c r="C39" s="6">
        <f>SUMIF(Source_PL!$A:$A,$A39,Source_PL!C:C)</f>
        <v>2037.86</v>
      </c>
      <c r="D39" s="6">
        <f>SUMIF(Source_PL!$A:$A,$A39,Source_PL!D:D)</f>
        <v>7569.33</v>
      </c>
      <c r="E39" s="6">
        <f>SUMIF(Source_PL!$A:$A,$A39,Source_PL!E:E)</f>
        <v>7198.68</v>
      </c>
      <c r="F39" s="6">
        <f>SUMIF(Source_PL!$A:$A,$A39,Source_PL!F:F)</f>
        <v>8348.51</v>
      </c>
      <c r="G39" s="6">
        <f>SUMIF(Source_PL!$A:$A,$A39,Source_PL!G:G)</f>
        <v>6059.83</v>
      </c>
      <c r="H39" s="6">
        <f>SUMIF(Source_PL!$A:$A,$A39,Source_PL!H:H)</f>
        <v>5952.81</v>
      </c>
      <c r="I39" s="6">
        <f>SUMIF(Source_PL!$A:$A,$A39,Source_PL!I:I)</f>
        <v>2034.48</v>
      </c>
      <c r="J39" s="6">
        <f>SUMIF(Source_PL!$A:$A,$A39,Source_PL!J:J)</f>
        <v>1012.02</v>
      </c>
      <c r="K39" s="6">
        <f>SUMIF(Source_PL!$A:$A,$A39,Source_PL!K:K)</f>
        <v>3656.46</v>
      </c>
      <c r="L39" s="6">
        <f>SUMIF(Source_PL!$A:$A,$A39,Source_PL!L:L)</f>
        <v>10555.38</v>
      </c>
      <c r="M39" s="6">
        <f>SUMIF(Source_PL!$A:$A,$A39,Source_PL!M:M)</f>
        <v>6934.66</v>
      </c>
      <c r="O39" s="6">
        <f t="shared" si="1"/>
        <v>54659.569999999992</v>
      </c>
    </row>
    <row r="40" spans="1:15" x14ac:dyDescent="0.25">
      <c r="A40" t="s">
        <v>108</v>
      </c>
      <c r="B40" s="6">
        <f>SUMIF(Source_PL!$A:$A,$A40,Source_PL!B:B)</f>
        <v>-1.05</v>
      </c>
      <c r="C40" s="6">
        <f>SUMIF(Source_PL!$A:$A,$A40,Source_PL!C:C)</f>
        <v>-1.05</v>
      </c>
      <c r="D40" s="6">
        <f>SUMIF(Source_PL!$A:$A,$A40,Source_PL!D:D)</f>
        <v>0</v>
      </c>
      <c r="E40" s="6">
        <f>SUMIF(Source_PL!$A:$A,$A40,Source_PL!E:E)</f>
        <v>30</v>
      </c>
      <c r="F40" s="6">
        <f>SUMIF(Source_PL!$A:$A,$A40,Source_PL!F:F)</f>
        <v>0</v>
      </c>
      <c r="G40" s="6">
        <f>SUMIF(Source_PL!$A:$A,$A40,Source_PL!G:G)</f>
        <v>0</v>
      </c>
      <c r="H40" s="6">
        <f>SUMIF(Source_PL!$A:$A,$A40,Source_PL!H:H)</f>
        <v>45.95</v>
      </c>
      <c r="I40" s="6">
        <f>SUMIF(Source_PL!$A:$A,$A40,Source_PL!I:I)</f>
        <v>118.01</v>
      </c>
      <c r="J40" s="6">
        <f>SUMIF(Source_PL!$A:$A,$A40,Source_PL!J:J)</f>
        <v>363.25</v>
      </c>
      <c r="K40" s="6">
        <f>SUMIF(Source_PL!$A:$A,$A40,Source_PL!K:K)</f>
        <v>0</v>
      </c>
      <c r="L40" s="6">
        <f>SUMIF(Source_PL!$A:$A,$A40,Source_PL!L:L)</f>
        <v>446.5</v>
      </c>
      <c r="M40" s="6">
        <f>SUMIF(Source_PL!$A:$A,$A40,Source_PL!M:M)</f>
        <v>50</v>
      </c>
      <c r="O40" s="6">
        <f t="shared" si="1"/>
        <v>1051.6100000000001</v>
      </c>
    </row>
    <row r="41" spans="1:15" x14ac:dyDescent="0.25">
      <c r="A41" t="s">
        <v>109</v>
      </c>
      <c r="B41" s="6">
        <f>SUMIF(Source_PL!$A:$A,$A41,Source_PL!B:B)</f>
        <v>17.09</v>
      </c>
      <c r="C41" s="6">
        <f>SUMIF(Source_PL!$A:$A,$A41,Source_PL!C:C)</f>
        <v>452.9</v>
      </c>
      <c r="D41" s="6">
        <f>SUMIF(Source_PL!$A:$A,$A41,Source_PL!D:D)</f>
        <v>445.76</v>
      </c>
      <c r="E41" s="6">
        <f>SUMIF(Source_PL!$A:$A,$A41,Source_PL!E:E)</f>
        <v>362.2</v>
      </c>
      <c r="F41" s="6">
        <f>SUMIF(Source_PL!$A:$A,$A41,Source_PL!F:F)</f>
        <v>62.14</v>
      </c>
      <c r="G41" s="6">
        <f>SUMIF(Source_PL!$A:$A,$A41,Source_PL!G:G)</f>
        <v>157.86000000000001</v>
      </c>
      <c r="H41" s="6">
        <f>SUMIF(Source_PL!$A:$A,$A41,Source_PL!H:H)</f>
        <v>208.53</v>
      </c>
      <c r="I41" s="6">
        <f>SUMIF(Source_PL!$A:$A,$A41,Source_PL!I:I)</f>
        <v>354.96</v>
      </c>
      <c r="J41" s="6">
        <f>SUMIF(Source_PL!$A:$A,$A41,Source_PL!J:J)</f>
        <v>2789.9</v>
      </c>
      <c r="K41" s="6">
        <f>SUMIF(Source_PL!$A:$A,$A41,Source_PL!K:K)</f>
        <v>456.74</v>
      </c>
      <c r="L41" s="6">
        <f>SUMIF(Source_PL!$A:$A,$A41,Source_PL!L:L)</f>
        <v>2481.6999999999998</v>
      </c>
      <c r="M41" s="6">
        <f>SUMIF(Source_PL!$A:$A,$A41,Source_PL!M:M)</f>
        <v>68.17</v>
      </c>
      <c r="O41" s="6">
        <f t="shared" si="1"/>
        <v>7857.95</v>
      </c>
    </row>
    <row r="42" spans="1:15" x14ac:dyDescent="0.25">
      <c r="A42" t="s">
        <v>110</v>
      </c>
      <c r="B42" s="6">
        <f>SUMIF(Source_PL!$A:$A,$A42,Source_PL!B:B)</f>
        <v>0</v>
      </c>
      <c r="C42" s="6">
        <f>SUMIF(Source_PL!$A:$A,$A42,Source_PL!C:C)</f>
        <v>0</v>
      </c>
      <c r="D42" s="6">
        <f>SUMIF(Source_PL!$A:$A,$A42,Source_PL!D:D)</f>
        <v>0</v>
      </c>
      <c r="E42" s="6">
        <f>SUMIF(Source_PL!$A:$A,$A42,Source_PL!E:E)</f>
        <v>5000</v>
      </c>
      <c r="F42" s="6">
        <f>SUMIF(Source_PL!$A:$A,$A42,Source_PL!F:F)</f>
        <v>0</v>
      </c>
      <c r="G42" s="6">
        <f>SUMIF(Source_PL!$A:$A,$A42,Source_PL!G:G)</f>
        <v>0</v>
      </c>
      <c r="H42" s="6">
        <f>SUMIF(Source_PL!$A:$A,$A42,Source_PL!H:H)</f>
        <v>0</v>
      </c>
      <c r="I42" s="6">
        <f>SUMIF(Source_PL!$A:$A,$A42,Source_PL!I:I)</f>
        <v>105</v>
      </c>
      <c r="J42" s="6">
        <f>SUMIF(Source_PL!$A:$A,$A42,Source_PL!J:J)</f>
        <v>0</v>
      </c>
      <c r="K42" s="6">
        <f>SUMIF(Source_PL!$A:$A,$A42,Source_PL!K:K)</f>
        <v>232.92</v>
      </c>
      <c r="L42" s="6">
        <f>SUMIF(Source_PL!$A:$A,$A42,Source_PL!L:L)</f>
        <v>250</v>
      </c>
      <c r="M42" s="6">
        <f>SUMIF(Source_PL!$A:$A,$A42,Source_PL!M:M)</f>
        <v>450</v>
      </c>
      <c r="O42" s="6">
        <f t="shared" si="1"/>
        <v>6037.92</v>
      </c>
    </row>
    <row r="43" spans="1:15" x14ac:dyDescent="0.25">
      <c r="A43" t="s">
        <v>111</v>
      </c>
      <c r="B43" s="6">
        <f>SUMIF(Source_PL!$A:$A,$A43,Source_PL!B:B)</f>
        <v>4000</v>
      </c>
      <c r="C43" s="6">
        <f>SUMIF(Source_PL!$A:$A,$A43,Source_PL!C:C)</f>
        <v>0</v>
      </c>
      <c r="D43" s="6">
        <f>SUMIF(Source_PL!$A:$A,$A43,Source_PL!D:D)</f>
        <v>0</v>
      </c>
      <c r="E43" s="6">
        <f>SUMIF(Source_PL!$A:$A,$A43,Source_PL!E:E)</f>
        <v>0</v>
      </c>
      <c r="F43" s="6">
        <f>SUMIF(Source_PL!$A:$A,$A43,Source_PL!F:F)</f>
        <v>0</v>
      </c>
      <c r="G43" s="6">
        <f>SUMIF(Source_PL!$A:$A,$A43,Source_PL!G:G)</f>
        <v>0</v>
      </c>
      <c r="H43" s="6">
        <f>SUMIF(Source_PL!$A:$A,$A43,Source_PL!H:H)</f>
        <v>0</v>
      </c>
      <c r="I43" s="6">
        <f>SUMIF(Source_PL!$A:$A,$A43,Source_PL!I:I)</f>
        <v>0</v>
      </c>
      <c r="J43" s="6">
        <f>SUMIF(Source_PL!$A:$A,$A43,Source_PL!J:J)</f>
        <v>0</v>
      </c>
      <c r="K43" s="6">
        <f>SUMIF(Source_PL!$A:$A,$A43,Source_PL!K:K)</f>
        <v>0</v>
      </c>
      <c r="L43" s="6">
        <f>SUMIF(Source_PL!$A:$A,$A43,Source_PL!L:L)</f>
        <v>0</v>
      </c>
      <c r="M43" s="6">
        <f>SUMIF(Source_PL!$A:$A,$A43,Source_PL!M:M)</f>
        <v>0</v>
      </c>
      <c r="O43" s="6">
        <f t="shared" si="1"/>
        <v>4000</v>
      </c>
    </row>
    <row r="44" spans="1:15" x14ac:dyDescent="0.25">
      <c r="A44" t="s">
        <v>112</v>
      </c>
      <c r="B44" s="6">
        <f>SUMIF(Source_PL!$A:$A,$A44,Source_PL!B:B)</f>
        <v>4500</v>
      </c>
      <c r="C44" s="6">
        <f>SUMIF(Source_PL!$A:$A,$A44,Source_PL!C:C)</f>
        <v>0</v>
      </c>
      <c r="D44" s="6">
        <f>SUMIF(Source_PL!$A:$A,$A44,Source_PL!D:D)</f>
        <v>0</v>
      </c>
      <c r="E44" s="6">
        <f>SUMIF(Source_PL!$A:$A,$A44,Source_PL!E:E)</f>
        <v>0</v>
      </c>
      <c r="F44" s="6">
        <f>SUMIF(Source_PL!$A:$A,$A44,Source_PL!F:F)</f>
        <v>0</v>
      </c>
      <c r="G44" s="6">
        <f>SUMIF(Source_PL!$A:$A,$A44,Source_PL!G:G)</f>
        <v>0</v>
      </c>
      <c r="H44" s="6">
        <f>SUMIF(Source_PL!$A:$A,$A44,Source_PL!H:H)</f>
        <v>0</v>
      </c>
      <c r="I44" s="6">
        <f>SUMIF(Source_PL!$A:$A,$A44,Source_PL!I:I)</f>
        <v>0</v>
      </c>
      <c r="J44" s="6">
        <f>SUMIF(Source_PL!$A:$A,$A44,Source_PL!J:J)</f>
        <v>0</v>
      </c>
      <c r="K44" s="6">
        <f>SUMIF(Source_PL!$A:$A,$A44,Source_PL!K:K)</f>
        <v>0</v>
      </c>
      <c r="L44" s="6">
        <f>SUMIF(Source_PL!$A:$A,$A44,Source_PL!L:L)</f>
        <v>0</v>
      </c>
      <c r="M44" s="6">
        <f>SUMIF(Source_PL!$A:$A,$A44,Source_PL!M:M)</f>
        <v>0</v>
      </c>
      <c r="O44" s="6">
        <f t="shared" si="1"/>
        <v>4500</v>
      </c>
    </row>
    <row r="45" spans="1:15" x14ac:dyDescent="0.25">
      <c r="A45" t="s">
        <v>113</v>
      </c>
      <c r="B45" s="6">
        <f>SUMIF(Source_PL!$A:$A,$A45,Source_PL!B:B)</f>
        <v>1063.5</v>
      </c>
      <c r="C45" s="6">
        <f>SUMIF(Source_PL!$A:$A,$A45,Source_PL!C:C)</f>
        <v>663.32</v>
      </c>
      <c r="D45" s="6">
        <f>SUMIF(Source_PL!$A:$A,$A45,Source_PL!D:D)</f>
        <v>975</v>
      </c>
      <c r="E45" s="6">
        <f>SUMIF(Source_PL!$A:$A,$A45,Source_PL!E:E)</f>
        <v>389.32</v>
      </c>
      <c r="F45" s="6">
        <f>SUMIF(Source_PL!$A:$A,$A45,Source_PL!F:F)</f>
        <v>1266.47</v>
      </c>
      <c r="G45" s="6">
        <f>SUMIF(Source_PL!$A:$A,$A45,Source_PL!G:G)</f>
        <v>2844.46</v>
      </c>
      <c r="H45" s="6">
        <f>SUMIF(Source_PL!$A:$A,$A45,Source_PL!H:H)</f>
        <v>0</v>
      </c>
      <c r="I45" s="6">
        <f>SUMIF(Source_PL!$A:$A,$A45,Source_PL!I:I)</f>
        <v>315.39999999999998</v>
      </c>
      <c r="J45" s="6">
        <f>SUMIF(Source_PL!$A:$A,$A45,Source_PL!J:J)</f>
        <v>1185.8599999999999</v>
      </c>
      <c r="K45" s="6">
        <f>SUMIF(Source_PL!$A:$A,$A45,Source_PL!K:K)</f>
        <v>305.33999999999997</v>
      </c>
      <c r="L45" s="6">
        <f>SUMIF(Source_PL!$A:$A,$A45,Source_PL!L:L)</f>
        <v>1525.53</v>
      </c>
      <c r="M45" s="6">
        <f>SUMIF(Source_PL!$A:$A,$A45,Source_PL!M:M)</f>
        <v>3476.38</v>
      </c>
      <c r="O45" s="6">
        <f t="shared" si="1"/>
        <v>14010.580000000002</v>
      </c>
    </row>
    <row r="46" spans="1:15" x14ac:dyDescent="0.25">
      <c r="A46" t="s">
        <v>114</v>
      </c>
      <c r="B46" s="6">
        <f>SUMIF(Source_PL!$A:$A,$A46,Source_PL!B:B)</f>
        <v>45.12</v>
      </c>
      <c r="C46" s="6">
        <f>SUMIF(Source_PL!$A:$A,$A46,Source_PL!C:C)</f>
        <v>0</v>
      </c>
      <c r="D46" s="6">
        <f>SUMIF(Source_PL!$A:$A,$A46,Source_PL!D:D)</f>
        <v>0</v>
      </c>
      <c r="E46" s="6">
        <f>SUMIF(Source_PL!$A:$A,$A46,Source_PL!E:E)</f>
        <v>386.36</v>
      </c>
      <c r="F46" s="6">
        <f>SUMIF(Source_PL!$A:$A,$A46,Source_PL!F:F)</f>
        <v>135.54</v>
      </c>
      <c r="G46" s="6">
        <f>SUMIF(Source_PL!$A:$A,$A46,Source_PL!G:G)</f>
        <v>0</v>
      </c>
      <c r="H46" s="6">
        <f>SUMIF(Source_PL!$A:$A,$A46,Source_PL!H:H)</f>
        <v>0</v>
      </c>
      <c r="I46" s="6">
        <f>SUMIF(Source_PL!$A:$A,$A46,Source_PL!I:I)</f>
        <v>0</v>
      </c>
      <c r="J46" s="6">
        <f>SUMIF(Source_PL!$A:$A,$A46,Source_PL!J:J)</f>
        <v>0</v>
      </c>
      <c r="K46" s="6">
        <f>SUMIF(Source_PL!$A:$A,$A46,Source_PL!K:K)</f>
        <v>0</v>
      </c>
      <c r="L46" s="6">
        <f>SUMIF(Source_PL!$A:$A,$A46,Source_PL!L:L)</f>
        <v>0</v>
      </c>
      <c r="M46" s="6">
        <f>SUMIF(Source_PL!$A:$A,$A46,Source_PL!M:M)</f>
        <v>355.89</v>
      </c>
      <c r="O46" s="6">
        <f t="shared" si="1"/>
        <v>922.91</v>
      </c>
    </row>
    <row r="47" spans="1:15" x14ac:dyDescent="0.25">
      <c r="A47" t="s">
        <v>115</v>
      </c>
      <c r="B47" s="6">
        <f>SUMIF(Source_PL!$A:$A,$A47,Source_PL!B:B)</f>
        <v>0</v>
      </c>
      <c r="C47" s="6">
        <f>SUMIF(Source_PL!$A:$A,$A47,Source_PL!C:C)</f>
        <v>0</v>
      </c>
      <c r="D47" s="6">
        <f>SUMIF(Source_PL!$A:$A,$A47,Source_PL!D:D)</f>
        <v>0</v>
      </c>
      <c r="E47" s="6">
        <f>SUMIF(Source_PL!$A:$A,$A47,Source_PL!E:E)</f>
        <v>0</v>
      </c>
      <c r="F47" s="6">
        <f>SUMIF(Source_PL!$A:$A,$A47,Source_PL!F:F)</f>
        <v>0</v>
      </c>
      <c r="G47" s="6">
        <f>SUMIF(Source_PL!$A:$A,$A47,Source_PL!G:G)</f>
        <v>0</v>
      </c>
      <c r="H47" s="6">
        <f>SUMIF(Source_PL!$A:$A,$A47,Source_PL!H:H)</f>
        <v>0</v>
      </c>
      <c r="I47" s="6">
        <f>SUMIF(Source_PL!$A:$A,$A47,Source_PL!I:I)</f>
        <v>0</v>
      </c>
      <c r="J47" s="6">
        <f>SUMIF(Source_PL!$A:$A,$A47,Source_PL!J:J)</f>
        <v>0</v>
      </c>
      <c r="K47" s="6">
        <f>SUMIF(Source_PL!$A:$A,$A47,Source_PL!K:K)</f>
        <v>0</v>
      </c>
      <c r="L47" s="6">
        <f>SUMIF(Source_PL!$A:$A,$A47,Source_PL!L:L)</f>
        <v>0</v>
      </c>
      <c r="M47" s="6">
        <f>SUMIF(Source_PL!$A:$A,$A47,Source_PL!M:M)</f>
        <v>85</v>
      </c>
      <c r="O47" s="6">
        <f t="shared" si="1"/>
        <v>85</v>
      </c>
    </row>
    <row r="48" spans="1:15" x14ac:dyDescent="0.25">
      <c r="A48" t="s">
        <v>116</v>
      </c>
      <c r="B48" s="6">
        <f>SUMIF(Source_PL!$A:$A,$A48,Source_PL!B:B)</f>
        <v>3692.81</v>
      </c>
      <c r="C48" s="6">
        <f>SUMIF(Source_PL!$A:$A,$A48,Source_PL!C:C)</f>
        <v>633.78</v>
      </c>
      <c r="D48" s="6">
        <f>SUMIF(Source_PL!$A:$A,$A48,Source_PL!D:D)</f>
        <v>2744.23</v>
      </c>
      <c r="E48" s="6">
        <f>SUMIF(Source_PL!$A:$A,$A48,Source_PL!E:E)</f>
        <v>439.98</v>
      </c>
      <c r="F48" s="6">
        <f>SUMIF(Source_PL!$A:$A,$A48,Source_PL!F:F)</f>
        <v>558.77</v>
      </c>
      <c r="G48" s="6">
        <f>SUMIF(Source_PL!$A:$A,$A48,Source_PL!G:G)</f>
        <v>567.16999999999996</v>
      </c>
      <c r="H48" s="6">
        <f>SUMIF(Source_PL!$A:$A,$A48,Source_PL!H:H)</f>
        <v>439.98</v>
      </c>
      <c r="I48" s="6">
        <f>SUMIF(Source_PL!$A:$A,$A48,Source_PL!I:I)</f>
        <v>809.98</v>
      </c>
      <c r="J48" s="6">
        <f>SUMIF(Source_PL!$A:$A,$A48,Source_PL!J:J)</f>
        <v>4383.79</v>
      </c>
      <c r="K48" s="6">
        <f>SUMIF(Source_PL!$A:$A,$A48,Source_PL!K:K)</f>
        <v>1548.12</v>
      </c>
      <c r="L48" s="6">
        <f>SUMIF(Source_PL!$A:$A,$A48,Source_PL!L:L)</f>
        <v>6735.99</v>
      </c>
      <c r="M48" s="6">
        <f>SUMIF(Source_PL!$A:$A,$A48,Source_PL!M:M)</f>
        <v>3412.4</v>
      </c>
      <c r="O48" s="6">
        <f t="shared" si="1"/>
        <v>25967</v>
      </c>
    </row>
    <row r="49" spans="1:15" x14ac:dyDescent="0.25">
      <c r="A49" t="s">
        <v>117</v>
      </c>
      <c r="B49" s="6">
        <f>SUMIF(Source_PL!$A:$A,$A49,Source_PL!B:B)</f>
        <v>154.80000000000001</v>
      </c>
      <c r="C49" s="6">
        <f>SUMIF(Source_PL!$A:$A,$A49,Source_PL!C:C)</f>
        <v>19.5</v>
      </c>
      <c r="D49" s="6">
        <f>SUMIF(Source_PL!$A:$A,$A49,Source_PL!D:D)</f>
        <v>0</v>
      </c>
      <c r="E49" s="6">
        <f>SUMIF(Source_PL!$A:$A,$A49,Source_PL!E:E)</f>
        <v>0</v>
      </c>
      <c r="F49" s="6">
        <f>SUMIF(Source_PL!$A:$A,$A49,Source_PL!F:F)</f>
        <v>0</v>
      </c>
      <c r="G49" s="6">
        <f>SUMIF(Source_PL!$A:$A,$A49,Source_PL!G:G)</f>
        <v>0</v>
      </c>
      <c r="H49" s="6">
        <f>SUMIF(Source_PL!$A:$A,$A49,Source_PL!H:H)</f>
        <v>0</v>
      </c>
      <c r="I49" s="6">
        <f>SUMIF(Source_PL!$A:$A,$A49,Source_PL!I:I)</f>
        <v>0</v>
      </c>
      <c r="J49" s="6">
        <f>SUMIF(Source_PL!$A:$A,$A49,Source_PL!J:J)</f>
        <v>0</v>
      </c>
      <c r="K49" s="6">
        <f>SUMIF(Source_PL!$A:$A,$A49,Source_PL!K:K)</f>
        <v>0</v>
      </c>
      <c r="L49" s="6">
        <f>SUMIF(Source_PL!$A:$A,$A49,Source_PL!L:L)</f>
        <v>0</v>
      </c>
      <c r="M49" s="6">
        <f>SUMIF(Source_PL!$A:$A,$A49,Source_PL!M:M)</f>
        <v>244502.89</v>
      </c>
      <c r="O49" s="6">
        <f t="shared" si="1"/>
        <v>244677.19</v>
      </c>
    </row>
    <row r="50" spans="1:15" x14ac:dyDescent="0.25">
      <c r="A50" t="s">
        <v>118</v>
      </c>
      <c r="B50" s="6">
        <f>SUMIF(Source_PL!$A:$A,$A50,Source_PL!B:B)</f>
        <v>5016.1499999999996</v>
      </c>
      <c r="C50" s="6">
        <f>SUMIF(Source_PL!$A:$A,$A50,Source_PL!C:C)</f>
        <v>6656.08</v>
      </c>
      <c r="D50" s="6">
        <f>SUMIF(Source_PL!$A:$A,$A50,Source_PL!D:D)</f>
        <v>9443.77</v>
      </c>
      <c r="E50" s="6">
        <f>SUMIF(Source_PL!$A:$A,$A50,Source_PL!E:E)</f>
        <v>1628.67</v>
      </c>
      <c r="F50" s="6">
        <f>SUMIF(Source_PL!$A:$A,$A50,Source_PL!F:F)</f>
        <v>2955.66</v>
      </c>
      <c r="G50" s="6">
        <f>SUMIF(Source_PL!$A:$A,$A50,Source_PL!G:G)</f>
        <v>2198.3000000000002</v>
      </c>
      <c r="H50" s="6">
        <f>SUMIF(Source_PL!$A:$A,$A50,Source_PL!H:H)</f>
        <v>8192.34</v>
      </c>
      <c r="I50" s="6">
        <f>SUMIF(Source_PL!$A:$A,$A50,Source_PL!I:I)</f>
        <v>4969.2299999999996</v>
      </c>
      <c r="J50" s="6">
        <f>SUMIF(Source_PL!$A:$A,$A50,Source_PL!J:J)</f>
        <v>6184.91</v>
      </c>
      <c r="K50" s="6">
        <f>SUMIF(Source_PL!$A:$A,$A50,Source_PL!K:K)</f>
        <v>4036.66</v>
      </c>
      <c r="L50" s="6">
        <f>SUMIF(Source_PL!$A:$A,$A50,Source_PL!L:L)</f>
        <v>4371.2299999999996</v>
      </c>
      <c r="M50" s="6">
        <f>SUMIF(Source_PL!$A:$A,$A50,Source_PL!M:M)</f>
        <v>3523.19</v>
      </c>
      <c r="O50" s="6">
        <f t="shared" si="1"/>
        <v>59176.19</v>
      </c>
    </row>
    <row r="51" spans="1:15" x14ac:dyDescent="0.25">
      <c r="A51" t="s">
        <v>119</v>
      </c>
      <c r="B51" s="6">
        <f>SUMIF(Source_PL!$A:$A,$A51,Source_PL!B:B)</f>
        <v>5327.62</v>
      </c>
      <c r="C51" s="6">
        <f>SUMIF(Source_PL!$A:$A,$A51,Source_PL!C:C)</f>
        <v>5287.54</v>
      </c>
      <c r="D51" s="6">
        <f>SUMIF(Source_PL!$A:$A,$A51,Source_PL!D:D)</f>
        <v>5067.1099999999997</v>
      </c>
      <c r="E51" s="6">
        <f>SUMIF(Source_PL!$A:$A,$A51,Source_PL!E:E)</f>
        <v>5495.05</v>
      </c>
      <c r="F51" s="6">
        <f>SUMIF(Source_PL!$A:$A,$A51,Source_PL!F:F)</f>
        <v>6161.37</v>
      </c>
      <c r="G51" s="6">
        <f>SUMIF(Source_PL!$A:$A,$A51,Source_PL!G:G)</f>
        <v>5454.97</v>
      </c>
      <c r="H51" s="6">
        <f>SUMIF(Source_PL!$A:$A,$A51,Source_PL!H:H)</f>
        <v>5589.07</v>
      </c>
      <c r="I51" s="6">
        <f>SUMIF(Source_PL!$A:$A,$A51,Source_PL!I:I)</f>
        <v>1926.19</v>
      </c>
      <c r="J51" s="6">
        <f>SUMIF(Source_PL!$A:$A,$A51,Source_PL!J:J)</f>
        <v>2866.18</v>
      </c>
      <c r="K51" s="6">
        <f>SUMIF(Source_PL!$A:$A,$A51,Source_PL!K:K)</f>
        <v>2095.19</v>
      </c>
      <c r="L51" s="6">
        <f>SUMIF(Source_PL!$A:$A,$A51,Source_PL!L:L)</f>
        <v>2437.12</v>
      </c>
      <c r="M51" s="6">
        <f>SUMIF(Source_PL!$A:$A,$A51,Source_PL!M:M)</f>
        <v>3871.62</v>
      </c>
      <c r="O51" s="6">
        <f t="shared" si="1"/>
        <v>51579.030000000006</v>
      </c>
    </row>
    <row r="52" spans="1:15" x14ac:dyDescent="0.25">
      <c r="A52" t="s">
        <v>120</v>
      </c>
      <c r="B52" s="6">
        <f>SUMIF(Source_PL!$A:$A,$A52,Source_PL!B:B)</f>
        <v>0</v>
      </c>
      <c r="C52" s="6">
        <f>SUMIF(Source_PL!$A:$A,$A52,Source_PL!C:C)</f>
        <v>30543.58</v>
      </c>
      <c r="D52" s="6">
        <f>SUMIF(Source_PL!$A:$A,$A52,Source_PL!D:D)</f>
        <v>0</v>
      </c>
      <c r="E52" s="6">
        <f>SUMIF(Source_PL!$A:$A,$A52,Source_PL!E:E)</f>
        <v>0</v>
      </c>
      <c r="F52" s="6">
        <f>SUMIF(Source_PL!$A:$A,$A52,Source_PL!F:F)</f>
        <v>0</v>
      </c>
      <c r="G52" s="6">
        <f>SUMIF(Source_PL!$A:$A,$A52,Source_PL!G:G)</f>
        <v>2804</v>
      </c>
      <c r="H52" s="6">
        <f>SUMIF(Source_PL!$A:$A,$A52,Source_PL!H:H)</f>
        <v>0</v>
      </c>
      <c r="I52" s="6">
        <f>SUMIF(Source_PL!$A:$A,$A52,Source_PL!I:I)</f>
        <v>0</v>
      </c>
      <c r="J52" s="6">
        <f>SUMIF(Source_PL!$A:$A,$A52,Source_PL!J:J)</f>
        <v>0</v>
      </c>
      <c r="K52" s="6">
        <f>SUMIF(Source_PL!$A:$A,$A52,Source_PL!K:K)</f>
        <v>0</v>
      </c>
      <c r="L52" s="6">
        <f>SUMIF(Source_PL!$A:$A,$A52,Source_PL!L:L)</f>
        <v>0</v>
      </c>
      <c r="M52" s="6">
        <f>SUMIF(Source_PL!$A:$A,$A52,Source_PL!M:M)</f>
        <v>0</v>
      </c>
      <c r="O52" s="6">
        <f t="shared" si="1"/>
        <v>33347.58</v>
      </c>
    </row>
    <row r="53" spans="1:15" x14ac:dyDescent="0.25">
      <c r="A53" t="s">
        <v>121</v>
      </c>
      <c r="B53" s="6">
        <f>SUMIF(Source_PL!$A:$A,$A53,Source_PL!B:B)</f>
        <v>334</v>
      </c>
      <c r="C53" s="6">
        <f>SUMIF(Source_PL!$A:$A,$A53,Source_PL!C:C)</f>
        <v>349.81</v>
      </c>
      <c r="D53" s="6">
        <f>SUMIF(Source_PL!$A:$A,$A53,Source_PL!D:D)</f>
        <v>278.35000000000002</v>
      </c>
      <c r="E53" s="6">
        <f>SUMIF(Source_PL!$A:$A,$A53,Source_PL!E:E)</f>
        <v>249</v>
      </c>
      <c r="F53" s="6">
        <f>SUMIF(Source_PL!$A:$A,$A53,Source_PL!F:F)</f>
        <v>249</v>
      </c>
      <c r="G53" s="6">
        <f>SUMIF(Source_PL!$A:$A,$A53,Source_PL!G:G)</f>
        <v>249</v>
      </c>
      <c r="H53" s="6">
        <f>SUMIF(Source_PL!$A:$A,$A53,Source_PL!H:H)</f>
        <v>293.95</v>
      </c>
      <c r="I53" s="6">
        <f>SUMIF(Source_PL!$A:$A,$A53,Source_PL!I:I)</f>
        <v>293.95</v>
      </c>
      <c r="J53" s="6">
        <f>SUMIF(Source_PL!$A:$A,$A53,Source_PL!J:J)</f>
        <v>692.9</v>
      </c>
      <c r="K53" s="6">
        <f>SUMIF(Source_PL!$A:$A,$A53,Source_PL!K:K)</f>
        <v>303.95</v>
      </c>
      <c r="L53" s="6">
        <f>SUMIF(Source_PL!$A:$A,$A53,Source_PL!L:L)</f>
        <v>293.95</v>
      </c>
      <c r="M53" s="6">
        <f>SUMIF(Source_PL!$A:$A,$A53,Source_PL!M:M)</f>
        <v>543.95000000000005</v>
      </c>
      <c r="O53" s="6">
        <f t="shared" si="1"/>
        <v>4131.8099999999995</v>
      </c>
    </row>
    <row r="54" spans="1:15" x14ac:dyDescent="0.25">
      <c r="A54" t="s">
        <v>122</v>
      </c>
      <c r="B54" s="6">
        <f>SUMIF(Source_PL!$A:$A,$A54,Source_PL!B:B)</f>
        <v>0</v>
      </c>
      <c r="C54" s="6">
        <f>SUMIF(Source_PL!$A:$A,$A54,Source_PL!C:C)</f>
        <v>0</v>
      </c>
      <c r="D54" s="6">
        <f>SUMIF(Source_PL!$A:$A,$A54,Source_PL!D:D)</f>
        <v>0</v>
      </c>
      <c r="E54" s="6">
        <f>SUMIF(Source_PL!$A:$A,$A54,Source_PL!E:E)</f>
        <v>0</v>
      </c>
      <c r="F54" s="6">
        <f>SUMIF(Source_PL!$A:$A,$A54,Source_PL!F:F)</f>
        <v>7749</v>
      </c>
      <c r="G54" s="6">
        <f>SUMIF(Source_PL!$A:$A,$A54,Source_PL!G:G)</f>
        <v>-224</v>
      </c>
      <c r="H54" s="6">
        <f>SUMIF(Source_PL!$A:$A,$A54,Source_PL!H:H)</f>
        <v>625</v>
      </c>
      <c r="I54" s="6">
        <f>SUMIF(Source_PL!$A:$A,$A54,Source_PL!I:I)</f>
        <v>42374.61</v>
      </c>
      <c r="J54" s="6">
        <f>SUMIF(Source_PL!$A:$A,$A54,Source_PL!J:J)</f>
        <v>0</v>
      </c>
      <c r="K54" s="6">
        <f>SUMIF(Source_PL!$A:$A,$A54,Source_PL!K:K)</f>
        <v>0</v>
      </c>
      <c r="L54" s="6">
        <f>SUMIF(Source_PL!$A:$A,$A54,Source_PL!L:L)</f>
        <v>31948.82</v>
      </c>
      <c r="M54" s="6">
        <f>SUMIF(Source_PL!$A:$A,$A54,Source_PL!M:M)</f>
        <v>11781</v>
      </c>
      <c r="O54" s="6">
        <f t="shared" si="1"/>
        <v>94254.43</v>
      </c>
    </row>
    <row r="55" spans="1:15" x14ac:dyDescent="0.25">
      <c r="A55" t="s">
        <v>123</v>
      </c>
      <c r="B55" s="6">
        <f>SUMIF(Source_PL!$A:$A,$A55,Source_PL!B:B)</f>
        <v>192.96</v>
      </c>
      <c r="C55" s="6">
        <f>SUMIF(Source_PL!$A:$A,$A55,Source_PL!C:C)</f>
        <v>1903.36</v>
      </c>
      <c r="D55" s="6">
        <f>SUMIF(Source_PL!$A:$A,$A55,Source_PL!D:D)</f>
        <v>1364.57</v>
      </c>
      <c r="E55" s="6">
        <f>SUMIF(Source_PL!$A:$A,$A55,Source_PL!E:E)</f>
        <v>192.96</v>
      </c>
      <c r="F55" s="6">
        <f>SUMIF(Source_PL!$A:$A,$A55,Source_PL!F:F)</f>
        <v>192.96</v>
      </c>
      <c r="G55" s="6">
        <f>SUMIF(Source_PL!$A:$A,$A55,Source_PL!G:G)</f>
        <v>136.18</v>
      </c>
      <c r="H55" s="6">
        <f>SUMIF(Source_PL!$A:$A,$A55,Source_PL!H:H)</f>
        <v>192.96</v>
      </c>
      <c r="I55" s="6">
        <f>SUMIF(Source_PL!$A:$A,$A55,Source_PL!I:I)</f>
        <v>192.96</v>
      </c>
      <c r="J55" s="6">
        <f>SUMIF(Source_PL!$A:$A,$A55,Source_PL!J:J)</f>
        <v>192.96</v>
      </c>
      <c r="K55" s="6">
        <f>SUMIF(Source_PL!$A:$A,$A55,Source_PL!K:K)</f>
        <v>192.96</v>
      </c>
      <c r="L55" s="6">
        <f>SUMIF(Source_PL!$A:$A,$A55,Source_PL!L:L)</f>
        <v>192.96</v>
      </c>
      <c r="M55" s="6">
        <f>SUMIF(Source_PL!$A:$A,$A55,Source_PL!M:M)</f>
        <v>192.96</v>
      </c>
      <c r="O55" s="6">
        <f t="shared" si="1"/>
        <v>5140.7499999999991</v>
      </c>
    </row>
    <row r="56" spans="1:15" x14ac:dyDescent="0.25">
      <c r="A56" t="s">
        <v>124</v>
      </c>
      <c r="B56" s="6">
        <f>SUMIF(Source_PL!$A:$A,$A56,Source_PL!B:B)</f>
        <v>0</v>
      </c>
      <c r="C56" s="6">
        <f>SUMIF(Source_PL!$A:$A,$A56,Source_PL!C:C)</f>
        <v>0</v>
      </c>
      <c r="D56" s="6">
        <f>SUMIF(Source_PL!$A:$A,$A56,Source_PL!D:D)</f>
        <v>0</v>
      </c>
      <c r="E56" s="6">
        <f>SUMIF(Source_PL!$A:$A,$A56,Source_PL!E:E)</f>
        <v>579.42999999999995</v>
      </c>
      <c r="F56" s="6">
        <f>SUMIF(Source_PL!$A:$A,$A56,Source_PL!F:F)</f>
        <v>579.42999999999995</v>
      </c>
      <c r="G56" s="6">
        <f>SUMIF(Source_PL!$A:$A,$A56,Source_PL!G:G)</f>
        <v>554.92999999999995</v>
      </c>
      <c r="H56" s="6">
        <f>SUMIF(Source_PL!$A:$A,$A56,Source_PL!H:H)</f>
        <v>603.92999999999995</v>
      </c>
      <c r="I56" s="6">
        <f>SUMIF(Source_PL!$A:$A,$A56,Source_PL!I:I)</f>
        <v>579.42999999999995</v>
      </c>
      <c r="J56" s="6">
        <f>SUMIF(Source_PL!$A:$A,$A56,Source_PL!J:J)</f>
        <v>579.42999999999995</v>
      </c>
      <c r="K56" s="6">
        <f>SUMIF(Source_PL!$A:$A,$A56,Source_PL!K:K)</f>
        <v>579.42999999999995</v>
      </c>
      <c r="L56" s="6">
        <f>SUMIF(Source_PL!$A:$A,$A56,Source_PL!L:L)</f>
        <v>579.42999999999995</v>
      </c>
      <c r="M56" s="6">
        <f>SUMIF(Source_PL!$A:$A,$A56,Source_PL!M:M)</f>
        <v>603.92999999999995</v>
      </c>
      <c r="O56" s="6">
        <f t="shared" si="1"/>
        <v>5239.37</v>
      </c>
    </row>
    <row r="57" spans="1:15" x14ac:dyDescent="0.25">
      <c r="A57" t="s">
        <v>125</v>
      </c>
      <c r="B57" s="6">
        <f>SUMIF(Source_PL!$A:$A,$A57,Source_PL!B:B)</f>
        <v>0</v>
      </c>
      <c r="C57" s="6">
        <f>SUMIF(Source_PL!$A:$A,$A57,Source_PL!C:C)</f>
        <v>0</v>
      </c>
      <c r="D57" s="6">
        <f>SUMIF(Source_PL!$A:$A,$A57,Source_PL!D:D)</f>
        <v>0</v>
      </c>
      <c r="E57" s="6">
        <f>SUMIF(Source_PL!$A:$A,$A57,Source_PL!E:E)</f>
        <v>493.25</v>
      </c>
      <c r="F57" s="6">
        <f>SUMIF(Source_PL!$A:$A,$A57,Source_PL!F:F)</f>
        <v>519.72</v>
      </c>
      <c r="G57" s="6">
        <f>SUMIF(Source_PL!$A:$A,$A57,Source_PL!G:G)</f>
        <v>493.25</v>
      </c>
      <c r="H57" s="6">
        <f>SUMIF(Source_PL!$A:$A,$A57,Source_PL!H:H)</f>
        <v>539.22</v>
      </c>
      <c r="I57" s="6">
        <f>SUMIF(Source_PL!$A:$A,$A57,Source_PL!I:I)</f>
        <v>519.17999999999995</v>
      </c>
      <c r="J57" s="6">
        <f>SUMIF(Source_PL!$A:$A,$A57,Source_PL!J:J)</f>
        <v>520.95000000000005</v>
      </c>
      <c r="K57" s="6">
        <f>SUMIF(Source_PL!$A:$A,$A57,Source_PL!K:K)</f>
        <v>510.34</v>
      </c>
      <c r="L57" s="6">
        <f>SUMIF(Source_PL!$A:$A,$A57,Source_PL!L:L)</f>
        <v>495.9</v>
      </c>
      <c r="M57" s="6">
        <f>SUMIF(Source_PL!$A:$A,$A57,Source_PL!M:M)</f>
        <v>525.25</v>
      </c>
      <c r="O57" s="6">
        <f t="shared" si="1"/>
        <v>4617.0599999999995</v>
      </c>
    </row>
    <row r="58" spans="1:15" x14ac:dyDescent="0.25">
      <c r="A58" t="s">
        <v>126</v>
      </c>
      <c r="B58" s="6">
        <f>SUMIF(Source_PL!$A:$A,$A58,Source_PL!B:B)</f>
        <v>14320.23</v>
      </c>
      <c r="C58" s="6">
        <f>SUMIF(Source_PL!$A:$A,$A58,Source_PL!C:C)</f>
        <v>12716.16</v>
      </c>
      <c r="D58" s="6">
        <f>SUMIF(Source_PL!$A:$A,$A58,Source_PL!D:D)</f>
        <v>16943.939999999999</v>
      </c>
      <c r="E58" s="6">
        <f>SUMIF(Source_PL!$A:$A,$A58,Source_PL!E:E)</f>
        <v>24151.86</v>
      </c>
      <c r="F58" s="6">
        <f>SUMIF(Source_PL!$A:$A,$A58,Source_PL!F:F)</f>
        <v>4191.66</v>
      </c>
      <c r="G58" s="6">
        <f>SUMIF(Source_PL!$A:$A,$A58,Source_PL!G:G)</f>
        <v>4191.66</v>
      </c>
      <c r="H58" s="6">
        <f>SUMIF(Source_PL!$A:$A,$A58,Source_PL!H:H)</f>
        <v>4657.3999999999996</v>
      </c>
      <c r="I58" s="6">
        <f>SUMIF(Source_PL!$A:$A,$A58,Source_PL!I:I)</f>
        <v>4657.3999999999996</v>
      </c>
      <c r="J58" s="6">
        <f>SUMIF(Source_PL!$A:$A,$A58,Source_PL!J:J)</f>
        <v>4657.3999999999996</v>
      </c>
      <c r="K58" s="6">
        <f>SUMIF(Source_PL!$A:$A,$A58,Source_PL!K:K)</f>
        <v>4036.41</v>
      </c>
      <c r="L58" s="6">
        <f>SUMIF(Source_PL!$A:$A,$A58,Source_PL!L:L)</f>
        <v>4657.3999999999996</v>
      </c>
      <c r="M58" s="6">
        <f>SUMIF(Source_PL!$A:$A,$A58,Source_PL!M:M)</f>
        <v>6327.58</v>
      </c>
      <c r="O58" s="6">
        <f t="shared" si="1"/>
        <v>105509.09999999999</v>
      </c>
    </row>
    <row r="59" spans="1:15" x14ac:dyDescent="0.25">
      <c r="A59" t="s">
        <v>127</v>
      </c>
      <c r="B59" s="6">
        <f>SUMIF(Source_PL!$A:$A,$A59,Source_PL!B:B)</f>
        <v>0</v>
      </c>
      <c r="C59" s="6">
        <f>SUMIF(Source_PL!$A:$A,$A59,Source_PL!C:C)</f>
        <v>0</v>
      </c>
      <c r="D59" s="6">
        <f>SUMIF(Source_PL!$A:$A,$A59,Source_PL!D:D)</f>
        <v>0</v>
      </c>
      <c r="E59" s="6">
        <f>SUMIF(Source_PL!$A:$A,$A59,Source_PL!E:E)</f>
        <v>0</v>
      </c>
      <c r="F59" s="6">
        <f>SUMIF(Source_PL!$A:$A,$A59,Source_PL!F:F)</f>
        <v>10506.12</v>
      </c>
      <c r="G59" s="6">
        <f>SUMIF(Source_PL!$A:$A,$A59,Source_PL!G:G)</f>
        <v>8262.08</v>
      </c>
      <c r="H59" s="6">
        <f>SUMIF(Source_PL!$A:$A,$A59,Source_PL!H:H)</f>
        <v>11239.18</v>
      </c>
      <c r="I59" s="6">
        <f>SUMIF(Source_PL!$A:$A,$A59,Source_PL!I:I)</f>
        <v>7376.23</v>
      </c>
      <c r="J59" s="6">
        <f>SUMIF(Source_PL!$A:$A,$A59,Source_PL!J:J)</f>
        <v>11239.18</v>
      </c>
      <c r="K59" s="6">
        <f>SUMIF(Source_PL!$A:$A,$A59,Source_PL!K:K)</f>
        <v>11326.71</v>
      </c>
      <c r="L59" s="6">
        <f>SUMIF(Source_PL!$A:$A,$A59,Source_PL!L:L)</f>
        <v>10705.72</v>
      </c>
      <c r="M59" s="6">
        <f>SUMIF(Source_PL!$A:$A,$A59,Source_PL!M:M)</f>
        <v>28786.59</v>
      </c>
      <c r="O59" s="6">
        <f t="shared" si="1"/>
        <v>99441.81</v>
      </c>
    </row>
    <row r="60" spans="1:15" x14ac:dyDescent="0.25">
      <c r="A60" t="s">
        <v>128</v>
      </c>
      <c r="B60" s="6">
        <f>SUMIF(Source_PL!$A:$A,$A60,Source_PL!B:B)</f>
        <v>0</v>
      </c>
      <c r="C60" s="6">
        <f>SUMIF(Source_PL!$A:$A,$A60,Source_PL!C:C)</f>
        <v>0</v>
      </c>
      <c r="D60" s="6">
        <f>SUMIF(Source_PL!$A:$A,$A60,Source_PL!D:D)</f>
        <v>0</v>
      </c>
      <c r="E60" s="6">
        <f>SUMIF(Source_PL!$A:$A,$A60,Source_PL!E:E)</f>
        <v>0</v>
      </c>
      <c r="F60" s="6">
        <f>SUMIF(Source_PL!$A:$A,$A60,Source_PL!F:F)</f>
        <v>-2379.7800000000002</v>
      </c>
      <c r="G60" s="6">
        <f>SUMIF(Source_PL!$A:$A,$A60,Source_PL!G:G)</f>
        <v>0</v>
      </c>
      <c r="H60" s="6">
        <f>SUMIF(Source_PL!$A:$A,$A60,Source_PL!H:H)</f>
        <v>2140.11</v>
      </c>
      <c r="I60" s="6">
        <f>SUMIF(Source_PL!$A:$A,$A60,Source_PL!I:I)</f>
        <v>0</v>
      </c>
      <c r="J60" s="6">
        <f>SUMIF(Source_PL!$A:$A,$A60,Source_PL!J:J)</f>
        <v>0</v>
      </c>
      <c r="K60" s="6">
        <f>SUMIF(Source_PL!$A:$A,$A60,Source_PL!K:K)</f>
        <v>-2492.5500000000002</v>
      </c>
      <c r="L60" s="6">
        <f>SUMIF(Source_PL!$A:$A,$A60,Source_PL!L:L)</f>
        <v>985.82</v>
      </c>
      <c r="M60" s="6">
        <f>SUMIF(Source_PL!$A:$A,$A60,Source_PL!M:M)</f>
        <v>3874.12</v>
      </c>
      <c r="O60" s="6">
        <f t="shared" si="1"/>
        <v>2127.7199999999998</v>
      </c>
    </row>
    <row r="61" spans="1:15" x14ac:dyDescent="0.25">
      <c r="A61" t="s">
        <v>129</v>
      </c>
      <c r="B61" s="6">
        <f>SUMIF(Source_PL!$A:$A,$A61,Source_PL!B:B)</f>
        <v>0</v>
      </c>
      <c r="C61" s="6">
        <f>SUMIF(Source_PL!$A:$A,$A61,Source_PL!C:C)</f>
        <v>0</v>
      </c>
      <c r="D61" s="6">
        <f>SUMIF(Source_PL!$A:$A,$A61,Source_PL!D:D)</f>
        <v>0</v>
      </c>
      <c r="E61" s="6">
        <f>SUMIF(Source_PL!$A:$A,$A61,Source_PL!E:E)</f>
        <v>0</v>
      </c>
      <c r="F61" s="6">
        <f>SUMIF(Source_PL!$A:$A,$A61,Source_PL!F:F)</f>
        <v>76.44</v>
      </c>
      <c r="G61" s="6">
        <f>SUMIF(Source_PL!$A:$A,$A61,Source_PL!G:G)</f>
        <v>-160.91</v>
      </c>
      <c r="H61" s="6">
        <f>SUMIF(Source_PL!$A:$A,$A61,Source_PL!H:H)</f>
        <v>437.31</v>
      </c>
      <c r="I61" s="6">
        <f>SUMIF(Source_PL!$A:$A,$A61,Source_PL!I:I)</f>
        <v>-252.28</v>
      </c>
      <c r="J61" s="6">
        <f>SUMIF(Source_PL!$A:$A,$A61,Source_PL!J:J)</f>
        <v>15.45</v>
      </c>
      <c r="K61" s="6">
        <f>SUMIF(Source_PL!$A:$A,$A61,Source_PL!K:K)</f>
        <v>-90.25</v>
      </c>
      <c r="L61" s="6">
        <f>SUMIF(Source_PL!$A:$A,$A61,Source_PL!L:L)</f>
        <v>-86.75</v>
      </c>
      <c r="M61" s="6">
        <f>SUMIF(Source_PL!$A:$A,$A61,Source_PL!M:M)</f>
        <v>155.01</v>
      </c>
      <c r="O61" s="6">
        <f t="shared" si="1"/>
        <v>94.020000000000024</v>
      </c>
    </row>
    <row r="62" spans="1:15" x14ac:dyDescent="0.25">
      <c r="A62" t="s">
        <v>130</v>
      </c>
      <c r="B62" s="6">
        <f>SUMIF(Source_PL!$A:$A,$A62,Source_PL!B:B)</f>
        <v>0</v>
      </c>
      <c r="C62" s="6">
        <f>SUMIF(Source_PL!$A:$A,$A62,Source_PL!C:C)</f>
        <v>0</v>
      </c>
      <c r="D62" s="6">
        <f>SUMIF(Source_PL!$A:$A,$A62,Source_PL!D:D)</f>
        <v>0</v>
      </c>
      <c r="E62" s="6">
        <f>SUMIF(Source_PL!$A:$A,$A62,Source_PL!E:E)</f>
        <v>0</v>
      </c>
      <c r="F62" s="6">
        <f>SUMIF(Source_PL!$A:$A,$A62,Source_PL!F:F)</f>
        <v>0</v>
      </c>
      <c r="G62" s="6">
        <f>SUMIF(Source_PL!$A:$A,$A62,Source_PL!G:G)</f>
        <v>3985.8</v>
      </c>
      <c r="H62" s="6">
        <f>SUMIF(Source_PL!$A:$A,$A62,Source_PL!H:H)</f>
        <v>4131.75</v>
      </c>
      <c r="I62" s="6">
        <f>SUMIF(Source_PL!$A:$A,$A62,Source_PL!I:I)</f>
        <v>4101.75</v>
      </c>
      <c r="J62" s="6">
        <f>SUMIF(Source_PL!$A:$A,$A62,Source_PL!J:J)</f>
        <v>4101.75</v>
      </c>
      <c r="K62" s="6">
        <f>SUMIF(Source_PL!$A:$A,$A62,Source_PL!K:K)</f>
        <v>4353.8100000000004</v>
      </c>
      <c r="L62" s="6">
        <f>SUMIF(Source_PL!$A:$A,$A62,Source_PL!L:L)</f>
        <v>4402.0200000000004</v>
      </c>
      <c r="M62" s="6">
        <f>SUMIF(Source_PL!$A:$A,$A62,Source_PL!M:M)</f>
        <v>4064.17</v>
      </c>
      <c r="O62" s="6">
        <f t="shared" si="1"/>
        <v>29141.050000000003</v>
      </c>
    </row>
    <row r="63" spans="1:15" x14ac:dyDescent="0.25">
      <c r="A63" s="7" t="s">
        <v>131</v>
      </c>
      <c r="B63" s="9">
        <f>SUMIF(Source_PL!$A:$A,$A63,Source_PL!B:B)</f>
        <v>14513.19</v>
      </c>
      <c r="C63" s="9">
        <f>SUMIF(Source_PL!$A:$A,$A63,Source_PL!C:C)</f>
        <v>14619.52</v>
      </c>
      <c r="D63" s="9">
        <f>SUMIF(Source_PL!$A:$A,$A63,Source_PL!D:D)</f>
        <v>18308.509999999998</v>
      </c>
      <c r="E63" s="9">
        <f>SUMIF(Source_PL!$A:$A,$A63,Source_PL!E:E)</f>
        <v>25417.5</v>
      </c>
      <c r="F63" s="9">
        <f>SUMIF(Source_PL!$A:$A,$A63,Source_PL!F:F)</f>
        <v>13686.55</v>
      </c>
      <c r="G63" s="9">
        <f>SUMIF(Source_PL!$A:$A,$A63,Source_PL!G:G)</f>
        <v>17462.990000000002</v>
      </c>
      <c r="H63" s="9">
        <f>SUMIF(Source_PL!$A:$A,$A63,Source_PL!H:H)</f>
        <v>23941.86</v>
      </c>
      <c r="I63" s="9">
        <f>SUMIF(Source_PL!$A:$A,$A63,Source_PL!I:I)</f>
        <v>17174.669999999998</v>
      </c>
      <c r="J63" s="9">
        <f>SUMIF(Source_PL!$A:$A,$A63,Source_PL!J:J)</f>
        <v>21307.119999999999</v>
      </c>
      <c r="K63" s="9">
        <f>SUMIF(Source_PL!$A:$A,$A63,Source_PL!K:K)</f>
        <v>18416.86</v>
      </c>
      <c r="L63" s="9">
        <f>SUMIF(Source_PL!$A:$A,$A63,Source_PL!L:L)</f>
        <v>21932.5</v>
      </c>
      <c r="M63" s="9">
        <f>SUMIF(Source_PL!$A:$A,$A63,Source_PL!M:M)</f>
        <v>44529.61</v>
      </c>
      <c r="N63" s="8"/>
      <c r="O63" s="9">
        <f t="shared" si="1"/>
        <v>251310.88</v>
      </c>
    </row>
    <row r="64" spans="1:15" x14ac:dyDescent="0.25">
      <c r="A64" t="s">
        <v>132</v>
      </c>
      <c r="B64" s="6">
        <f>SUMIF(Source_PL!$A:$A,$A64,Source_PL!B:B)</f>
        <v>5506</v>
      </c>
      <c r="C64" s="6">
        <f>SUMIF(Source_PL!$A:$A,$A64,Source_PL!C:C)</f>
        <v>644</v>
      </c>
      <c r="D64" s="6">
        <f>SUMIF(Source_PL!$A:$A,$A64,Source_PL!D:D)</f>
        <v>834</v>
      </c>
      <c r="E64" s="6">
        <f>SUMIF(Source_PL!$A:$A,$A64,Source_PL!E:E)</f>
        <v>6175</v>
      </c>
      <c r="F64" s="6">
        <f>SUMIF(Source_PL!$A:$A,$A64,Source_PL!F:F)</f>
        <v>2853</v>
      </c>
      <c r="G64" s="6">
        <f>SUMIF(Source_PL!$A:$A,$A64,Source_PL!G:G)</f>
        <v>834</v>
      </c>
      <c r="H64" s="6">
        <f>SUMIF(Source_PL!$A:$A,$A64,Source_PL!H:H)</f>
        <v>13141</v>
      </c>
      <c r="I64" s="6">
        <f>SUMIF(Source_PL!$A:$A,$A64,Source_PL!I:I)</f>
        <v>0</v>
      </c>
      <c r="J64" s="6">
        <f>SUMIF(Source_PL!$A:$A,$A64,Source_PL!J:J)</f>
        <v>2504</v>
      </c>
      <c r="K64" s="6">
        <f>SUMIF(Source_PL!$A:$A,$A64,Source_PL!K:K)</f>
        <v>4398</v>
      </c>
      <c r="L64" s="6">
        <f>SUMIF(Source_PL!$A:$A,$A64,Source_PL!L:L)</f>
        <v>3347</v>
      </c>
      <c r="M64" s="6">
        <f>SUMIF(Source_PL!$A:$A,$A64,Source_PL!M:M)</f>
        <v>834</v>
      </c>
      <c r="O64" s="6">
        <f t="shared" si="1"/>
        <v>41070</v>
      </c>
    </row>
    <row r="65" spans="1:15" x14ac:dyDescent="0.25">
      <c r="A65" t="s">
        <v>133</v>
      </c>
      <c r="B65" s="6">
        <f>SUMIF(Source_PL!$A:$A,$A65,Source_PL!B:B)</f>
        <v>288.41000000000003</v>
      </c>
      <c r="C65" s="6">
        <f>SUMIF(Source_PL!$A:$A,$A65,Source_PL!C:C)</f>
        <v>0</v>
      </c>
      <c r="D65" s="6">
        <f>SUMIF(Source_PL!$A:$A,$A65,Source_PL!D:D)</f>
        <v>0</v>
      </c>
      <c r="E65" s="6">
        <f>SUMIF(Source_PL!$A:$A,$A65,Source_PL!E:E)</f>
        <v>0</v>
      </c>
      <c r="F65" s="6">
        <f>SUMIF(Source_PL!$A:$A,$A65,Source_PL!F:F)</f>
        <v>0</v>
      </c>
      <c r="G65" s="6">
        <f>SUMIF(Source_PL!$A:$A,$A65,Source_PL!G:G)</f>
        <v>0</v>
      </c>
      <c r="H65" s="6">
        <f>SUMIF(Source_PL!$A:$A,$A65,Source_PL!H:H)</f>
        <v>0</v>
      </c>
      <c r="I65" s="6">
        <f>SUMIF(Source_PL!$A:$A,$A65,Source_PL!I:I)</f>
        <v>0</v>
      </c>
      <c r="J65" s="6">
        <f>SUMIF(Source_PL!$A:$A,$A65,Source_PL!J:J)</f>
        <v>0</v>
      </c>
      <c r="K65" s="6">
        <f>SUMIF(Source_PL!$A:$A,$A65,Source_PL!K:K)</f>
        <v>0</v>
      </c>
      <c r="L65" s="6">
        <f>SUMIF(Source_PL!$A:$A,$A65,Source_PL!L:L)</f>
        <v>0</v>
      </c>
      <c r="M65" s="6">
        <f>SUMIF(Source_PL!$A:$A,$A65,Source_PL!M:M)</f>
        <v>0</v>
      </c>
      <c r="O65" s="6">
        <f t="shared" si="1"/>
        <v>288.41000000000003</v>
      </c>
    </row>
    <row r="66" spans="1:15" x14ac:dyDescent="0.25">
      <c r="A66" t="s">
        <v>134</v>
      </c>
      <c r="B66" s="6">
        <f>SUMIF(Source_PL!$A:$A,$A66,Source_PL!B:B)</f>
        <v>0</v>
      </c>
      <c r="C66" s="6">
        <f>SUMIF(Source_PL!$A:$A,$A66,Source_PL!C:C)</f>
        <v>0</v>
      </c>
      <c r="D66" s="6">
        <f>SUMIF(Source_PL!$A:$A,$A66,Source_PL!D:D)</f>
        <v>0</v>
      </c>
      <c r="E66" s="6">
        <f>SUMIF(Source_PL!$A:$A,$A66,Source_PL!E:E)</f>
        <v>0</v>
      </c>
      <c r="F66" s="6">
        <f>SUMIF(Source_PL!$A:$A,$A66,Source_PL!F:F)</f>
        <v>38584.589999999997</v>
      </c>
      <c r="G66" s="6">
        <f>SUMIF(Source_PL!$A:$A,$A66,Source_PL!G:G)</f>
        <v>0</v>
      </c>
      <c r="H66" s="6">
        <f>SUMIF(Source_PL!$A:$A,$A66,Source_PL!H:H)</f>
        <v>0</v>
      </c>
      <c r="I66" s="6">
        <f>SUMIF(Source_PL!$A:$A,$A66,Source_PL!I:I)</f>
        <v>0</v>
      </c>
      <c r="J66" s="6">
        <f>SUMIF(Source_PL!$A:$A,$A66,Source_PL!J:J)</f>
        <v>0</v>
      </c>
      <c r="K66" s="6">
        <f>SUMIF(Source_PL!$A:$A,$A66,Source_PL!K:K)</f>
        <v>0</v>
      </c>
      <c r="L66" s="6">
        <f>SUMIF(Source_PL!$A:$A,$A66,Source_PL!L:L)</f>
        <v>0</v>
      </c>
      <c r="M66" s="6">
        <f>SUMIF(Source_PL!$A:$A,$A66,Source_PL!M:M)</f>
        <v>0</v>
      </c>
      <c r="O66" s="6">
        <f t="shared" si="1"/>
        <v>38584.589999999997</v>
      </c>
    </row>
    <row r="67" spans="1:15" x14ac:dyDescent="0.25">
      <c r="A67" t="s">
        <v>135</v>
      </c>
      <c r="B67" s="6">
        <f>SUMIF(Source_PL!$A:$A,$A67,Source_PL!B:B)</f>
        <v>0</v>
      </c>
      <c r="C67" s="6">
        <f>SUMIF(Source_PL!$A:$A,$A67,Source_PL!C:C)</f>
        <v>0</v>
      </c>
      <c r="D67" s="6">
        <f>SUMIF(Source_PL!$A:$A,$A67,Source_PL!D:D)</f>
        <v>1656.25</v>
      </c>
      <c r="E67" s="6">
        <f>SUMIF(Source_PL!$A:$A,$A67,Source_PL!E:E)</f>
        <v>236</v>
      </c>
      <c r="F67" s="6">
        <f>SUMIF(Source_PL!$A:$A,$A67,Source_PL!F:F)</f>
        <v>0</v>
      </c>
      <c r="G67" s="6">
        <f>SUMIF(Source_PL!$A:$A,$A67,Source_PL!G:G)</f>
        <v>392.5</v>
      </c>
      <c r="H67" s="6">
        <f>SUMIF(Source_PL!$A:$A,$A67,Source_PL!H:H)</f>
        <v>1679.97</v>
      </c>
      <c r="I67" s="6">
        <f>SUMIF(Source_PL!$A:$A,$A67,Source_PL!I:I)</f>
        <v>405</v>
      </c>
      <c r="J67" s="6">
        <f>SUMIF(Source_PL!$A:$A,$A67,Source_PL!J:J)</f>
        <v>824.35</v>
      </c>
      <c r="K67" s="6">
        <f>SUMIF(Source_PL!$A:$A,$A67,Source_PL!K:K)</f>
        <v>33</v>
      </c>
      <c r="L67" s="6">
        <f>SUMIF(Source_PL!$A:$A,$A67,Source_PL!L:L)</f>
        <v>0</v>
      </c>
      <c r="M67" s="6">
        <f>SUMIF(Source_PL!$A:$A,$A67,Source_PL!M:M)</f>
        <v>1850.2</v>
      </c>
      <c r="O67" s="6">
        <f t="shared" si="1"/>
        <v>7077.27</v>
      </c>
    </row>
    <row r="68" spans="1:15" x14ac:dyDescent="0.25">
      <c r="A68" t="s">
        <v>136</v>
      </c>
      <c r="B68" s="6">
        <f>SUMIF(Source_PL!$A:$A,$A68,Source_PL!B:B)</f>
        <v>1641.67</v>
      </c>
      <c r="C68" s="6">
        <f>SUMIF(Source_PL!$A:$A,$A68,Source_PL!C:C)</f>
        <v>865.77</v>
      </c>
      <c r="D68" s="6">
        <f>SUMIF(Source_PL!$A:$A,$A68,Source_PL!D:D)</f>
        <v>710.86</v>
      </c>
      <c r="E68" s="6">
        <f>SUMIF(Source_PL!$A:$A,$A68,Source_PL!E:E)</f>
        <v>1780.1</v>
      </c>
      <c r="F68" s="6">
        <f>SUMIF(Source_PL!$A:$A,$A68,Source_PL!F:F)</f>
        <v>2928.11</v>
      </c>
      <c r="G68" s="6">
        <f>SUMIF(Source_PL!$A:$A,$A68,Source_PL!G:G)</f>
        <v>2405.9899999999998</v>
      </c>
      <c r="H68" s="6">
        <f>SUMIF(Source_PL!$A:$A,$A68,Source_PL!H:H)</f>
        <v>3624.82</v>
      </c>
      <c r="I68" s="6">
        <f>SUMIF(Source_PL!$A:$A,$A68,Source_PL!I:I)</f>
        <v>1408.13</v>
      </c>
      <c r="J68" s="6">
        <f>SUMIF(Source_PL!$A:$A,$A68,Source_PL!J:J)</f>
        <v>3065.94</v>
      </c>
      <c r="K68" s="6">
        <f>SUMIF(Source_PL!$A:$A,$A68,Source_PL!K:K)</f>
        <v>2255.7800000000002</v>
      </c>
      <c r="L68" s="6">
        <f>SUMIF(Source_PL!$A:$A,$A68,Source_PL!L:L)</f>
        <v>2172.0100000000002</v>
      </c>
      <c r="M68" s="6">
        <f>SUMIF(Source_PL!$A:$A,$A68,Source_PL!M:M)</f>
        <v>9523.42</v>
      </c>
      <c r="O68" s="6">
        <f t="shared" si="1"/>
        <v>32382.6</v>
      </c>
    </row>
    <row r="69" spans="1:15" x14ac:dyDescent="0.25">
      <c r="A69" t="s">
        <v>137</v>
      </c>
      <c r="B69" s="6">
        <f>SUMIF(Source_PL!$A:$A,$A69,Source_PL!B:B)</f>
        <v>656.08</v>
      </c>
      <c r="C69" s="6">
        <f>SUMIF(Source_PL!$A:$A,$A69,Source_PL!C:C)</f>
        <v>964.54</v>
      </c>
      <c r="D69" s="6">
        <f>SUMIF(Source_PL!$A:$A,$A69,Source_PL!D:D)</f>
        <v>678.12</v>
      </c>
      <c r="E69" s="6">
        <f>SUMIF(Source_PL!$A:$A,$A69,Source_PL!E:E)</f>
        <v>306.83999999999997</v>
      </c>
      <c r="F69" s="6">
        <f>SUMIF(Source_PL!$A:$A,$A69,Source_PL!F:F)</f>
        <v>227.98</v>
      </c>
      <c r="G69" s="6">
        <f>SUMIF(Source_PL!$A:$A,$A69,Source_PL!G:G)</f>
        <v>286.56</v>
      </c>
      <c r="H69" s="6">
        <f>SUMIF(Source_PL!$A:$A,$A69,Source_PL!H:H)</f>
        <v>88.21</v>
      </c>
      <c r="I69" s="6">
        <f>SUMIF(Source_PL!$A:$A,$A69,Source_PL!I:I)</f>
        <v>270</v>
      </c>
      <c r="J69" s="6">
        <f>SUMIF(Source_PL!$A:$A,$A69,Source_PL!J:J)</f>
        <v>271.77999999999997</v>
      </c>
      <c r="K69" s="6">
        <f>SUMIF(Source_PL!$A:$A,$A69,Source_PL!K:K)</f>
        <v>2091.89</v>
      </c>
      <c r="L69" s="6">
        <f>SUMIF(Source_PL!$A:$A,$A69,Source_PL!L:L)</f>
        <v>5220.9799999999996</v>
      </c>
      <c r="M69" s="6">
        <f>SUMIF(Source_PL!$A:$A,$A69,Source_PL!M:M)</f>
        <v>2102.0700000000002</v>
      </c>
      <c r="O69" s="6">
        <f t="shared" ref="O69:O105" si="2">SUM(B69:M69)</f>
        <v>13165.05</v>
      </c>
    </row>
    <row r="70" spans="1:15" x14ac:dyDescent="0.25">
      <c r="A70" t="s">
        <v>138</v>
      </c>
      <c r="B70" s="6">
        <f>SUMIF(Source_PL!$A:$A,$A70,Source_PL!B:B)</f>
        <v>641.1</v>
      </c>
      <c r="C70" s="6">
        <f>SUMIF(Source_PL!$A:$A,$A70,Source_PL!C:C)</f>
        <v>0</v>
      </c>
      <c r="D70" s="6">
        <f>SUMIF(Source_PL!$A:$A,$A70,Source_PL!D:D)</f>
        <v>843.21</v>
      </c>
      <c r="E70" s="6">
        <f>SUMIF(Source_PL!$A:$A,$A70,Source_PL!E:E)</f>
        <v>0</v>
      </c>
      <c r="F70" s="6">
        <f>SUMIF(Source_PL!$A:$A,$A70,Source_PL!F:F)</f>
        <v>0</v>
      </c>
      <c r="G70" s="6">
        <f>SUMIF(Source_PL!$A:$A,$A70,Source_PL!G:G)</f>
        <v>0</v>
      </c>
      <c r="H70" s="6">
        <f>SUMIF(Source_PL!$A:$A,$A70,Source_PL!H:H)</f>
        <v>0</v>
      </c>
      <c r="I70" s="6">
        <f>SUMIF(Source_PL!$A:$A,$A70,Source_PL!I:I)</f>
        <v>0</v>
      </c>
      <c r="J70" s="6">
        <f>SUMIF(Source_PL!$A:$A,$A70,Source_PL!J:J)</f>
        <v>0</v>
      </c>
      <c r="K70" s="6">
        <f>SUMIF(Source_PL!$A:$A,$A70,Source_PL!K:K)</f>
        <v>0</v>
      </c>
      <c r="L70" s="6">
        <f>SUMIF(Source_PL!$A:$A,$A70,Source_PL!L:L)</f>
        <v>0</v>
      </c>
      <c r="M70" s="6">
        <f>SUMIF(Source_PL!$A:$A,$A70,Source_PL!M:M)</f>
        <v>20</v>
      </c>
      <c r="O70" s="6">
        <f t="shared" si="2"/>
        <v>1504.31</v>
      </c>
    </row>
    <row r="71" spans="1:15" x14ac:dyDescent="0.25">
      <c r="A71" t="s">
        <v>139</v>
      </c>
      <c r="B71" s="6">
        <f>SUMIF(Source_PL!$A:$A,$A71,Source_PL!B:B)</f>
        <v>15725.77</v>
      </c>
      <c r="C71" s="6">
        <f>SUMIF(Source_PL!$A:$A,$A71,Source_PL!C:C)</f>
        <v>937.61</v>
      </c>
      <c r="D71" s="6">
        <f>SUMIF(Source_PL!$A:$A,$A71,Source_PL!D:D)</f>
        <v>1097.31</v>
      </c>
      <c r="E71" s="6">
        <f>SUMIF(Source_PL!$A:$A,$A71,Source_PL!E:E)</f>
        <v>654.39</v>
      </c>
      <c r="F71" s="6">
        <f>SUMIF(Source_PL!$A:$A,$A71,Source_PL!F:F)</f>
        <v>3017.94</v>
      </c>
      <c r="G71" s="6">
        <f>SUMIF(Source_PL!$A:$A,$A71,Source_PL!G:G)</f>
        <v>213.97</v>
      </c>
      <c r="H71" s="6">
        <f>SUMIF(Source_PL!$A:$A,$A71,Source_PL!H:H)</f>
        <v>261.49</v>
      </c>
      <c r="I71" s="6">
        <f>SUMIF(Source_PL!$A:$A,$A71,Source_PL!I:I)</f>
        <v>1207.03</v>
      </c>
      <c r="J71" s="6">
        <f>SUMIF(Source_PL!$A:$A,$A71,Source_PL!J:J)</f>
        <v>2240.5300000000002</v>
      </c>
      <c r="K71" s="6">
        <f>SUMIF(Source_PL!$A:$A,$A71,Source_PL!K:K)</f>
        <v>1102.08</v>
      </c>
      <c r="L71" s="6">
        <f>SUMIF(Source_PL!$A:$A,$A71,Source_PL!L:L)</f>
        <v>5414.91</v>
      </c>
      <c r="M71" s="6">
        <f>SUMIF(Source_PL!$A:$A,$A71,Source_PL!M:M)</f>
        <v>2612.04</v>
      </c>
      <c r="O71" s="6">
        <f t="shared" si="2"/>
        <v>34485.07</v>
      </c>
    </row>
    <row r="72" spans="1:15" x14ac:dyDescent="0.25">
      <c r="A72" t="s">
        <v>140</v>
      </c>
      <c r="B72" s="6">
        <f>SUMIF(Source_PL!$A:$A,$A72,Source_PL!B:B)</f>
        <v>267.45</v>
      </c>
      <c r="C72" s="6">
        <f>SUMIF(Source_PL!$A:$A,$A72,Source_PL!C:C)</f>
        <v>1.1000000000000001</v>
      </c>
      <c r="D72" s="6">
        <f>SUMIF(Source_PL!$A:$A,$A72,Source_PL!D:D)</f>
        <v>0</v>
      </c>
      <c r="E72" s="6">
        <f>SUMIF(Source_PL!$A:$A,$A72,Source_PL!E:E)</f>
        <v>425.87</v>
      </c>
      <c r="F72" s="6">
        <f>SUMIF(Source_PL!$A:$A,$A72,Source_PL!F:F)</f>
        <v>592.45000000000005</v>
      </c>
      <c r="G72" s="6">
        <f>SUMIF(Source_PL!$A:$A,$A72,Source_PL!G:G)</f>
        <v>4093.02</v>
      </c>
      <c r="H72" s="6">
        <f>SUMIF(Source_PL!$A:$A,$A72,Source_PL!H:H)</f>
        <v>637.09</v>
      </c>
      <c r="I72" s="6">
        <f>SUMIF(Source_PL!$A:$A,$A72,Source_PL!I:I)</f>
        <v>549.01</v>
      </c>
      <c r="J72" s="6">
        <f>SUMIF(Source_PL!$A:$A,$A72,Source_PL!J:J)</f>
        <v>55.12</v>
      </c>
      <c r="K72" s="6">
        <f>SUMIF(Source_PL!$A:$A,$A72,Source_PL!K:K)</f>
        <v>0</v>
      </c>
      <c r="L72" s="6">
        <f>SUMIF(Source_PL!$A:$A,$A72,Source_PL!L:L)</f>
        <v>103.98</v>
      </c>
      <c r="M72" s="6">
        <f>SUMIF(Source_PL!$A:$A,$A72,Source_PL!M:M)</f>
        <v>163.53</v>
      </c>
      <c r="O72" s="6">
        <f t="shared" si="2"/>
        <v>6888.62</v>
      </c>
    </row>
    <row r="73" spans="1:15" x14ac:dyDescent="0.25">
      <c r="A73" t="s">
        <v>141</v>
      </c>
      <c r="B73" s="6">
        <f>SUMIF(Source_PL!$A:$A,$A73,Source_PL!B:B)</f>
        <v>9225</v>
      </c>
      <c r="C73" s="6">
        <f>SUMIF(Source_PL!$A:$A,$A73,Source_PL!C:C)</f>
        <v>5919.2</v>
      </c>
      <c r="D73" s="6">
        <f>SUMIF(Source_PL!$A:$A,$A73,Source_PL!D:D)</f>
        <v>81635.59</v>
      </c>
      <c r="E73" s="6">
        <f>SUMIF(Source_PL!$A:$A,$A73,Source_PL!E:E)</f>
        <v>2620</v>
      </c>
      <c r="F73" s="6">
        <f>SUMIF(Source_PL!$A:$A,$A73,Source_PL!F:F)</f>
        <v>4525.5</v>
      </c>
      <c r="G73" s="6">
        <f>SUMIF(Source_PL!$A:$A,$A73,Source_PL!G:G)</f>
        <v>1650</v>
      </c>
      <c r="H73" s="6">
        <f>SUMIF(Source_PL!$A:$A,$A73,Source_PL!H:H)</f>
        <v>28985.58</v>
      </c>
      <c r="I73" s="6">
        <f>SUMIF(Source_PL!$A:$A,$A73,Source_PL!I:I)</f>
        <v>10843.57</v>
      </c>
      <c r="J73" s="6">
        <f>SUMIF(Source_PL!$A:$A,$A73,Source_PL!J:J)</f>
        <v>40625.730000000003</v>
      </c>
      <c r="K73" s="6">
        <f>SUMIF(Source_PL!$A:$A,$A73,Source_PL!K:K)</f>
        <v>17033.64</v>
      </c>
      <c r="L73" s="6">
        <f>SUMIF(Source_PL!$A:$A,$A73,Source_PL!L:L)</f>
        <v>4711</v>
      </c>
      <c r="M73" s="6">
        <f>SUMIF(Source_PL!$A:$A,$A73,Source_PL!M:M)</f>
        <v>14327.89</v>
      </c>
      <c r="O73" s="6">
        <f t="shared" si="2"/>
        <v>222102.7</v>
      </c>
    </row>
    <row r="74" spans="1:15" x14ac:dyDescent="0.25">
      <c r="A74" t="s">
        <v>142</v>
      </c>
      <c r="B74" s="6">
        <f>SUMIF(Source_PL!$A:$A,$A74,Source_PL!B:B)</f>
        <v>121.27</v>
      </c>
      <c r="C74" s="6">
        <f>SUMIF(Source_PL!$A:$A,$A74,Source_PL!C:C)</f>
        <v>36.46</v>
      </c>
      <c r="D74" s="6">
        <f>SUMIF(Source_PL!$A:$A,$A74,Source_PL!D:D)</f>
        <v>0</v>
      </c>
      <c r="E74" s="6">
        <f>SUMIF(Source_PL!$A:$A,$A74,Source_PL!E:E)</f>
        <v>365.89</v>
      </c>
      <c r="F74" s="6">
        <f>SUMIF(Source_PL!$A:$A,$A74,Source_PL!F:F)</f>
        <v>71.430000000000007</v>
      </c>
      <c r="G74" s="6">
        <f>SUMIF(Source_PL!$A:$A,$A74,Source_PL!G:G)</f>
        <v>1087.76</v>
      </c>
      <c r="H74" s="6">
        <f>SUMIF(Source_PL!$A:$A,$A74,Source_PL!H:H)</f>
        <v>1754.05</v>
      </c>
      <c r="I74" s="6">
        <f>SUMIF(Source_PL!$A:$A,$A74,Source_PL!I:I)</f>
        <v>1835.96</v>
      </c>
      <c r="J74" s="6">
        <f>SUMIF(Source_PL!$A:$A,$A74,Source_PL!J:J)</f>
        <v>367.76</v>
      </c>
      <c r="K74" s="6">
        <f>SUMIF(Source_PL!$A:$A,$A74,Source_PL!K:K)</f>
        <v>855</v>
      </c>
      <c r="L74" s="6">
        <f>SUMIF(Source_PL!$A:$A,$A74,Source_PL!L:L)</f>
        <v>806.41</v>
      </c>
      <c r="M74" s="6">
        <f>SUMIF(Source_PL!$A:$A,$A74,Source_PL!M:M)</f>
        <v>15655.65</v>
      </c>
      <c r="O74" s="6">
        <f t="shared" si="2"/>
        <v>22957.64</v>
      </c>
    </row>
    <row r="75" spans="1:15" x14ac:dyDescent="0.25">
      <c r="A75" t="s">
        <v>143</v>
      </c>
      <c r="B75" s="6">
        <f>SUMIF(Source_PL!$A:$A,$A75,Source_PL!B:B)</f>
        <v>603.44000000000005</v>
      </c>
      <c r="C75" s="6">
        <f>SUMIF(Source_PL!$A:$A,$A75,Source_PL!C:C)</f>
        <v>676.27</v>
      </c>
      <c r="D75" s="6">
        <f>SUMIF(Source_PL!$A:$A,$A75,Source_PL!D:D)</f>
        <v>3504.52</v>
      </c>
      <c r="E75" s="6">
        <f>SUMIF(Source_PL!$A:$A,$A75,Source_PL!E:E)</f>
        <v>169.99</v>
      </c>
      <c r="F75" s="6">
        <f>SUMIF(Source_PL!$A:$A,$A75,Source_PL!F:F)</f>
        <v>169.99</v>
      </c>
      <c r="G75" s="6">
        <f>SUMIF(Source_PL!$A:$A,$A75,Source_PL!G:G)</f>
        <v>0</v>
      </c>
      <c r="H75" s="6">
        <f>SUMIF(Source_PL!$A:$A,$A75,Source_PL!H:H)</f>
        <v>0</v>
      </c>
      <c r="I75" s="6">
        <f>SUMIF(Source_PL!$A:$A,$A75,Source_PL!I:I)</f>
        <v>0</v>
      </c>
      <c r="J75" s="6">
        <f>SUMIF(Source_PL!$A:$A,$A75,Source_PL!J:J)</f>
        <v>579.77</v>
      </c>
      <c r="K75" s="6">
        <f>SUMIF(Source_PL!$A:$A,$A75,Source_PL!K:K)</f>
        <v>7769.56</v>
      </c>
      <c r="L75" s="6">
        <f>SUMIF(Source_PL!$A:$A,$A75,Source_PL!L:L)</f>
        <v>169.99</v>
      </c>
      <c r="M75" s="6">
        <f>SUMIF(Source_PL!$A:$A,$A75,Source_PL!M:M)</f>
        <v>7969.99</v>
      </c>
      <c r="O75" s="6">
        <f t="shared" si="2"/>
        <v>21613.52</v>
      </c>
    </row>
    <row r="76" spans="1:15" x14ac:dyDescent="0.25">
      <c r="A76" t="s">
        <v>144</v>
      </c>
      <c r="B76" s="6">
        <f>SUMIF(Source_PL!$A:$A,$A76,Source_PL!B:B)</f>
        <v>2919.53</v>
      </c>
      <c r="C76" s="6">
        <f>SUMIF(Source_PL!$A:$A,$A76,Source_PL!C:C)</f>
        <v>937.08</v>
      </c>
      <c r="D76" s="6">
        <f>SUMIF(Source_PL!$A:$A,$A76,Source_PL!D:D)</f>
        <v>2723</v>
      </c>
      <c r="E76" s="6">
        <f>SUMIF(Source_PL!$A:$A,$A76,Source_PL!E:E)</f>
        <v>2302</v>
      </c>
      <c r="F76" s="6">
        <f>SUMIF(Source_PL!$A:$A,$A76,Source_PL!F:F)</f>
        <v>6235.06</v>
      </c>
      <c r="G76" s="6">
        <f>SUMIF(Source_PL!$A:$A,$A76,Source_PL!G:G)</f>
        <v>3539.83</v>
      </c>
      <c r="H76" s="6">
        <f>SUMIF(Source_PL!$A:$A,$A76,Source_PL!H:H)</f>
        <v>3677.49</v>
      </c>
      <c r="I76" s="6">
        <f>SUMIF(Source_PL!$A:$A,$A76,Source_PL!I:I)</f>
        <v>3825.56</v>
      </c>
      <c r="J76" s="6">
        <f>SUMIF(Source_PL!$A:$A,$A76,Source_PL!J:J)</f>
        <v>11797.06</v>
      </c>
      <c r="K76" s="6">
        <f>SUMIF(Source_PL!$A:$A,$A76,Source_PL!K:K)</f>
        <v>8848.34</v>
      </c>
      <c r="L76" s="6">
        <f>SUMIF(Source_PL!$A:$A,$A76,Source_PL!L:L)</f>
        <v>11552.67</v>
      </c>
      <c r="M76" s="6">
        <f>SUMIF(Source_PL!$A:$A,$A76,Source_PL!M:M)</f>
        <v>13883.8</v>
      </c>
      <c r="O76" s="6">
        <f t="shared" si="2"/>
        <v>72241.42</v>
      </c>
    </row>
    <row r="77" spans="1:15" x14ac:dyDescent="0.25">
      <c r="A77" t="s">
        <v>145</v>
      </c>
      <c r="B77" s="6">
        <f>SUMIF(Source_PL!$A:$A,$A77,Source_PL!B:B)</f>
        <v>2572.37</v>
      </c>
      <c r="C77" s="6">
        <f>SUMIF(Source_PL!$A:$A,$A77,Source_PL!C:C)</f>
        <v>2622.37</v>
      </c>
      <c r="D77" s="6">
        <f>SUMIF(Source_PL!$A:$A,$A77,Source_PL!D:D)</f>
        <v>4031.22</v>
      </c>
      <c r="E77" s="6">
        <f>SUMIF(Source_PL!$A:$A,$A77,Source_PL!E:E)</f>
        <v>4031.22</v>
      </c>
      <c r="F77" s="6">
        <f>SUMIF(Source_PL!$A:$A,$A77,Source_PL!F:F)</f>
        <v>3931.22</v>
      </c>
      <c r="G77" s="6">
        <f>SUMIF(Source_PL!$A:$A,$A77,Source_PL!G:G)</f>
        <v>3931.22</v>
      </c>
      <c r="H77" s="6">
        <f>SUMIF(Source_PL!$A:$A,$A77,Source_PL!H:H)</f>
        <v>18030.22</v>
      </c>
      <c r="I77" s="6">
        <f>SUMIF(Source_PL!$A:$A,$A77,Source_PL!I:I)</f>
        <v>19458.22</v>
      </c>
      <c r="J77" s="6">
        <f>SUMIF(Source_PL!$A:$A,$A77,Source_PL!J:J)</f>
        <v>23804.240000000002</v>
      </c>
      <c r="K77" s="6">
        <f>SUMIF(Source_PL!$A:$A,$A77,Source_PL!K:K)</f>
        <v>21990.86</v>
      </c>
      <c r="L77" s="6">
        <f>SUMIF(Source_PL!$A:$A,$A77,Source_PL!L:L)</f>
        <v>11160.21</v>
      </c>
      <c r="M77" s="6">
        <f>SUMIF(Source_PL!$A:$A,$A77,Source_PL!M:M)</f>
        <v>39496.93</v>
      </c>
      <c r="O77" s="6">
        <f t="shared" si="2"/>
        <v>155060.29999999999</v>
      </c>
    </row>
    <row r="78" spans="1:15" x14ac:dyDescent="0.25">
      <c r="A78" t="s">
        <v>146</v>
      </c>
      <c r="B78" s="6">
        <f>SUMIF(Source_PL!$A:$A,$A78,Source_PL!B:B)</f>
        <v>8577.7800000000007</v>
      </c>
      <c r="C78" s="6">
        <f>SUMIF(Source_PL!$A:$A,$A78,Source_PL!C:C)</f>
        <v>0</v>
      </c>
      <c r="D78" s="6">
        <f>SUMIF(Source_PL!$A:$A,$A78,Source_PL!D:D)</f>
        <v>6341.99</v>
      </c>
      <c r="E78" s="6">
        <f>SUMIF(Source_PL!$A:$A,$A78,Source_PL!E:E)</f>
        <v>4288.8900000000003</v>
      </c>
      <c r="F78" s="6">
        <f>SUMIF(Source_PL!$A:$A,$A78,Source_PL!F:F)</f>
        <v>614.70000000000005</v>
      </c>
      <c r="G78" s="6">
        <f>SUMIF(Source_PL!$A:$A,$A78,Source_PL!G:G)</f>
        <v>587.96</v>
      </c>
      <c r="H78" s="6">
        <f>SUMIF(Source_PL!$A:$A,$A78,Source_PL!H:H)</f>
        <v>7394.12</v>
      </c>
      <c r="I78" s="6">
        <f>SUMIF(Source_PL!$A:$A,$A78,Source_PL!I:I)</f>
        <v>1491.37</v>
      </c>
      <c r="J78" s="6">
        <f>SUMIF(Source_PL!$A:$A,$A78,Source_PL!J:J)</f>
        <v>5864.13</v>
      </c>
      <c r="K78" s="6">
        <f>SUMIF(Source_PL!$A:$A,$A78,Source_PL!K:K)</f>
        <v>6263.89</v>
      </c>
      <c r="L78" s="6">
        <f>SUMIF(Source_PL!$A:$A,$A78,Source_PL!L:L)</f>
        <v>3515.61</v>
      </c>
      <c r="M78" s="6">
        <f>SUMIF(Source_PL!$A:$A,$A78,Source_PL!M:M)</f>
        <v>0</v>
      </c>
      <c r="O78" s="6">
        <f t="shared" si="2"/>
        <v>44940.439999999995</v>
      </c>
    </row>
    <row r="79" spans="1:15" x14ac:dyDescent="0.25">
      <c r="A79" t="s">
        <v>147</v>
      </c>
      <c r="B79" s="6">
        <f>SUMIF(Source_PL!$A:$A,$A79,Source_PL!B:B)</f>
        <v>51.65</v>
      </c>
      <c r="C79" s="6">
        <f>SUMIF(Source_PL!$A:$A,$A79,Source_PL!C:C)</f>
        <v>0</v>
      </c>
      <c r="D79" s="6">
        <f>SUMIF(Source_PL!$A:$A,$A79,Source_PL!D:D)</f>
        <v>3916</v>
      </c>
      <c r="E79" s="6">
        <f>SUMIF(Source_PL!$A:$A,$A79,Source_PL!E:E)</f>
        <v>272.7</v>
      </c>
      <c r="F79" s="6">
        <f>SUMIF(Source_PL!$A:$A,$A79,Source_PL!F:F)</f>
        <v>0</v>
      </c>
      <c r="G79" s="6">
        <f>SUMIF(Source_PL!$A:$A,$A79,Source_PL!G:G)</f>
        <v>34.71</v>
      </c>
      <c r="H79" s="6">
        <f>SUMIF(Source_PL!$A:$A,$A79,Source_PL!H:H)</f>
        <v>8019.35</v>
      </c>
      <c r="I79" s="6">
        <f>SUMIF(Source_PL!$A:$A,$A79,Source_PL!I:I)</f>
        <v>122.23</v>
      </c>
      <c r="J79" s="6">
        <f>SUMIF(Source_PL!$A:$A,$A79,Source_PL!J:J)</f>
        <v>128.65</v>
      </c>
      <c r="K79" s="6">
        <f>SUMIF(Source_PL!$A:$A,$A79,Source_PL!K:K)</f>
        <v>3428.27</v>
      </c>
      <c r="L79" s="6">
        <f>SUMIF(Source_PL!$A:$A,$A79,Source_PL!L:L)</f>
        <v>220.32</v>
      </c>
      <c r="M79" s="6">
        <f>SUMIF(Source_PL!$A:$A,$A79,Source_PL!M:M)</f>
        <v>5308.3</v>
      </c>
      <c r="O79" s="6">
        <f t="shared" si="2"/>
        <v>21502.18</v>
      </c>
    </row>
    <row r="80" spans="1:15" x14ac:dyDescent="0.25">
      <c r="A80" t="s">
        <v>148</v>
      </c>
      <c r="B80" s="6">
        <f>SUMIF(Source_PL!$A:$A,$A80,Source_PL!B:B)</f>
        <v>17172.59</v>
      </c>
      <c r="C80" s="6">
        <f>SUMIF(Source_PL!$A:$A,$A80,Source_PL!C:C)</f>
        <v>13553.58</v>
      </c>
      <c r="D80" s="6">
        <f>SUMIF(Source_PL!$A:$A,$A80,Source_PL!D:D)</f>
        <v>7027.69</v>
      </c>
      <c r="E80" s="6">
        <f>SUMIF(Source_PL!$A:$A,$A80,Source_PL!E:E)</f>
        <v>4717.04</v>
      </c>
      <c r="F80" s="6">
        <f>SUMIF(Source_PL!$A:$A,$A80,Source_PL!F:F)</f>
        <v>4026.53</v>
      </c>
      <c r="G80" s="6">
        <f>SUMIF(Source_PL!$A:$A,$A80,Source_PL!G:G)</f>
        <v>3899.13</v>
      </c>
      <c r="H80" s="6">
        <f>SUMIF(Source_PL!$A:$A,$A80,Source_PL!H:H)</f>
        <v>2580.23</v>
      </c>
      <c r="I80" s="6">
        <f>SUMIF(Source_PL!$A:$A,$A80,Source_PL!I:I)</f>
        <v>2853.15</v>
      </c>
      <c r="J80" s="6">
        <f>SUMIF(Source_PL!$A:$A,$A80,Source_PL!J:J)</f>
        <v>1293.57</v>
      </c>
      <c r="K80" s="6">
        <f>SUMIF(Source_PL!$A:$A,$A80,Source_PL!K:K)</f>
        <v>5009.01</v>
      </c>
      <c r="L80" s="6">
        <f>SUMIF(Source_PL!$A:$A,$A80,Source_PL!L:L)</f>
        <v>6501.94</v>
      </c>
      <c r="M80" s="6">
        <f>SUMIF(Source_PL!$A:$A,$A80,Source_PL!M:M)</f>
        <v>3451.57</v>
      </c>
      <c r="O80" s="6">
        <f t="shared" si="2"/>
        <v>72086.030000000013</v>
      </c>
    </row>
    <row r="81" spans="1:15" x14ac:dyDescent="0.25">
      <c r="A81" t="s">
        <v>149</v>
      </c>
      <c r="B81" s="6">
        <f>SUMIF(Source_PL!$A:$A,$A81,Source_PL!B:B)</f>
        <v>0</v>
      </c>
      <c r="C81" s="6">
        <f>SUMIF(Source_PL!$A:$A,$A81,Source_PL!C:C)</f>
        <v>0</v>
      </c>
      <c r="D81" s="6">
        <f>SUMIF(Source_PL!$A:$A,$A81,Source_PL!D:D)</f>
        <v>3978</v>
      </c>
      <c r="E81" s="6">
        <f>SUMIF(Source_PL!$A:$A,$A81,Source_PL!E:E)</f>
        <v>0</v>
      </c>
      <c r="F81" s="6">
        <f>SUMIF(Source_PL!$A:$A,$A81,Source_PL!F:F)</f>
        <v>0</v>
      </c>
      <c r="G81" s="6">
        <f>SUMIF(Source_PL!$A:$A,$A81,Source_PL!G:G)</f>
        <v>0</v>
      </c>
      <c r="H81" s="6">
        <f>SUMIF(Source_PL!$A:$A,$A81,Source_PL!H:H)</f>
        <v>0</v>
      </c>
      <c r="I81" s="6">
        <f>SUMIF(Source_PL!$A:$A,$A81,Source_PL!I:I)</f>
        <v>0</v>
      </c>
      <c r="J81" s="6">
        <f>SUMIF(Source_PL!$A:$A,$A81,Source_PL!J:J)</f>
        <v>0</v>
      </c>
      <c r="K81" s="6">
        <f>SUMIF(Source_PL!$A:$A,$A81,Source_PL!K:K)</f>
        <v>0</v>
      </c>
      <c r="L81" s="6">
        <f>SUMIF(Source_PL!$A:$A,$A81,Source_PL!L:L)</f>
        <v>0</v>
      </c>
      <c r="M81" s="6">
        <f>SUMIF(Source_PL!$A:$A,$A81,Source_PL!M:M)</f>
        <v>0</v>
      </c>
      <c r="O81" s="6">
        <f t="shared" si="2"/>
        <v>3978</v>
      </c>
    </row>
    <row r="82" spans="1:15" x14ac:dyDescent="0.25">
      <c r="A82" t="s">
        <v>150</v>
      </c>
      <c r="B82" s="6">
        <f>SUMIF(Source_PL!$A:$A,$A82,Source_PL!B:B)</f>
        <v>6171.78</v>
      </c>
      <c r="C82" s="6">
        <f>SUMIF(Source_PL!$A:$A,$A82,Source_PL!C:C)</f>
        <v>2039.27</v>
      </c>
      <c r="D82" s="6">
        <f>SUMIF(Source_PL!$A:$A,$A82,Source_PL!D:D)</f>
        <v>638.14</v>
      </c>
      <c r="E82" s="6">
        <f>SUMIF(Source_PL!$A:$A,$A82,Source_PL!E:E)</f>
        <v>319.69</v>
      </c>
      <c r="F82" s="6">
        <f>SUMIF(Source_PL!$A:$A,$A82,Source_PL!F:F)</f>
        <v>1799.42</v>
      </c>
      <c r="G82" s="6">
        <f>SUMIF(Source_PL!$A:$A,$A82,Source_PL!G:G)</f>
        <v>1278.69</v>
      </c>
      <c r="H82" s="6">
        <f>SUMIF(Source_PL!$A:$A,$A82,Source_PL!H:H)</f>
        <v>858.36</v>
      </c>
      <c r="I82" s="6">
        <f>SUMIF(Source_PL!$A:$A,$A82,Source_PL!I:I)</f>
        <v>8088.07</v>
      </c>
      <c r="J82" s="6">
        <f>SUMIF(Source_PL!$A:$A,$A82,Source_PL!J:J)</f>
        <v>6961.07</v>
      </c>
      <c r="K82" s="6">
        <f>SUMIF(Source_PL!$A:$A,$A82,Source_PL!K:K)</f>
        <v>3503.73</v>
      </c>
      <c r="L82" s="6">
        <f>SUMIF(Source_PL!$A:$A,$A82,Source_PL!L:L)</f>
        <v>761.91</v>
      </c>
      <c r="M82" s="6">
        <f>SUMIF(Source_PL!$A:$A,$A82,Source_PL!M:M)</f>
        <v>2783.25</v>
      </c>
      <c r="O82" s="6">
        <f t="shared" si="2"/>
        <v>35203.379999999997</v>
      </c>
    </row>
    <row r="83" spans="1:15" x14ac:dyDescent="0.25">
      <c r="A83" t="s">
        <v>151</v>
      </c>
      <c r="B83" s="6">
        <f>SUMIF(Source_PL!$A:$A,$A83,Source_PL!B:B)</f>
        <v>61.01</v>
      </c>
      <c r="C83" s="6">
        <f>SUMIF(Source_PL!$A:$A,$A83,Source_PL!C:C)</f>
        <v>0</v>
      </c>
      <c r="D83" s="6">
        <f>SUMIF(Source_PL!$A:$A,$A83,Source_PL!D:D)</f>
        <v>180.69</v>
      </c>
      <c r="E83" s="6">
        <f>SUMIF(Source_PL!$A:$A,$A83,Source_PL!E:E)</f>
        <v>231.1</v>
      </c>
      <c r="F83" s="6">
        <f>SUMIF(Source_PL!$A:$A,$A83,Source_PL!F:F)</f>
        <v>2875.33</v>
      </c>
      <c r="G83" s="6">
        <f>SUMIF(Source_PL!$A:$A,$A83,Source_PL!G:G)</f>
        <v>550.38</v>
      </c>
      <c r="H83" s="6">
        <f>SUMIF(Source_PL!$A:$A,$A83,Source_PL!H:H)</f>
        <v>667.41</v>
      </c>
      <c r="I83" s="6">
        <f>SUMIF(Source_PL!$A:$A,$A83,Source_PL!I:I)</f>
        <v>1931.76</v>
      </c>
      <c r="J83" s="6">
        <f>SUMIF(Source_PL!$A:$A,$A83,Source_PL!J:J)</f>
        <v>111.24</v>
      </c>
      <c r="K83" s="6">
        <f>SUMIF(Source_PL!$A:$A,$A83,Source_PL!K:K)</f>
        <v>17.91</v>
      </c>
      <c r="L83" s="6">
        <f>SUMIF(Source_PL!$A:$A,$A83,Source_PL!L:L)</f>
        <v>99.12</v>
      </c>
      <c r="M83" s="6">
        <f>SUMIF(Source_PL!$A:$A,$A83,Source_PL!M:M)</f>
        <v>0</v>
      </c>
      <c r="O83" s="6">
        <f t="shared" si="2"/>
        <v>6725.95</v>
      </c>
    </row>
    <row r="84" spans="1:15" x14ac:dyDescent="0.25">
      <c r="A84" t="s">
        <v>152</v>
      </c>
      <c r="B84" s="6">
        <f>SUMIF(Source_PL!$A:$A,$A84,Source_PL!B:B)</f>
        <v>5432.6</v>
      </c>
      <c r="C84" s="6">
        <f>SUMIF(Source_PL!$A:$A,$A84,Source_PL!C:C)</f>
        <v>0</v>
      </c>
      <c r="D84" s="6">
        <f>SUMIF(Source_PL!$A:$A,$A84,Source_PL!D:D)</f>
        <v>382</v>
      </c>
      <c r="E84" s="6">
        <f>SUMIF(Source_PL!$A:$A,$A84,Source_PL!E:E)</f>
        <v>0</v>
      </c>
      <c r="F84" s="6">
        <f>SUMIF(Source_PL!$A:$A,$A84,Source_PL!F:F)</f>
        <v>1998.27</v>
      </c>
      <c r="G84" s="6">
        <f>SUMIF(Source_PL!$A:$A,$A84,Source_PL!G:G)</f>
        <v>273.70999999999998</v>
      </c>
      <c r="H84" s="6">
        <f>SUMIF(Source_PL!$A:$A,$A84,Source_PL!H:H)</f>
        <v>1175.6300000000001</v>
      </c>
      <c r="I84" s="6">
        <f>SUMIF(Source_PL!$A:$A,$A84,Source_PL!I:I)</f>
        <v>2544.7800000000002</v>
      </c>
      <c r="J84" s="6">
        <f>SUMIF(Source_PL!$A:$A,$A84,Source_PL!J:J)</f>
        <v>1466.76</v>
      </c>
      <c r="K84" s="6">
        <f>SUMIF(Source_PL!$A:$A,$A84,Source_PL!K:K)</f>
        <v>2958.28</v>
      </c>
      <c r="L84" s="6">
        <f>SUMIF(Source_PL!$A:$A,$A84,Source_PL!L:L)</f>
        <v>589.1</v>
      </c>
      <c r="M84" s="6">
        <f>SUMIF(Source_PL!$A:$A,$A84,Source_PL!M:M)</f>
        <v>1640.31</v>
      </c>
      <c r="O84" s="6">
        <f t="shared" si="2"/>
        <v>18461.440000000002</v>
      </c>
    </row>
    <row r="85" spans="1:15" x14ac:dyDescent="0.25">
      <c r="A85" t="s">
        <v>153</v>
      </c>
      <c r="B85" s="6">
        <f>SUMIF(Source_PL!$A:$A,$A85,Source_PL!B:B)</f>
        <v>1983.35</v>
      </c>
      <c r="C85" s="6">
        <f>SUMIF(Source_PL!$A:$A,$A85,Source_PL!C:C)</f>
        <v>1058.83</v>
      </c>
      <c r="D85" s="6">
        <f>SUMIF(Source_PL!$A:$A,$A85,Source_PL!D:D)</f>
        <v>2413.37</v>
      </c>
      <c r="E85" s="6">
        <f>SUMIF(Source_PL!$A:$A,$A85,Source_PL!E:E)</f>
        <v>1130.7</v>
      </c>
      <c r="F85" s="6">
        <f>SUMIF(Source_PL!$A:$A,$A85,Source_PL!F:F)</f>
        <v>3254.01</v>
      </c>
      <c r="G85" s="6">
        <f>SUMIF(Source_PL!$A:$A,$A85,Source_PL!G:G)</f>
        <v>3291.29</v>
      </c>
      <c r="H85" s="6">
        <f>SUMIF(Source_PL!$A:$A,$A85,Source_PL!H:H)</f>
        <v>1676.3</v>
      </c>
      <c r="I85" s="6">
        <f>SUMIF(Source_PL!$A:$A,$A85,Source_PL!I:I)</f>
        <v>1348.33</v>
      </c>
      <c r="J85" s="6">
        <f>SUMIF(Source_PL!$A:$A,$A85,Source_PL!J:J)</f>
        <v>1493.69</v>
      </c>
      <c r="K85" s="6">
        <f>SUMIF(Source_PL!$A:$A,$A85,Source_PL!K:K)</f>
        <v>3763.83</v>
      </c>
      <c r="L85" s="6">
        <f>SUMIF(Source_PL!$A:$A,$A85,Source_PL!L:L)</f>
        <v>1592.58</v>
      </c>
      <c r="M85" s="6">
        <f>SUMIF(Source_PL!$A:$A,$A85,Source_PL!M:M)</f>
        <v>4231.29</v>
      </c>
      <c r="O85" s="6">
        <f t="shared" si="2"/>
        <v>27237.57</v>
      </c>
    </row>
    <row r="86" spans="1:15" x14ac:dyDescent="0.25">
      <c r="A86" t="s">
        <v>154</v>
      </c>
      <c r="B86" s="6">
        <f>SUMIF(Source_PL!$A:$A,$A86,Source_PL!B:B)</f>
        <v>0</v>
      </c>
      <c r="C86" s="6">
        <f>SUMIF(Source_PL!$A:$A,$A86,Source_PL!C:C)</f>
        <v>6226.19</v>
      </c>
      <c r="D86" s="6">
        <f>SUMIF(Source_PL!$A:$A,$A86,Source_PL!D:D)</f>
        <v>3727.77</v>
      </c>
      <c r="E86" s="6">
        <f>SUMIF(Source_PL!$A:$A,$A86,Source_PL!E:E)</f>
        <v>2123.2399999999998</v>
      </c>
      <c r="F86" s="6">
        <f>SUMIF(Source_PL!$A:$A,$A86,Source_PL!F:F)</f>
        <v>0</v>
      </c>
      <c r="G86" s="6">
        <f>SUMIF(Source_PL!$A:$A,$A86,Source_PL!G:G)</f>
        <v>0</v>
      </c>
      <c r="H86" s="6">
        <f>SUMIF(Source_PL!$A:$A,$A86,Source_PL!H:H)</f>
        <v>0</v>
      </c>
      <c r="I86" s="6">
        <f>SUMIF(Source_PL!$A:$A,$A86,Source_PL!I:I)</f>
        <v>1.53</v>
      </c>
      <c r="J86" s="6">
        <f>SUMIF(Source_PL!$A:$A,$A86,Source_PL!J:J)</f>
        <v>0</v>
      </c>
      <c r="K86" s="6">
        <f>SUMIF(Source_PL!$A:$A,$A86,Source_PL!K:K)</f>
        <v>8.5</v>
      </c>
      <c r="L86" s="6">
        <f>SUMIF(Source_PL!$A:$A,$A86,Source_PL!L:L)</f>
        <v>7265.59</v>
      </c>
      <c r="M86" s="6">
        <f>SUMIF(Source_PL!$A:$A,$A86,Source_PL!M:M)</f>
        <v>14653.54</v>
      </c>
      <c r="O86" s="6">
        <f t="shared" si="2"/>
        <v>34006.36</v>
      </c>
    </row>
    <row r="87" spans="1:15" x14ac:dyDescent="0.25">
      <c r="A87" t="s">
        <v>155</v>
      </c>
      <c r="B87" s="6">
        <f>SUMIF(Source_PL!$A:$A,$A87,Source_PL!B:B)</f>
        <v>0</v>
      </c>
      <c r="C87" s="6">
        <f>SUMIF(Source_PL!$A:$A,$A87,Source_PL!C:C)</f>
        <v>0</v>
      </c>
      <c r="D87" s="6">
        <f>SUMIF(Source_PL!$A:$A,$A87,Source_PL!D:D)</f>
        <v>0</v>
      </c>
      <c r="E87" s="6">
        <f>SUMIF(Source_PL!$A:$A,$A87,Source_PL!E:E)</f>
        <v>1014.34</v>
      </c>
      <c r="F87" s="6">
        <f>SUMIF(Source_PL!$A:$A,$A87,Source_PL!F:F)</f>
        <v>36.85</v>
      </c>
      <c r="G87" s="6">
        <f>SUMIF(Source_PL!$A:$A,$A87,Source_PL!G:G)</f>
        <v>29</v>
      </c>
      <c r="H87" s="6">
        <f>SUMIF(Source_PL!$A:$A,$A87,Source_PL!H:H)</f>
        <v>759.61</v>
      </c>
      <c r="I87" s="6">
        <f>SUMIF(Source_PL!$A:$A,$A87,Source_PL!I:I)</f>
        <v>350</v>
      </c>
      <c r="J87" s="6">
        <f>SUMIF(Source_PL!$A:$A,$A87,Source_PL!J:J)</f>
        <v>0</v>
      </c>
      <c r="K87" s="6">
        <f>SUMIF(Source_PL!$A:$A,$A87,Source_PL!K:K)</f>
        <v>54.5</v>
      </c>
      <c r="L87" s="6">
        <f>SUMIF(Source_PL!$A:$A,$A87,Source_PL!L:L)</f>
        <v>50</v>
      </c>
      <c r="M87" s="6">
        <f>SUMIF(Source_PL!$A:$A,$A87,Source_PL!M:M)</f>
        <v>0</v>
      </c>
      <c r="O87" s="6">
        <f t="shared" si="2"/>
        <v>2294.3000000000002</v>
      </c>
    </row>
    <row r="88" spans="1:15" x14ac:dyDescent="0.25">
      <c r="A88" t="s">
        <v>156</v>
      </c>
      <c r="B88" s="6">
        <f>SUMIF(Source_PL!$A:$A,$A88,Source_PL!B:B)</f>
        <v>1750.74</v>
      </c>
      <c r="C88" s="6">
        <f>SUMIF(Source_PL!$A:$A,$A88,Source_PL!C:C)</f>
        <v>1971.33</v>
      </c>
      <c r="D88" s="6">
        <f>SUMIF(Source_PL!$A:$A,$A88,Source_PL!D:D)</f>
        <v>1806.76</v>
      </c>
      <c r="E88" s="6">
        <f>SUMIF(Source_PL!$A:$A,$A88,Source_PL!E:E)</f>
        <v>1460.92</v>
      </c>
      <c r="F88" s="6">
        <f>SUMIF(Source_PL!$A:$A,$A88,Source_PL!F:F)</f>
        <v>1748.18</v>
      </c>
      <c r="G88" s="6">
        <f>SUMIF(Source_PL!$A:$A,$A88,Source_PL!G:G)</f>
        <v>1751.14</v>
      </c>
      <c r="H88" s="6">
        <f>SUMIF(Source_PL!$A:$A,$A88,Source_PL!H:H)</f>
        <v>1904.22</v>
      </c>
      <c r="I88" s="6">
        <f>SUMIF(Source_PL!$A:$A,$A88,Source_PL!I:I)</f>
        <v>2075.38</v>
      </c>
      <c r="J88" s="6">
        <f>SUMIF(Source_PL!$A:$A,$A88,Source_PL!J:J)</f>
        <v>2107.65</v>
      </c>
      <c r="K88" s="6">
        <f>SUMIF(Source_PL!$A:$A,$A88,Source_PL!K:K)</f>
        <v>2302</v>
      </c>
      <c r="L88" s="6">
        <f>SUMIF(Source_PL!$A:$A,$A88,Source_PL!L:L)</f>
        <v>3599.22</v>
      </c>
      <c r="M88" s="6">
        <f>SUMIF(Source_PL!$A:$A,$A88,Source_PL!M:M)</f>
        <v>2695.54</v>
      </c>
      <c r="O88" s="6">
        <f t="shared" si="2"/>
        <v>25173.08</v>
      </c>
    </row>
    <row r="89" spans="1:15" x14ac:dyDescent="0.25">
      <c r="A89" t="s">
        <v>157</v>
      </c>
      <c r="B89" s="6">
        <f>SUMIF(Source_PL!$A:$A,$A89,Source_PL!B:B)</f>
        <v>0</v>
      </c>
      <c r="C89" s="6">
        <f>SUMIF(Source_PL!$A:$A,$A89,Source_PL!C:C)</f>
        <v>0</v>
      </c>
      <c r="D89" s="6">
        <f>SUMIF(Source_PL!$A:$A,$A89,Source_PL!D:D)</f>
        <v>0</v>
      </c>
      <c r="E89" s="6">
        <f>SUMIF(Source_PL!$A:$A,$A89,Source_PL!E:E)</f>
        <v>0</v>
      </c>
      <c r="F89" s="6">
        <f>SUMIF(Source_PL!$A:$A,$A89,Source_PL!F:F)</f>
        <v>309</v>
      </c>
      <c r="G89" s="6">
        <f>SUMIF(Source_PL!$A:$A,$A89,Source_PL!G:G)</f>
        <v>0</v>
      </c>
      <c r="H89" s="6">
        <f>SUMIF(Source_PL!$A:$A,$A89,Source_PL!H:H)</f>
        <v>103</v>
      </c>
      <c r="I89" s="6">
        <f>SUMIF(Source_PL!$A:$A,$A89,Source_PL!I:I)</f>
        <v>0</v>
      </c>
      <c r="J89" s="6">
        <f>SUMIF(Source_PL!$A:$A,$A89,Source_PL!J:J)</f>
        <v>0</v>
      </c>
      <c r="K89" s="6">
        <f>SUMIF(Source_PL!$A:$A,$A89,Source_PL!K:K)</f>
        <v>103</v>
      </c>
      <c r="L89" s="6">
        <f>SUMIF(Source_PL!$A:$A,$A89,Source_PL!L:L)</f>
        <v>0</v>
      </c>
      <c r="M89" s="6">
        <f>SUMIF(Source_PL!$A:$A,$A89,Source_PL!M:M)</f>
        <v>0</v>
      </c>
      <c r="O89" s="6">
        <f t="shared" si="2"/>
        <v>515</v>
      </c>
    </row>
    <row r="90" spans="1:15" x14ac:dyDescent="0.25">
      <c r="A90" t="s">
        <v>158</v>
      </c>
      <c r="B90" s="6">
        <f>SUMIF(Source_PL!$A:$A,$A90,Source_PL!B:B)</f>
        <v>9139.86</v>
      </c>
      <c r="C90" s="6">
        <f>SUMIF(Source_PL!$A:$A,$A90,Source_PL!C:C)</f>
        <v>13831.07</v>
      </c>
      <c r="D90" s="6">
        <f>SUMIF(Source_PL!$A:$A,$A90,Source_PL!D:D)</f>
        <v>13806.61</v>
      </c>
      <c r="E90" s="6">
        <f>SUMIF(Source_PL!$A:$A,$A90,Source_PL!E:E)</f>
        <v>12560.45</v>
      </c>
      <c r="F90" s="6">
        <f>SUMIF(Source_PL!$A:$A,$A90,Source_PL!F:F)</f>
        <v>10992.02</v>
      </c>
      <c r="G90" s="6">
        <f>SUMIF(Source_PL!$A:$A,$A90,Source_PL!G:G)</f>
        <v>19017.05</v>
      </c>
      <c r="H90" s="6">
        <f>SUMIF(Source_PL!$A:$A,$A90,Source_PL!H:H)</f>
        <v>11238.54</v>
      </c>
      <c r="I90" s="6">
        <f>SUMIF(Source_PL!$A:$A,$A90,Source_PL!I:I)</f>
        <v>562.54</v>
      </c>
      <c r="J90" s="6">
        <f>SUMIF(Source_PL!$A:$A,$A90,Source_PL!J:J)</f>
        <v>4549.8100000000004</v>
      </c>
      <c r="K90" s="6">
        <f>SUMIF(Source_PL!$A:$A,$A90,Source_PL!K:K)</f>
        <v>4819.1899999999996</v>
      </c>
      <c r="L90" s="6">
        <f>SUMIF(Source_PL!$A:$A,$A90,Source_PL!L:L)</f>
        <v>3239.11</v>
      </c>
      <c r="M90" s="6">
        <f>SUMIF(Source_PL!$A:$A,$A90,Source_PL!M:M)</f>
        <v>3280.01</v>
      </c>
      <c r="O90" s="6">
        <f t="shared" si="2"/>
        <v>107036.26</v>
      </c>
    </row>
    <row r="91" spans="1:15" x14ac:dyDescent="0.25">
      <c r="A91" t="s">
        <v>159</v>
      </c>
      <c r="B91" s="6">
        <f>SUMIF(Source_PL!$A:$A,$A91,Source_PL!B:B)</f>
        <v>1999.17</v>
      </c>
      <c r="C91" s="6">
        <f>SUMIF(Source_PL!$A:$A,$A91,Source_PL!C:C)</f>
        <v>3380.41</v>
      </c>
      <c r="D91" s="6">
        <f>SUMIF(Source_PL!$A:$A,$A91,Source_PL!D:D)</f>
        <v>2303.19</v>
      </c>
      <c r="E91" s="6">
        <f>SUMIF(Source_PL!$A:$A,$A91,Source_PL!E:E)</f>
        <v>3164.59</v>
      </c>
      <c r="F91" s="6">
        <f>SUMIF(Source_PL!$A:$A,$A91,Source_PL!F:F)</f>
        <v>2140.9499999999998</v>
      </c>
      <c r="G91" s="6">
        <f>SUMIF(Source_PL!$A:$A,$A91,Source_PL!G:G)</f>
        <v>2754.84</v>
      </c>
      <c r="H91" s="6">
        <f>SUMIF(Source_PL!$A:$A,$A91,Source_PL!H:H)</f>
        <v>2030.08</v>
      </c>
      <c r="I91" s="6">
        <f>SUMIF(Source_PL!$A:$A,$A91,Source_PL!I:I)</f>
        <v>2229.48</v>
      </c>
      <c r="J91" s="6">
        <f>SUMIF(Source_PL!$A:$A,$A91,Source_PL!J:J)</f>
        <v>2702.57</v>
      </c>
      <c r="K91" s="6">
        <f>SUMIF(Source_PL!$A:$A,$A91,Source_PL!K:K)</f>
        <v>2930.86</v>
      </c>
      <c r="L91" s="6">
        <f>SUMIF(Source_PL!$A:$A,$A91,Source_PL!L:L)</f>
        <v>3582.9</v>
      </c>
      <c r="M91" s="6">
        <f>SUMIF(Source_PL!$A:$A,$A91,Source_PL!M:M)</f>
        <v>6447.98</v>
      </c>
      <c r="O91" s="6">
        <f t="shared" si="2"/>
        <v>35667.020000000004</v>
      </c>
    </row>
    <row r="92" spans="1:15" x14ac:dyDescent="0.25">
      <c r="A92" t="s">
        <v>160</v>
      </c>
      <c r="B92" s="6">
        <f>SUMIF(Source_PL!$A:$A,$A92,Source_PL!B:B)</f>
        <v>2349.3200000000002</v>
      </c>
      <c r="C92" s="6">
        <f>SUMIF(Source_PL!$A:$A,$A92,Source_PL!C:C)</f>
        <v>2183.19</v>
      </c>
      <c r="D92" s="6">
        <f>SUMIF(Source_PL!$A:$A,$A92,Source_PL!D:D)</f>
        <v>1091.4000000000001</v>
      </c>
      <c r="E92" s="6">
        <f>SUMIF(Source_PL!$A:$A,$A92,Source_PL!E:E)</f>
        <v>1944.54</v>
      </c>
      <c r="F92" s="6">
        <f>SUMIF(Source_PL!$A:$A,$A92,Source_PL!F:F)</f>
        <v>1331.97</v>
      </c>
      <c r="G92" s="6">
        <f>SUMIF(Source_PL!$A:$A,$A92,Source_PL!G:G)</f>
        <v>4771.1099999999997</v>
      </c>
      <c r="H92" s="6">
        <f>SUMIF(Source_PL!$A:$A,$A92,Source_PL!H:H)</f>
        <v>2246.25</v>
      </c>
      <c r="I92" s="6">
        <f>SUMIF(Source_PL!$A:$A,$A92,Source_PL!I:I)</f>
        <v>2854.09</v>
      </c>
      <c r="J92" s="6">
        <f>SUMIF(Source_PL!$A:$A,$A92,Source_PL!J:J)</f>
        <v>2860.83</v>
      </c>
      <c r="K92" s="6">
        <f>SUMIF(Source_PL!$A:$A,$A92,Source_PL!K:K)</f>
        <v>2941.16</v>
      </c>
      <c r="L92" s="6">
        <f>SUMIF(Source_PL!$A:$A,$A92,Source_PL!L:L)</f>
        <v>2038.49</v>
      </c>
      <c r="M92" s="6">
        <f>SUMIF(Source_PL!$A:$A,$A92,Source_PL!M:M)</f>
        <v>1828.98</v>
      </c>
      <c r="O92" s="6">
        <f t="shared" si="2"/>
        <v>28441.329999999998</v>
      </c>
    </row>
    <row r="93" spans="1:15" x14ac:dyDescent="0.25">
      <c r="A93" t="s">
        <v>161</v>
      </c>
      <c r="B93" s="6">
        <f>SUMIF(Source_PL!$A:$A,$A93,Source_PL!B:B)</f>
        <v>0</v>
      </c>
      <c r="C93" s="6">
        <f>SUMIF(Source_PL!$A:$A,$A93,Source_PL!C:C)</f>
        <v>0</v>
      </c>
      <c r="D93" s="6">
        <f>SUMIF(Source_PL!$A:$A,$A93,Source_PL!D:D)</f>
        <v>7735</v>
      </c>
      <c r="E93" s="6">
        <f>SUMIF(Source_PL!$A:$A,$A93,Source_PL!E:E)</f>
        <v>0</v>
      </c>
      <c r="F93" s="6">
        <f>SUMIF(Source_PL!$A:$A,$A93,Source_PL!F:F)</f>
        <v>0</v>
      </c>
      <c r="G93" s="6">
        <f>SUMIF(Source_PL!$A:$A,$A93,Source_PL!G:G)</f>
        <v>0</v>
      </c>
      <c r="H93" s="6">
        <f>SUMIF(Source_PL!$A:$A,$A93,Source_PL!H:H)</f>
        <v>0</v>
      </c>
      <c r="I93" s="6">
        <f>SUMIF(Source_PL!$A:$A,$A93,Source_PL!I:I)</f>
        <v>0</v>
      </c>
      <c r="J93" s="6">
        <f>SUMIF(Source_PL!$A:$A,$A93,Source_PL!J:J)</f>
        <v>0</v>
      </c>
      <c r="K93" s="6">
        <f>SUMIF(Source_PL!$A:$A,$A93,Source_PL!K:K)</f>
        <v>0</v>
      </c>
      <c r="L93" s="6">
        <f>SUMIF(Source_PL!$A:$A,$A93,Source_PL!L:L)</f>
        <v>0</v>
      </c>
      <c r="M93" s="6">
        <f>SUMIF(Source_PL!$A:$A,$A93,Source_PL!M:M)</f>
        <v>1515.22</v>
      </c>
      <c r="O93" s="6">
        <f t="shared" si="2"/>
        <v>9250.2199999999993</v>
      </c>
    </row>
    <row r="94" spans="1:15" x14ac:dyDescent="0.25">
      <c r="A94" t="s">
        <v>162</v>
      </c>
      <c r="B94" s="6">
        <f>SUMIF(Source_PL!$A:$A,$A94,Source_PL!B:B)</f>
        <v>0</v>
      </c>
      <c r="C94" s="6">
        <f>SUMIF(Source_PL!$A:$A,$A94,Source_PL!C:C)</f>
        <v>0</v>
      </c>
      <c r="D94" s="6">
        <f>SUMIF(Source_PL!$A:$A,$A94,Source_PL!D:D)</f>
        <v>0</v>
      </c>
      <c r="E94" s="6">
        <f>SUMIF(Source_PL!$A:$A,$A94,Source_PL!E:E)</f>
        <v>0</v>
      </c>
      <c r="F94" s="6">
        <f>SUMIF(Source_PL!$A:$A,$A94,Source_PL!F:F)</f>
        <v>-94.83</v>
      </c>
      <c r="G94" s="6">
        <f>SUMIF(Source_PL!$A:$A,$A94,Source_PL!G:G)</f>
        <v>-1337</v>
      </c>
      <c r="H94" s="6">
        <f>SUMIF(Source_PL!$A:$A,$A94,Source_PL!H:H)</f>
        <v>1431.83</v>
      </c>
      <c r="I94" s="6">
        <f>SUMIF(Source_PL!$A:$A,$A94,Source_PL!I:I)</f>
        <v>1515.22</v>
      </c>
      <c r="J94" s="6">
        <f>SUMIF(Source_PL!$A:$A,$A94,Source_PL!J:J)</f>
        <v>0</v>
      </c>
      <c r="K94" s="6">
        <f>SUMIF(Source_PL!$A:$A,$A94,Source_PL!K:K)</f>
        <v>0</v>
      </c>
      <c r="L94" s="6">
        <f>SUMIF(Source_PL!$A:$A,$A94,Source_PL!L:L)</f>
        <v>0</v>
      </c>
      <c r="M94" s="6">
        <f>SUMIF(Source_PL!$A:$A,$A94,Source_PL!M:M)</f>
        <v>-1465.22</v>
      </c>
      <c r="O94" s="6">
        <f t="shared" si="2"/>
        <v>50</v>
      </c>
    </row>
    <row r="95" spans="1:15" x14ac:dyDescent="0.25">
      <c r="A95" t="s">
        <v>163</v>
      </c>
      <c r="B95" s="6">
        <f>SUMIF(Source_PL!$A:$A,$A95,Source_PL!B:B)</f>
        <v>5088.1400000000003</v>
      </c>
      <c r="C95" s="6">
        <f>SUMIF(Source_PL!$A:$A,$A95,Source_PL!C:C)</f>
        <v>11421.73</v>
      </c>
      <c r="D95" s="6">
        <f>SUMIF(Source_PL!$A:$A,$A95,Source_PL!D:D)</f>
        <v>11097</v>
      </c>
      <c r="E95" s="6">
        <f>SUMIF(Source_PL!$A:$A,$A95,Source_PL!E:E)</f>
        <v>10390.030000000001</v>
      </c>
      <c r="F95" s="6">
        <f>SUMIF(Source_PL!$A:$A,$A95,Source_PL!F:F)</f>
        <v>9624.86</v>
      </c>
      <c r="G95" s="6">
        <f>SUMIF(Source_PL!$A:$A,$A95,Source_PL!G:G)</f>
        <v>8125.67</v>
      </c>
      <c r="H95" s="6">
        <f>SUMIF(Source_PL!$A:$A,$A95,Source_PL!H:H)</f>
        <v>8759.39</v>
      </c>
      <c r="I95" s="6">
        <f>SUMIF(Source_PL!$A:$A,$A95,Source_PL!I:I)</f>
        <v>-6056.77</v>
      </c>
      <c r="J95" s="6">
        <f>SUMIF(Source_PL!$A:$A,$A95,Source_PL!J:J)</f>
        <v>7768.49</v>
      </c>
      <c r="K95" s="6">
        <f>SUMIF(Source_PL!$A:$A,$A95,Source_PL!K:K)</f>
        <v>8443.31</v>
      </c>
      <c r="L95" s="6">
        <f>SUMIF(Source_PL!$A:$A,$A95,Source_PL!L:L)</f>
        <v>6688.87</v>
      </c>
      <c r="M95" s="6">
        <f>SUMIF(Source_PL!$A:$A,$A95,Source_PL!M:M)</f>
        <v>5698.23</v>
      </c>
      <c r="O95" s="6">
        <f t="shared" si="2"/>
        <v>87048.95</v>
      </c>
    </row>
    <row r="96" spans="1:15" x14ac:dyDescent="0.25">
      <c r="A96" s="7" t="s">
        <v>164</v>
      </c>
      <c r="B96" s="9">
        <f>SUMIF(Source_PL!$A:$A,$A96,Source_PL!B:B)</f>
        <v>274944.03999999998</v>
      </c>
      <c r="C96" s="9">
        <f>SUMIF(Source_PL!$A:$A,$A96,Source_PL!C:C)</f>
        <v>253453.25999999989</v>
      </c>
      <c r="D96" s="9">
        <f>SUMIF(Source_PL!$A:$A,$A96,Source_PL!D:D)</f>
        <v>421980.36</v>
      </c>
      <c r="E96" s="9">
        <f>SUMIF(Source_PL!$A:$A,$A96,Source_PL!E:E)</f>
        <v>257236.40000000011</v>
      </c>
      <c r="F96" s="9">
        <f>SUMIF(Source_PL!$A:$A,$A96,Source_PL!F:F)</f>
        <v>283626.78999999998</v>
      </c>
      <c r="G96" s="9">
        <f>SUMIF(Source_PL!$A:$A,$A96,Source_PL!G:G)</f>
        <v>251404.9199999999</v>
      </c>
      <c r="H96" s="9">
        <f>SUMIF(Source_PL!$A:$A,$A96,Source_PL!H:H)</f>
        <v>316493.51</v>
      </c>
      <c r="I96" s="9">
        <f>SUMIF(Source_PL!$A:$A,$A96,Source_PL!I:I)</f>
        <v>348565.39000000007</v>
      </c>
      <c r="J96" s="9">
        <f>SUMIF(Source_PL!$A:$A,$A96,Source_PL!J:J)</f>
        <v>249349.02</v>
      </c>
      <c r="K96" s="9">
        <f>SUMIF(Source_PL!$A:$A,$A96,Source_PL!K:K)</f>
        <v>233275.09</v>
      </c>
      <c r="L96" s="9">
        <f>SUMIF(Source_PL!$A:$A,$A96,Source_PL!L:L)</f>
        <v>298075.75</v>
      </c>
      <c r="M96" s="9">
        <f>SUMIF(Source_PL!$A:$A,$A96,Source_PL!M:M)</f>
        <v>609603.90000000014</v>
      </c>
      <c r="N96" s="8"/>
      <c r="O96" s="9">
        <f t="shared" si="2"/>
        <v>3798008.4299999997</v>
      </c>
    </row>
    <row r="97" spans="1:15" x14ac:dyDescent="0.25">
      <c r="A97" t="s">
        <v>165</v>
      </c>
      <c r="B97" s="6">
        <f>SUMIF(Source_PL!$A:$A,$A97,Source_PL!B:B)</f>
        <v>-541938.17999999993</v>
      </c>
      <c r="C97" s="6">
        <f>SUMIF(Source_PL!$A:$A,$A97,Source_PL!C:C)</f>
        <v>-173718.43999999989</v>
      </c>
      <c r="D97" s="6">
        <f>SUMIF(Source_PL!$A:$A,$A97,Source_PL!D:D)</f>
        <v>239763.25000000009</v>
      </c>
      <c r="E97" s="6">
        <f>SUMIF(Source_PL!$A:$A,$A97,Source_PL!E:E)</f>
        <v>-43761.250000000087</v>
      </c>
      <c r="F97" s="6">
        <f>SUMIF(Source_PL!$A:$A,$A97,Source_PL!F:F)</f>
        <v>74515.73000000004</v>
      </c>
      <c r="G97" s="6">
        <f>SUMIF(Source_PL!$A:$A,$A97,Source_PL!G:G)</f>
        <v>13486.59000000008</v>
      </c>
      <c r="H97" s="6">
        <f>SUMIF(Source_PL!$A:$A,$A97,Source_PL!H:H)</f>
        <v>-4721.8999999999069</v>
      </c>
      <c r="I97" s="6">
        <f>SUMIF(Source_PL!$A:$A,$A97,Source_PL!I:I)</f>
        <v>-82622.280000000144</v>
      </c>
      <c r="J97" s="6">
        <f>SUMIF(Source_PL!$A:$A,$A97,Source_PL!J:J)</f>
        <v>55609.870000000054</v>
      </c>
      <c r="K97" s="6">
        <f>SUMIF(Source_PL!$A:$A,$A97,Source_PL!K:K)</f>
        <v>-100669.09</v>
      </c>
      <c r="L97" s="6">
        <f>SUMIF(Source_PL!$A:$A,$A97,Source_PL!L:L)</f>
        <v>86865.290000000037</v>
      </c>
      <c r="M97" s="6">
        <f>SUMIF(Source_PL!$A:$A,$A97,Source_PL!M:M)</f>
        <v>-118345.6800000002</v>
      </c>
      <c r="O97" s="6">
        <f t="shared" si="2"/>
        <v>-595536.08999999985</v>
      </c>
    </row>
    <row r="98" spans="1:15" x14ac:dyDescent="0.25">
      <c r="A98" t="s">
        <v>166</v>
      </c>
      <c r="B98" s="6">
        <f>SUMIF(Source_PL!$A:$A,$A98,Source_PL!B:B)</f>
        <v>0</v>
      </c>
      <c r="C98" s="6">
        <f>SUMIF(Source_PL!$A:$A,$A98,Source_PL!C:C)</f>
        <v>0</v>
      </c>
      <c r="D98" s="6">
        <f>SUMIF(Source_PL!$A:$A,$A98,Source_PL!D:D)</f>
        <v>0</v>
      </c>
      <c r="E98" s="6">
        <f>SUMIF(Source_PL!$A:$A,$A98,Source_PL!E:E)</f>
        <v>0</v>
      </c>
      <c r="F98" s="6">
        <f>SUMIF(Source_PL!$A:$A,$A98,Source_PL!F:F)</f>
        <v>0</v>
      </c>
      <c r="G98" s="6">
        <f>SUMIF(Source_PL!$A:$A,$A98,Source_PL!G:G)</f>
        <v>0</v>
      </c>
      <c r="H98" s="6">
        <f>SUMIF(Source_PL!$A:$A,$A98,Source_PL!H:H)</f>
        <v>0</v>
      </c>
      <c r="I98" s="6">
        <f>SUMIF(Source_PL!$A:$A,$A98,Source_PL!I:I)</f>
        <v>0</v>
      </c>
      <c r="J98" s="6">
        <f>SUMIF(Source_PL!$A:$A,$A98,Source_PL!J:J)</f>
        <v>0</v>
      </c>
      <c r="K98" s="6">
        <f>SUMIF(Source_PL!$A:$A,$A98,Source_PL!K:K)</f>
        <v>0</v>
      </c>
      <c r="L98" s="6">
        <f>SUMIF(Source_PL!$A:$A,$A98,Source_PL!L:L)</f>
        <v>0</v>
      </c>
      <c r="M98" s="6">
        <f>SUMIF(Source_PL!$A:$A,$A98,Source_PL!M:M)</f>
        <v>0</v>
      </c>
      <c r="O98" s="6">
        <f t="shared" si="2"/>
        <v>0</v>
      </c>
    </row>
    <row r="99" spans="1:15" x14ac:dyDescent="0.25">
      <c r="A99" t="s">
        <v>167</v>
      </c>
      <c r="B99" s="6">
        <f>SUMIF(Source_PL!$A:$A,$A99,Source_PL!B:B)</f>
        <v>1469</v>
      </c>
      <c r="C99" s="6">
        <f>SUMIF(Source_PL!$A:$A,$A99,Source_PL!C:C)</f>
        <v>0</v>
      </c>
      <c r="D99" s="6">
        <f>SUMIF(Source_PL!$A:$A,$A99,Source_PL!D:D)</f>
        <v>0</v>
      </c>
      <c r="E99" s="6">
        <f>SUMIF(Source_PL!$A:$A,$A99,Source_PL!E:E)</f>
        <v>0</v>
      </c>
      <c r="F99" s="6">
        <f>SUMIF(Source_PL!$A:$A,$A99,Source_PL!F:F)</f>
        <v>0</v>
      </c>
      <c r="G99" s="6">
        <f>SUMIF(Source_PL!$A:$A,$A99,Source_PL!G:G)</f>
        <v>0</v>
      </c>
      <c r="H99" s="6">
        <f>SUMIF(Source_PL!$A:$A,$A99,Source_PL!H:H)</f>
        <v>0</v>
      </c>
      <c r="I99" s="6">
        <f>SUMIF(Source_PL!$A:$A,$A99,Source_PL!I:I)</f>
        <v>0</v>
      </c>
      <c r="J99" s="6">
        <f>SUMIF(Source_PL!$A:$A,$A99,Source_PL!J:J)</f>
        <v>0</v>
      </c>
      <c r="K99" s="6">
        <f>SUMIF(Source_PL!$A:$A,$A99,Source_PL!K:K)</f>
        <v>41273.56</v>
      </c>
      <c r="L99" s="6">
        <f>SUMIF(Source_PL!$A:$A,$A99,Source_PL!L:L)</f>
        <v>0</v>
      </c>
      <c r="M99" s="6">
        <f>SUMIF(Source_PL!$A:$A,$A99,Source_PL!M:M)</f>
        <v>0</v>
      </c>
      <c r="O99" s="6">
        <f t="shared" si="2"/>
        <v>42742.559999999998</v>
      </c>
    </row>
    <row r="100" spans="1:15" x14ac:dyDescent="0.25">
      <c r="A100" s="7" t="s">
        <v>168</v>
      </c>
      <c r="B100" s="9">
        <f>SUMIF(Source_PL!$A:$A,$A100,Source_PL!B:B)</f>
        <v>1469</v>
      </c>
      <c r="C100" s="9">
        <f>SUMIF(Source_PL!$A:$A,$A100,Source_PL!C:C)</f>
        <v>0</v>
      </c>
      <c r="D100" s="9">
        <f>SUMIF(Source_PL!$A:$A,$A100,Source_PL!D:D)</f>
        <v>0</v>
      </c>
      <c r="E100" s="9">
        <f>SUMIF(Source_PL!$A:$A,$A100,Source_PL!E:E)</f>
        <v>0</v>
      </c>
      <c r="F100" s="9">
        <f>SUMIF(Source_PL!$A:$A,$A100,Source_PL!F:F)</f>
        <v>0</v>
      </c>
      <c r="G100" s="9">
        <f>SUMIF(Source_PL!$A:$A,$A100,Source_PL!G:G)</f>
        <v>0</v>
      </c>
      <c r="H100" s="9">
        <f>SUMIF(Source_PL!$A:$A,$A100,Source_PL!H:H)</f>
        <v>0</v>
      </c>
      <c r="I100" s="9">
        <f>SUMIF(Source_PL!$A:$A,$A100,Source_PL!I:I)</f>
        <v>0</v>
      </c>
      <c r="J100" s="9">
        <f>SUMIF(Source_PL!$A:$A,$A100,Source_PL!J:J)</f>
        <v>0</v>
      </c>
      <c r="K100" s="9">
        <f>SUMIF(Source_PL!$A:$A,$A100,Source_PL!K:K)</f>
        <v>41273.56</v>
      </c>
      <c r="L100" s="9">
        <f>SUMIF(Source_PL!$A:$A,$A100,Source_PL!L:L)</f>
        <v>0</v>
      </c>
      <c r="M100" s="9">
        <f>SUMIF(Source_PL!$A:$A,$A100,Source_PL!M:M)</f>
        <v>0</v>
      </c>
      <c r="N100" s="8"/>
      <c r="O100" s="9">
        <f t="shared" si="2"/>
        <v>42742.559999999998</v>
      </c>
    </row>
    <row r="101" spans="1:15" x14ac:dyDescent="0.25">
      <c r="A101" t="s">
        <v>169</v>
      </c>
      <c r="B101" s="6">
        <f>SUMIF(Source_PL!$A:$A,$A101,Source_PL!B:B)</f>
        <v>0</v>
      </c>
      <c r="C101" s="6">
        <f>SUMIF(Source_PL!$A:$A,$A101,Source_PL!C:C)</f>
        <v>0</v>
      </c>
      <c r="D101" s="6">
        <f>SUMIF(Source_PL!$A:$A,$A101,Source_PL!D:D)</f>
        <v>0</v>
      </c>
      <c r="E101" s="6">
        <f>SUMIF(Source_PL!$A:$A,$A101,Source_PL!E:E)</f>
        <v>0</v>
      </c>
      <c r="F101" s="6">
        <f>SUMIF(Source_PL!$A:$A,$A101,Source_PL!F:F)</f>
        <v>0</v>
      </c>
      <c r="G101" s="6">
        <f>SUMIF(Source_PL!$A:$A,$A101,Source_PL!G:G)</f>
        <v>0</v>
      </c>
      <c r="H101" s="6">
        <f>SUMIF(Source_PL!$A:$A,$A101,Source_PL!H:H)</f>
        <v>0</v>
      </c>
      <c r="I101" s="6">
        <f>SUMIF(Source_PL!$A:$A,$A101,Source_PL!I:I)</f>
        <v>0</v>
      </c>
      <c r="J101" s="6">
        <f>SUMIF(Source_PL!$A:$A,$A101,Source_PL!J:J)</f>
        <v>0</v>
      </c>
      <c r="K101" s="6">
        <f>SUMIF(Source_PL!$A:$A,$A101,Source_PL!K:K)</f>
        <v>0</v>
      </c>
      <c r="L101" s="6">
        <f>SUMIF(Source_PL!$A:$A,$A101,Source_PL!L:L)</f>
        <v>0</v>
      </c>
      <c r="M101" s="6">
        <f>SUMIF(Source_PL!$A:$A,$A101,Source_PL!M:M)</f>
        <v>0</v>
      </c>
      <c r="O101" s="6">
        <f t="shared" si="2"/>
        <v>0</v>
      </c>
    </row>
    <row r="102" spans="1:15" x14ac:dyDescent="0.25">
      <c r="A102" t="s">
        <v>170</v>
      </c>
      <c r="B102" s="6">
        <f>SUMIF(Source_PL!$A:$A,$A102,Source_PL!B:B)</f>
        <v>0</v>
      </c>
      <c r="C102" s="6">
        <f>SUMIF(Source_PL!$A:$A,$A102,Source_PL!C:C)</f>
        <v>0</v>
      </c>
      <c r="D102" s="6">
        <f>SUMIF(Source_PL!$A:$A,$A102,Source_PL!D:D)</f>
        <v>0</v>
      </c>
      <c r="E102" s="6">
        <f>SUMIF(Source_PL!$A:$A,$A102,Source_PL!E:E)</f>
        <v>0</v>
      </c>
      <c r="F102" s="6">
        <f>SUMIF(Source_PL!$A:$A,$A102,Source_PL!F:F)</f>
        <v>0</v>
      </c>
      <c r="G102" s="6">
        <f>SUMIF(Source_PL!$A:$A,$A102,Source_PL!G:G)</f>
        <v>0</v>
      </c>
      <c r="H102" s="6">
        <f>SUMIF(Source_PL!$A:$A,$A102,Source_PL!H:H)</f>
        <v>0</v>
      </c>
      <c r="I102" s="6">
        <f>SUMIF(Source_PL!$A:$A,$A102,Source_PL!I:I)</f>
        <v>0</v>
      </c>
      <c r="J102" s="6">
        <f>SUMIF(Source_PL!$A:$A,$A102,Source_PL!J:J)</f>
        <v>0</v>
      </c>
      <c r="K102" s="6">
        <f>SUMIF(Source_PL!$A:$A,$A102,Source_PL!K:K)</f>
        <v>0</v>
      </c>
      <c r="L102" s="6">
        <f>SUMIF(Source_PL!$A:$A,$A102,Source_PL!L:L)</f>
        <v>0</v>
      </c>
      <c r="M102" s="6">
        <f>SUMIF(Source_PL!$A:$A,$A102,Source_PL!M:M)</f>
        <v>71836.210000000006</v>
      </c>
      <c r="O102" s="6">
        <f t="shared" si="2"/>
        <v>71836.210000000006</v>
      </c>
    </row>
    <row r="103" spans="1:15" x14ac:dyDescent="0.25">
      <c r="A103" s="7" t="s">
        <v>171</v>
      </c>
      <c r="B103" s="9">
        <f>SUMIF(Source_PL!$A:$A,$A103,Source_PL!B:B)</f>
        <v>0</v>
      </c>
      <c r="C103" s="9">
        <f>SUMIF(Source_PL!$A:$A,$A103,Source_PL!C:C)</f>
        <v>0</v>
      </c>
      <c r="D103" s="9">
        <f>SUMIF(Source_PL!$A:$A,$A103,Source_PL!D:D)</f>
        <v>0</v>
      </c>
      <c r="E103" s="9">
        <f>SUMIF(Source_PL!$A:$A,$A103,Source_PL!E:E)</f>
        <v>0</v>
      </c>
      <c r="F103" s="9">
        <f>SUMIF(Source_PL!$A:$A,$A103,Source_PL!F:F)</f>
        <v>0</v>
      </c>
      <c r="G103" s="9">
        <f>SUMIF(Source_PL!$A:$A,$A103,Source_PL!G:G)</f>
        <v>0</v>
      </c>
      <c r="H103" s="9">
        <f>SUMIF(Source_PL!$A:$A,$A103,Source_PL!H:H)</f>
        <v>0</v>
      </c>
      <c r="I103" s="9">
        <f>SUMIF(Source_PL!$A:$A,$A103,Source_PL!I:I)</f>
        <v>0</v>
      </c>
      <c r="J103" s="9">
        <f>SUMIF(Source_PL!$A:$A,$A103,Source_PL!J:J)</f>
        <v>0</v>
      </c>
      <c r="K103" s="9">
        <f>SUMIF(Source_PL!$A:$A,$A103,Source_PL!K:K)</f>
        <v>0</v>
      </c>
      <c r="L103" s="9">
        <f>SUMIF(Source_PL!$A:$A,$A103,Source_PL!L:L)</f>
        <v>0</v>
      </c>
      <c r="M103" s="9">
        <f>SUMIF(Source_PL!$A:$A,$A103,Source_PL!M:M)</f>
        <v>71836.210000000006</v>
      </c>
      <c r="N103" s="8"/>
      <c r="O103" s="9">
        <f t="shared" si="2"/>
        <v>71836.210000000006</v>
      </c>
    </row>
    <row r="104" spans="1:15" x14ac:dyDescent="0.25">
      <c r="A104" t="s">
        <v>172</v>
      </c>
      <c r="B104" s="6">
        <f>SUMIF(Source_PL!$A:$A,$A104,Source_PL!B:B)</f>
        <v>1469</v>
      </c>
      <c r="C104" s="6">
        <f>SUMIF(Source_PL!$A:$A,$A104,Source_PL!C:C)</f>
        <v>0</v>
      </c>
      <c r="D104" s="6">
        <f>SUMIF(Source_PL!$A:$A,$A104,Source_PL!D:D)</f>
        <v>0</v>
      </c>
      <c r="E104" s="6">
        <f>SUMIF(Source_PL!$A:$A,$A104,Source_PL!E:E)</f>
        <v>0</v>
      </c>
      <c r="F104" s="6">
        <f>SUMIF(Source_PL!$A:$A,$A104,Source_PL!F:F)</f>
        <v>0</v>
      </c>
      <c r="G104" s="6">
        <f>SUMIF(Source_PL!$A:$A,$A104,Source_PL!G:G)</f>
        <v>0</v>
      </c>
      <c r="H104" s="6">
        <f>SUMIF(Source_PL!$A:$A,$A104,Source_PL!H:H)</f>
        <v>0</v>
      </c>
      <c r="I104" s="6">
        <f>SUMIF(Source_PL!$A:$A,$A104,Source_PL!I:I)</f>
        <v>0</v>
      </c>
      <c r="J104" s="6">
        <f>SUMIF(Source_PL!$A:$A,$A104,Source_PL!J:J)</f>
        <v>0</v>
      </c>
      <c r="K104" s="6">
        <f>SUMIF(Source_PL!$A:$A,$A104,Source_PL!K:K)</f>
        <v>41273.56</v>
      </c>
      <c r="L104" s="6">
        <f>SUMIF(Source_PL!$A:$A,$A104,Source_PL!L:L)</f>
        <v>0</v>
      </c>
      <c r="M104" s="6">
        <f>SUMIF(Source_PL!$A:$A,$A104,Source_PL!M:M)</f>
        <v>-71836.210000000006</v>
      </c>
      <c r="O104" s="6">
        <f t="shared" si="2"/>
        <v>-29093.650000000009</v>
      </c>
    </row>
    <row r="105" spans="1:15" x14ac:dyDescent="0.25">
      <c r="A105" s="7" t="s">
        <v>5</v>
      </c>
      <c r="B105" s="9">
        <f>SUMIF(Source_PL!$A:$A,$A105,Source_PL!B:B)</f>
        <v>-540469.17999999993</v>
      </c>
      <c r="C105" s="9">
        <f>SUMIF(Source_PL!$A:$A,$A105,Source_PL!C:C)</f>
        <v>-173718.43999999989</v>
      </c>
      <c r="D105" s="9">
        <f>SUMIF(Source_PL!$A:$A,$A105,Source_PL!D:D)</f>
        <v>239763.25000000009</v>
      </c>
      <c r="E105" s="9">
        <f>SUMIF(Source_PL!$A:$A,$A105,Source_PL!E:E)</f>
        <v>-43761.250000000087</v>
      </c>
      <c r="F105" s="9">
        <f>SUMIF(Source_PL!$A:$A,$A105,Source_PL!F:F)</f>
        <v>74515.73000000004</v>
      </c>
      <c r="G105" s="9">
        <f>SUMIF(Source_PL!$A:$A,$A105,Source_PL!G:G)</f>
        <v>13486.59000000008</v>
      </c>
      <c r="H105" s="9">
        <f>SUMIF(Source_PL!$A:$A,$A105,Source_PL!H:H)</f>
        <v>-4721.8999999999069</v>
      </c>
      <c r="I105" s="9">
        <f>SUMIF(Source_PL!$A:$A,$A105,Source_PL!I:I)</f>
        <v>-82622.280000000144</v>
      </c>
      <c r="J105" s="9">
        <f>SUMIF(Source_PL!$A:$A,$A105,Source_PL!J:J)</f>
        <v>55609.870000000054</v>
      </c>
      <c r="K105" s="9">
        <f>SUMIF(Source_PL!$A:$A,$A105,Source_PL!K:K)</f>
        <v>-59395.530000000028</v>
      </c>
      <c r="L105" s="9">
        <f>SUMIF(Source_PL!$A:$A,$A105,Source_PL!L:L)</f>
        <v>86865.290000000037</v>
      </c>
      <c r="M105" s="9">
        <f>SUMIF(Source_PL!$A:$A,$A105,Source_PL!M:M)</f>
        <v>-190181.89000000019</v>
      </c>
      <c r="N105" s="8"/>
      <c r="O105" s="9">
        <f t="shared" si="2"/>
        <v>-624629.74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M122"/>
  <sheetViews>
    <sheetView workbookViewId="0"/>
  </sheetViews>
  <sheetFormatPr defaultRowHeight="15" x14ac:dyDescent="0.25"/>
  <cols>
    <col min="1" max="1" width="69.42578125" bestFit="1" customWidth="1"/>
    <col min="2" max="12" width="9.85546875" bestFit="1" customWidth="1"/>
  </cols>
  <sheetData>
    <row r="1" spans="1:13" ht="18.75" customHeight="1" x14ac:dyDescent="0.3">
      <c r="A1" s="3" t="s">
        <v>0</v>
      </c>
    </row>
    <row r="2" spans="1:13" x14ac:dyDescent="0.25">
      <c r="A2" s="4" t="s">
        <v>291</v>
      </c>
    </row>
    <row r="4" spans="1:13" x14ac:dyDescent="0.25">
      <c r="A4" s="4" t="s">
        <v>73</v>
      </c>
      <c r="B4" s="5">
        <v>45292</v>
      </c>
      <c r="C4" s="5">
        <v>45323</v>
      </c>
      <c r="D4" s="5">
        <v>45352</v>
      </c>
      <c r="E4" s="5">
        <v>45383</v>
      </c>
      <c r="F4" s="5">
        <v>45413</v>
      </c>
      <c r="G4" s="5">
        <v>45444</v>
      </c>
      <c r="H4" s="5">
        <v>45474</v>
      </c>
      <c r="I4" s="5">
        <v>45505</v>
      </c>
      <c r="J4" s="5">
        <v>45536</v>
      </c>
      <c r="K4" s="5">
        <v>45566</v>
      </c>
      <c r="L4" s="5">
        <v>45597</v>
      </c>
      <c r="M4" s="5">
        <v>45627</v>
      </c>
    </row>
    <row r="5" spans="1:13" x14ac:dyDescent="0.25">
      <c r="A5" t="s">
        <v>173</v>
      </c>
      <c r="B5" s="6">
        <f>SUMIF(Source_BS!$A:$A,$A5,Source_BS!B:B)</f>
        <v>0</v>
      </c>
      <c r="C5" s="6">
        <f>SUMIF(Source_BS!$A:$A,$A5,Source_BS!C:C)</f>
        <v>0</v>
      </c>
      <c r="D5" s="6">
        <f>SUMIF(Source_BS!$A:$A,$A5,Source_BS!D:D)</f>
        <v>0</v>
      </c>
      <c r="E5" s="6">
        <f>SUMIF(Source_BS!$A:$A,$A5,Source_BS!E:E)</f>
        <v>0</v>
      </c>
      <c r="F5" s="6">
        <f>SUMIF(Source_BS!$A:$A,$A5,Source_BS!F:F)</f>
        <v>0</v>
      </c>
      <c r="G5" s="6">
        <f>SUMIF(Source_BS!$A:$A,$A5,Source_BS!G:G)</f>
        <v>0</v>
      </c>
      <c r="H5" s="6">
        <f>SUMIF(Source_BS!$A:$A,$A5,Source_BS!H:H)</f>
        <v>0</v>
      </c>
      <c r="I5" s="6">
        <f>SUMIF(Source_BS!$A:$A,$A5,Source_BS!I:I)</f>
        <v>0</v>
      </c>
      <c r="J5" s="6">
        <f>SUMIF(Source_BS!$A:$A,$A5,Source_BS!J:J)</f>
        <v>0</v>
      </c>
      <c r="K5" s="6">
        <f>SUMIF(Source_BS!$A:$A,$A5,Source_BS!K:K)</f>
        <v>0</v>
      </c>
      <c r="L5" s="6">
        <f>SUMIF(Source_BS!$A:$A,$A5,Source_BS!L:L)</f>
        <v>0</v>
      </c>
      <c r="M5" s="6">
        <f>SUMIF(Source_BS!$A:$A,$A5,Source_BS!M:M)</f>
        <v>0</v>
      </c>
    </row>
    <row r="6" spans="1:13" x14ac:dyDescent="0.25">
      <c r="A6" t="s">
        <v>174</v>
      </c>
      <c r="B6" s="6">
        <f>SUMIF(Source_BS!$A:$A,$A6,Source_BS!B:B)</f>
        <v>0</v>
      </c>
      <c r="C6" s="6">
        <f>SUMIF(Source_BS!$A:$A,$A6,Source_BS!C:C)</f>
        <v>0</v>
      </c>
      <c r="D6" s="6">
        <f>SUMIF(Source_BS!$A:$A,$A6,Source_BS!D:D)</f>
        <v>0</v>
      </c>
      <c r="E6" s="6">
        <f>SUMIF(Source_BS!$A:$A,$A6,Source_BS!E:E)</f>
        <v>0</v>
      </c>
      <c r="F6" s="6">
        <f>SUMIF(Source_BS!$A:$A,$A6,Source_BS!F:F)</f>
        <v>0</v>
      </c>
      <c r="G6" s="6">
        <f>SUMIF(Source_BS!$A:$A,$A6,Source_BS!G:G)</f>
        <v>0</v>
      </c>
      <c r="H6" s="6">
        <f>SUMIF(Source_BS!$A:$A,$A6,Source_BS!H:H)</f>
        <v>0</v>
      </c>
      <c r="I6" s="6">
        <f>SUMIF(Source_BS!$A:$A,$A6,Source_BS!I:I)</f>
        <v>0</v>
      </c>
      <c r="J6" s="6">
        <f>SUMIF(Source_BS!$A:$A,$A6,Source_BS!J:J)</f>
        <v>0</v>
      </c>
      <c r="K6" s="6">
        <f>SUMIF(Source_BS!$A:$A,$A6,Source_BS!K:K)</f>
        <v>0</v>
      </c>
      <c r="L6" s="6">
        <f>SUMIF(Source_BS!$A:$A,$A6,Source_BS!L:L)</f>
        <v>0</v>
      </c>
      <c r="M6" s="6">
        <f>SUMIF(Source_BS!$A:$A,$A6,Source_BS!M:M)</f>
        <v>0</v>
      </c>
    </row>
    <row r="7" spans="1:13" x14ac:dyDescent="0.25">
      <c r="A7" t="s">
        <v>175</v>
      </c>
      <c r="B7" s="6">
        <f>SUMIF(Source_BS!$A:$A,$A7,Source_BS!B:B)</f>
        <v>0</v>
      </c>
      <c r="C7" s="6">
        <f>SUMIF(Source_BS!$A:$A,$A7,Source_BS!C:C)</f>
        <v>0</v>
      </c>
      <c r="D7" s="6">
        <f>SUMIF(Source_BS!$A:$A,$A7,Source_BS!D:D)</f>
        <v>0</v>
      </c>
      <c r="E7" s="6">
        <f>SUMIF(Source_BS!$A:$A,$A7,Source_BS!E:E)</f>
        <v>0</v>
      </c>
      <c r="F7" s="6">
        <f>SUMIF(Source_BS!$A:$A,$A7,Source_BS!F:F)</f>
        <v>0</v>
      </c>
      <c r="G7" s="6">
        <f>SUMIF(Source_BS!$A:$A,$A7,Source_BS!G:G)</f>
        <v>0</v>
      </c>
      <c r="H7" s="6">
        <f>SUMIF(Source_BS!$A:$A,$A7,Source_BS!H:H)</f>
        <v>0</v>
      </c>
      <c r="I7" s="6">
        <f>SUMIF(Source_BS!$A:$A,$A7,Source_BS!I:I)</f>
        <v>0</v>
      </c>
      <c r="J7" s="6">
        <f>SUMIF(Source_BS!$A:$A,$A7,Source_BS!J:J)</f>
        <v>0</v>
      </c>
      <c r="K7" s="6">
        <f>SUMIF(Source_BS!$A:$A,$A7,Source_BS!K:K)</f>
        <v>0</v>
      </c>
      <c r="L7" s="6">
        <f>SUMIF(Source_BS!$A:$A,$A7,Source_BS!L:L)</f>
        <v>0</v>
      </c>
      <c r="M7" s="6">
        <f>SUMIF(Source_BS!$A:$A,$A7,Source_BS!M:M)</f>
        <v>0</v>
      </c>
    </row>
    <row r="8" spans="1:13" x14ac:dyDescent="0.25">
      <c r="A8" t="s">
        <v>176</v>
      </c>
      <c r="B8" s="6">
        <f>SUMIF(Source_BS!$A:$A,$A8,Source_BS!B:B)</f>
        <v>170906.45</v>
      </c>
      <c r="C8" s="6">
        <f>SUMIF(Source_BS!$A:$A,$A8,Source_BS!C:C)</f>
        <v>38882.110000000022</v>
      </c>
      <c r="D8" s="6">
        <f>SUMIF(Source_BS!$A:$A,$A8,Source_BS!D:D)</f>
        <v>266297.2</v>
      </c>
      <c r="E8" s="6">
        <f>SUMIF(Source_BS!$A:$A,$A8,Source_BS!E:E)</f>
        <v>199553.96</v>
      </c>
      <c r="F8" s="6">
        <f>SUMIF(Source_BS!$A:$A,$A8,Source_BS!F:F)</f>
        <v>85836.180000000022</v>
      </c>
      <c r="G8" s="6">
        <f>SUMIF(Source_BS!$A:$A,$A8,Source_BS!G:G)</f>
        <v>95201.500000000029</v>
      </c>
      <c r="H8" s="6">
        <f>SUMIF(Source_BS!$A:$A,$A8,Source_BS!H:H)</f>
        <v>130676.08</v>
      </c>
      <c r="I8" s="6">
        <f>SUMIF(Source_BS!$A:$A,$A8,Source_BS!I:I)</f>
        <v>119943.55</v>
      </c>
      <c r="J8" s="6">
        <f>SUMIF(Source_BS!$A:$A,$A8,Source_BS!J:J)</f>
        <v>46425.340000000033</v>
      </c>
      <c r="K8" s="6">
        <f>SUMIF(Source_BS!$A:$A,$A8,Source_BS!K:K)</f>
        <v>-8497.9399999999732</v>
      </c>
      <c r="L8" s="6">
        <f>SUMIF(Source_BS!$A:$A,$A8,Source_BS!L:L)</f>
        <v>81723.61000000003</v>
      </c>
      <c r="M8" s="6">
        <f>SUMIF(Source_BS!$A:$A,$A8,Source_BS!M:M)</f>
        <v>88856.630000000034</v>
      </c>
    </row>
    <row r="9" spans="1:13" x14ac:dyDescent="0.25">
      <c r="A9" t="s">
        <v>177</v>
      </c>
      <c r="B9" s="6">
        <f>SUMIF(Source_BS!$A:$A,$A9,Source_BS!B:B)</f>
        <v>67327.539999999994</v>
      </c>
      <c r="C9" s="6">
        <f>SUMIF(Source_BS!$A:$A,$A9,Source_BS!C:C)</f>
        <v>111570.9</v>
      </c>
      <c r="D9" s="6">
        <f>SUMIF(Source_BS!$A:$A,$A9,Source_BS!D:D)</f>
        <v>44014.39</v>
      </c>
      <c r="E9" s="6">
        <f>SUMIF(Source_BS!$A:$A,$A9,Source_BS!E:E)</f>
        <v>27414.66</v>
      </c>
      <c r="F9" s="6">
        <f>SUMIF(Source_BS!$A:$A,$A9,Source_BS!F:F)</f>
        <v>19608.72</v>
      </c>
      <c r="G9" s="6">
        <f>SUMIF(Source_BS!$A:$A,$A9,Source_BS!G:G)</f>
        <v>30857.88</v>
      </c>
      <c r="H9" s="6">
        <f>SUMIF(Source_BS!$A:$A,$A9,Source_BS!H:H)</f>
        <v>40649.64</v>
      </c>
      <c r="I9" s="6">
        <f>SUMIF(Source_BS!$A:$A,$A9,Source_BS!I:I)</f>
        <v>74883.38</v>
      </c>
      <c r="J9" s="6">
        <f>SUMIF(Source_BS!$A:$A,$A9,Source_BS!J:J)</f>
        <v>85720.77</v>
      </c>
      <c r="K9" s="6">
        <f>SUMIF(Source_BS!$A:$A,$A9,Source_BS!K:K)</f>
        <v>71650.02</v>
      </c>
      <c r="L9" s="6">
        <f>SUMIF(Source_BS!$A:$A,$A9,Source_BS!L:L)</f>
        <v>84307.650000000009</v>
      </c>
      <c r="M9" s="6">
        <f>SUMIF(Source_BS!$A:$A,$A9,Source_BS!M:M)</f>
        <v>220900.89</v>
      </c>
    </row>
    <row r="10" spans="1:13" x14ac:dyDescent="0.25">
      <c r="A10" t="s">
        <v>178</v>
      </c>
      <c r="B10" s="6">
        <f>SUMIF(Source_BS!$A:$A,$A10,Source_BS!B:B)</f>
        <v>576.74000000001979</v>
      </c>
      <c r="C10" s="6">
        <f>SUMIF(Source_BS!$A:$A,$A10,Source_BS!C:C)</f>
        <v>576.74000000001979</v>
      </c>
      <c r="D10" s="6">
        <f>SUMIF(Source_BS!$A:$A,$A10,Source_BS!D:D)</f>
        <v>576.74000000001979</v>
      </c>
      <c r="E10" s="6">
        <f>SUMIF(Source_BS!$A:$A,$A10,Source_BS!E:E)</f>
        <v>576.74000000001979</v>
      </c>
      <c r="F10" s="6">
        <f>SUMIF(Source_BS!$A:$A,$A10,Source_BS!F:F)</f>
        <v>152576.74</v>
      </c>
      <c r="G10" s="6">
        <f>SUMIF(Source_BS!$A:$A,$A10,Source_BS!G:G)</f>
        <v>576.74000000001979</v>
      </c>
      <c r="H10" s="6">
        <f>SUMIF(Source_BS!$A:$A,$A10,Source_BS!H:H)</f>
        <v>576.74000000001979</v>
      </c>
      <c r="I10" s="6">
        <f>SUMIF(Source_BS!$A:$A,$A10,Source_BS!I:I)</f>
        <v>576.74000000001979</v>
      </c>
      <c r="J10" s="6">
        <f>SUMIF(Source_BS!$A:$A,$A10,Source_BS!J:J)</f>
        <v>576.74000000001979</v>
      </c>
      <c r="K10" s="6">
        <f>SUMIF(Source_BS!$A:$A,$A10,Source_BS!K:K)</f>
        <v>576.74000000001979</v>
      </c>
      <c r="L10" s="6">
        <f>SUMIF(Source_BS!$A:$A,$A10,Source_BS!L:L)</f>
        <v>576.74000000001979</v>
      </c>
      <c r="M10" s="6">
        <f>SUMIF(Source_BS!$A:$A,$A10,Source_BS!M:M)</f>
        <v>576.74000000001979</v>
      </c>
    </row>
    <row r="11" spans="1:13" x14ac:dyDescent="0.25">
      <c r="A11" t="s">
        <v>179</v>
      </c>
      <c r="B11" s="6">
        <f>SUMIF(Source_BS!$A:$A,$A11,Source_BS!B:B)</f>
        <v>184.52</v>
      </c>
      <c r="C11" s="6">
        <f>SUMIF(Source_BS!$A:$A,$A11,Source_BS!C:C)</f>
        <v>184.52</v>
      </c>
      <c r="D11" s="6">
        <f>SUMIF(Source_BS!$A:$A,$A11,Source_BS!D:D)</f>
        <v>184.52</v>
      </c>
      <c r="E11" s="6">
        <f>SUMIF(Source_BS!$A:$A,$A11,Source_BS!E:E)</f>
        <v>184.52</v>
      </c>
      <c r="F11" s="6">
        <f>SUMIF(Source_BS!$A:$A,$A11,Source_BS!F:F)</f>
        <v>184.52</v>
      </c>
      <c r="G11" s="6">
        <f>SUMIF(Source_BS!$A:$A,$A11,Source_BS!G:G)</f>
        <v>8278.9500000000007</v>
      </c>
      <c r="H11" s="6">
        <f>SUMIF(Source_BS!$A:$A,$A11,Source_BS!H:H)</f>
        <v>8278.9500000000007</v>
      </c>
      <c r="I11" s="6">
        <f>SUMIF(Source_BS!$A:$A,$A11,Source_BS!I:I)</f>
        <v>184.52000000000041</v>
      </c>
      <c r="J11" s="6">
        <f>SUMIF(Source_BS!$A:$A,$A11,Source_BS!J:J)</f>
        <v>184.52000000000041</v>
      </c>
      <c r="K11" s="6">
        <f>SUMIF(Source_BS!$A:$A,$A11,Source_BS!K:K)</f>
        <v>184.52000000000041</v>
      </c>
      <c r="L11" s="6">
        <f>SUMIF(Source_BS!$A:$A,$A11,Source_BS!L:L)</f>
        <v>184.52000000000041</v>
      </c>
      <c r="M11" s="6">
        <f>SUMIF(Source_BS!$A:$A,$A11,Source_BS!M:M)</f>
        <v>4.2632564145606011E-13</v>
      </c>
    </row>
    <row r="12" spans="1:13" x14ac:dyDescent="0.25">
      <c r="A12" t="s">
        <v>180</v>
      </c>
      <c r="B12" s="6">
        <f>SUMIF(Source_BS!$A:$A,$A12,Source_BS!B:B)</f>
        <v>74408.73</v>
      </c>
      <c r="C12" s="6">
        <f>SUMIF(Source_BS!$A:$A,$A12,Source_BS!C:C)</f>
        <v>44635.66</v>
      </c>
      <c r="D12" s="6">
        <f>SUMIF(Source_BS!$A:$A,$A12,Source_BS!D:D)</f>
        <v>80738.679999999993</v>
      </c>
      <c r="E12" s="6">
        <f>SUMIF(Source_BS!$A:$A,$A12,Source_BS!E:E)</f>
        <v>66160.7</v>
      </c>
      <c r="F12" s="6">
        <f>SUMIF(Source_BS!$A:$A,$A12,Source_BS!F:F)</f>
        <v>61137.03</v>
      </c>
      <c r="G12" s="6">
        <f>SUMIF(Source_BS!$A:$A,$A12,Source_BS!G:G)</f>
        <v>61137.03</v>
      </c>
      <c r="H12" s="6">
        <f>SUMIF(Source_BS!$A:$A,$A12,Source_BS!H:H)</f>
        <v>74852.399999999994</v>
      </c>
      <c r="I12" s="6">
        <f>SUMIF(Source_BS!$A:$A,$A12,Source_BS!I:I)</f>
        <v>33815.410000000003</v>
      </c>
      <c r="J12" s="6">
        <f>SUMIF(Source_BS!$A:$A,$A12,Source_BS!J:J)</f>
        <v>185099.48</v>
      </c>
      <c r="K12" s="6">
        <f>SUMIF(Source_BS!$A:$A,$A12,Source_BS!K:K)</f>
        <v>134696.97</v>
      </c>
      <c r="L12" s="6">
        <f>SUMIF(Source_BS!$A:$A,$A12,Source_BS!L:L)</f>
        <v>105320.82</v>
      </c>
      <c r="M12" s="6">
        <f>SUMIF(Source_BS!$A:$A,$A12,Source_BS!M:M)</f>
        <v>111902.34</v>
      </c>
    </row>
    <row r="13" spans="1:13" x14ac:dyDescent="0.25">
      <c r="A13" t="s">
        <v>181</v>
      </c>
      <c r="B13" s="6">
        <f>SUMIF(Source_BS!$A:$A,$A13,Source_BS!B:B)</f>
        <v>0</v>
      </c>
      <c r="C13" s="6">
        <f>SUMIF(Source_BS!$A:$A,$A13,Source_BS!C:C)</f>
        <v>0</v>
      </c>
      <c r="D13" s="6">
        <f>SUMIF(Source_BS!$A:$A,$A13,Source_BS!D:D)</f>
        <v>0</v>
      </c>
      <c r="E13" s="6">
        <f>SUMIF(Source_BS!$A:$A,$A13,Source_BS!E:E)</f>
        <v>0</v>
      </c>
      <c r="F13" s="6">
        <f>SUMIF(Source_BS!$A:$A,$A13,Source_BS!F:F)</f>
        <v>0</v>
      </c>
      <c r="G13" s="6">
        <f>SUMIF(Source_BS!$A:$A,$A13,Source_BS!G:G)</f>
        <v>0</v>
      </c>
      <c r="H13" s="6">
        <f>SUMIF(Source_BS!$A:$A,$A13,Source_BS!H:H)</f>
        <v>0</v>
      </c>
      <c r="I13" s="6">
        <f>SUMIF(Source_BS!$A:$A,$A13,Source_BS!I:I)</f>
        <v>0</v>
      </c>
      <c r="J13" s="6">
        <f>SUMIF(Source_BS!$A:$A,$A13,Source_BS!J:J)</f>
        <v>0</v>
      </c>
      <c r="K13" s="6">
        <f>SUMIF(Source_BS!$A:$A,$A13,Source_BS!K:K)</f>
        <v>0</v>
      </c>
      <c r="L13" s="6">
        <f>SUMIF(Source_BS!$A:$A,$A13,Source_BS!L:L)</f>
        <v>0</v>
      </c>
      <c r="M13" s="6">
        <f>SUMIF(Source_BS!$A:$A,$A13,Source_BS!M:M)</f>
        <v>0</v>
      </c>
    </row>
    <row r="14" spans="1:13" x14ac:dyDescent="0.25">
      <c r="A14" t="s">
        <v>182</v>
      </c>
      <c r="B14" s="6">
        <f>SUMIF(Source_BS!$A:$A,$A14,Source_BS!B:B)</f>
        <v>0</v>
      </c>
      <c r="C14" s="6">
        <f>SUMIF(Source_BS!$A:$A,$A14,Source_BS!C:C)</f>
        <v>0</v>
      </c>
      <c r="D14" s="6">
        <f>SUMIF(Source_BS!$A:$A,$A14,Source_BS!D:D)</f>
        <v>0</v>
      </c>
      <c r="E14" s="6">
        <f>SUMIF(Source_BS!$A:$A,$A14,Source_BS!E:E)</f>
        <v>-555</v>
      </c>
      <c r="F14" s="6">
        <f>SUMIF(Source_BS!$A:$A,$A14,Source_BS!F:F)</f>
        <v>1431.83</v>
      </c>
      <c r="G14" s="6">
        <f>SUMIF(Source_BS!$A:$A,$A14,Source_BS!G:G)</f>
        <v>1431.83</v>
      </c>
      <c r="H14" s="6">
        <f>SUMIF(Source_BS!$A:$A,$A14,Source_BS!H:H)</f>
        <v>5520.76</v>
      </c>
      <c r="I14" s="6">
        <f>SUMIF(Source_BS!$A:$A,$A14,Source_BS!I:I)</f>
        <v>0</v>
      </c>
      <c r="J14" s="6">
        <f>SUMIF(Source_BS!$A:$A,$A14,Source_BS!J:J)</f>
        <v>0</v>
      </c>
      <c r="K14" s="6">
        <f>SUMIF(Source_BS!$A:$A,$A14,Source_BS!K:K)</f>
        <v>0</v>
      </c>
      <c r="L14" s="6">
        <f>SUMIF(Source_BS!$A:$A,$A14,Source_BS!L:L)</f>
        <v>0</v>
      </c>
      <c r="M14" s="6">
        <f>SUMIF(Source_BS!$A:$A,$A14,Source_BS!M:M)</f>
        <v>0</v>
      </c>
    </row>
    <row r="15" spans="1:13" x14ac:dyDescent="0.25">
      <c r="A15" s="7" t="s">
        <v>183</v>
      </c>
      <c r="B15" s="9">
        <f>SUMIF(Source_BS!$A:$A,$A15,Source_BS!B:B)</f>
        <v>313403.98</v>
      </c>
      <c r="C15" s="9">
        <f>SUMIF(Source_BS!$A:$A,$A15,Source_BS!C:C)</f>
        <v>195849.93</v>
      </c>
      <c r="D15" s="9">
        <f>SUMIF(Source_BS!$A:$A,$A15,Source_BS!D:D)</f>
        <v>391811.53000000009</v>
      </c>
      <c r="E15" s="9">
        <f>SUMIF(Source_BS!$A:$A,$A15,Source_BS!E:E)</f>
        <v>293335.58</v>
      </c>
      <c r="F15" s="9">
        <f>SUMIF(Source_BS!$A:$A,$A15,Source_BS!F:F)</f>
        <v>320775.02000000008</v>
      </c>
      <c r="G15" s="9">
        <f>SUMIF(Source_BS!$A:$A,$A15,Source_BS!G:G)</f>
        <v>197483.93000000011</v>
      </c>
      <c r="H15" s="9">
        <f>SUMIF(Source_BS!$A:$A,$A15,Source_BS!H:H)</f>
        <v>260554.57000000009</v>
      </c>
      <c r="I15" s="9">
        <f>SUMIF(Source_BS!$A:$A,$A15,Source_BS!I:I)</f>
        <v>229403.60000000009</v>
      </c>
      <c r="J15" s="9">
        <f>SUMIF(Source_BS!$A:$A,$A15,Source_BS!J:J)</f>
        <v>318006.85000000009</v>
      </c>
      <c r="K15" s="9">
        <f>SUMIF(Source_BS!$A:$A,$A15,Source_BS!K:K)</f>
        <v>198610.31000000011</v>
      </c>
      <c r="L15" s="9">
        <f>SUMIF(Source_BS!$A:$A,$A15,Source_BS!L:L)</f>
        <v>272113.34000000008</v>
      </c>
      <c r="M15" s="9">
        <f>SUMIF(Source_BS!$A:$A,$A15,Source_BS!M:M)</f>
        <v>422236.6</v>
      </c>
    </row>
    <row r="16" spans="1:13" x14ac:dyDescent="0.25">
      <c r="A16" t="s">
        <v>184</v>
      </c>
      <c r="B16" s="6">
        <f>SUMIF(Source_BS!$A:$A,$A16,Source_BS!B:B)</f>
        <v>0</v>
      </c>
      <c r="C16" s="6">
        <f>SUMIF(Source_BS!$A:$A,$A16,Source_BS!C:C)</f>
        <v>0</v>
      </c>
      <c r="D16" s="6">
        <f>SUMIF(Source_BS!$A:$A,$A16,Source_BS!D:D)</f>
        <v>0</v>
      </c>
      <c r="E16" s="6">
        <f>SUMIF(Source_BS!$A:$A,$A16,Source_BS!E:E)</f>
        <v>0</v>
      </c>
      <c r="F16" s="6">
        <f>SUMIF(Source_BS!$A:$A,$A16,Source_BS!F:F)</f>
        <v>0</v>
      </c>
      <c r="G16" s="6">
        <f>SUMIF(Source_BS!$A:$A,$A16,Source_BS!G:G)</f>
        <v>0</v>
      </c>
      <c r="H16" s="6">
        <f>SUMIF(Source_BS!$A:$A,$A16,Source_BS!H:H)</f>
        <v>0</v>
      </c>
      <c r="I16" s="6">
        <f>SUMIF(Source_BS!$A:$A,$A16,Source_BS!I:I)</f>
        <v>0</v>
      </c>
      <c r="J16" s="6">
        <f>SUMIF(Source_BS!$A:$A,$A16,Source_BS!J:J)</f>
        <v>0</v>
      </c>
      <c r="K16" s="6">
        <f>SUMIF(Source_BS!$A:$A,$A16,Source_BS!K:K)</f>
        <v>0</v>
      </c>
      <c r="L16" s="6">
        <f>SUMIF(Source_BS!$A:$A,$A16,Source_BS!L:L)</f>
        <v>0</v>
      </c>
      <c r="M16" s="6">
        <f>SUMIF(Source_BS!$A:$A,$A16,Source_BS!M:M)</f>
        <v>0</v>
      </c>
    </row>
    <row r="17" spans="1:13" x14ac:dyDescent="0.25">
      <c r="A17" t="s">
        <v>185</v>
      </c>
      <c r="B17" s="6">
        <f>SUMIF(Source_BS!$A:$A,$A17,Source_BS!B:B)</f>
        <v>0</v>
      </c>
      <c r="C17" s="6">
        <f>SUMIF(Source_BS!$A:$A,$A17,Source_BS!C:C)</f>
        <v>0</v>
      </c>
      <c r="D17" s="6">
        <f>SUMIF(Source_BS!$A:$A,$A17,Source_BS!D:D)</f>
        <v>0</v>
      </c>
      <c r="E17" s="6">
        <f>SUMIF(Source_BS!$A:$A,$A17,Source_BS!E:E)</f>
        <v>0</v>
      </c>
      <c r="F17" s="6">
        <f>SUMIF(Source_BS!$A:$A,$A17,Source_BS!F:F)</f>
        <v>0</v>
      </c>
      <c r="G17" s="6">
        <f>SUMIF(Source_BS!$A:$A,$A17,Source_BS!G:G)</f>
        <v>0</v>
      </c>
      <c r="H17" s="6">
        <f>SUMIF(Source_BS!$A:$A,$A17,Source_BS!H:H)</f>
        <v>0</v>
      </c>
      <c r="I17" s="6">
        <f>SUMIF(Source_BS!$A:$A,$A17,Source_BS!I:I)</f>
        <v>0</v>
      </c>
      <c r="J17" s="6">
        <f>SUMIF(Source_BS!$A:$A,$A17,Source_BS!J:J)</f>
        <v>0</v>
      </c>
      <c r="K17" s="6">
        <f>SUMIF(Source_BS!$A:$A,$A17,Source_BS!K:K)</f>
        <v>0</v>
      </c>
      <c r="L17" s="6">
        <f>SUMIF(Source_BS!$A:$A,$A17,Source_BS!L:L)</f>
        <v>0</v>
      </c>
      <c r="M17" s="6">
        <f>SUMIF(Source_BS!$A:$A,$A17,Source_BS!M:M)</f>
        <v>0</v>
      </c>
    </row>
    <row r="18" spans="1:13" x14ac:dyDescent="0.25">
      <c r="A18" s="7" t="s">
        <v>186</v>
      </c>
      <c r="B18" s="9">
        <f>SUMIF(Source_BS!$A:$A,$A18,Source_BS!B:B)</f>
        <v>0</v>
      </c>
      <c r="C18" s="9">
        <f>SUMIF(Source_BS!$A:$A,$A18,Source_BS!C:C)</f>
        <v>0</v>
      </c>
      <c r="D18" s="9">
        <f>SUMIF(Source_BS!$A:$A,$A18,Source_BS!D:D)</f>
        <v>0</v>
      </c>
      <c r="E18" s="9">
        <f>SUMIF(Source_BS!$A:$A,$A18,Source_BS!E:E)</f>
        <v>0</v>
      </c>
      <c r="F18" s="9">
        <f>SUMIF(Source_BS!$A:$A,$A18,Source_BS!F:F)</f>
        <v>0</v>
      </c>
      <c r="G18" s="9">
        <f>SUMIF(Source_BS!$A:$A,$A18,Source_BS!G:G)</f>
        <v>0</v>
      </c>
      <c r="H18" s="9">
        <f>SUMIF(Source_BS!$A:$A,$A18,Source_BS!H:H)</f>
        <v>0</v>
      </c>
      <c r="I18" s="9">
        <f>SUMIF(Source_BS!$A:$A,$A18,Source_BS!I:I)</f>
        <v>0</v>
      </c>
      <c r="J18" s="9">
        <f>SUMIF(Source_BS!$A:$A,$A18,Source_BS!J:J)</f>
        <v>0</v>
      </c>
      <c r="K18" s="9">
        <f>SUMIF(Source_BS!$A:$A,$A18,Source_BS!K:K)</f>
        <v>0</v>
      </c>
      <c r="L18" s="9">
        <f>SUMIF(Source_BS!$A:$A,$A18,Source_BS!L:L)</f>
        <v>0</v>
      </c>
      <c r="M18" s="9">
        <f>SUMIF(Source_BS!$A:$A,$A18,Source_BS!M:M)</f>
        <v>0</v>
      </c>
    </row>
    <row r="19" spans="1:13" x14ac:dyDescent="0.25">
      <c r="A19" t="s">
        <v>187</v>
      </c>
      <c r="B19" s="6">
        <f>SUMIF(Source_BS!$A:$A,$A19,Source_BS!B:B)</f>
        <v>0</v>
      </c>
      <c r="C19" s="6">
        <f>SUMIF(Source_BS!$A:$A,$A19,Source_BS!C:C)</f>
        <v>0</v>
      </c>
      <c r="D19" s="6">
        <f>SUMIF(Source_BS!$A:$A,$A19,Source_BS!D:D)</f>
        <v>0</v>
      </c>
      <c r="E19" s="6">
        <f>SUMIF(Source_BS!$A:$A,$A19,Source_BS!E:E)</f>
        <v>0</v>
      </c>
      <c r="F19" s="6">
        <f>SUMIF(Source_BS!$A:$A,$A19,Source_BS!F:F)</f>
        <v>0</v>
      </c>
      <c r="G19" s="6">
        <f>SUMIF(Source_BS!$A:$A,$A19,Source_BS!G:G)</f>
        <v>0</v>
      </c>
      <c r="H19" s="6">
        <f>SUMIF(Source_BS!$A:$A,$A19,Source_BS!H:H)</f>
        <v>0</v>
      </c>
      <c r="I19" s="6">
        <f>SUMIF(Source_BS!$A:$A,$A19,Source_BS!I:I)</f>
        <v>0</v>
      </c>
      <c r="J19" s="6">
        <f>SUMIF(Source_BS!$A:$A,$A19,Source_BS!J:J)</f>
        <v>0</v>
      </c>
      <c r="K19" s="6">
        <f>SUMIF(Source_BS!$A:$A,$A19,Source_BS!K:K)</f>
        <v>0</v>
      </c>
      <c r="L19" s="6">
        <f>SUMIF(Source_BS!$A:$A,$A19,Source_BS!L:L)</f>
        <v>0</v>
      </c>
      <c r="M19" s="6">
        <f>SUMIF(Source_BS!$A:$A,$A19,Source_BS!M:M)</f>
        <v>0</v>
      </c>
    </row>
    <row r="20" spans="1:13" x14ac:dyDescent="0.25">
      <c r="A20" t="s">
        <v>188</v>
      </c>
      <c r="B20" s="6">
        <f>SUMIF(Source_BS!$A:$A,$A20,Source_BS!B:B)</f>
        <v>0</v>
      </c>
      <c r="C20" s="6">
        <f>SUMIF(Source_BS!$A:$A,$A20,Source_BS!C:C)</f>
        <v>0</v>
      </c>
      <c r="D20" s="6">
        <f>SUMIF(Source_BS!$A:$A,$A20,Source_BS!D:D)</f>
        <v>0</v>
      </c>
      <c r="E20" s="6">
        <f>SUMIF(Source_BS!$A:$A,$A20,Source_BS!E:E)</f>
        <v>0</v>
      </c>
      <c r="F20" s="6">
        <f>SUMIF(Source_BS!$A:$A,$A20,Source_BS!F:F)</f>
        <v>1846</v>
      </c>
      <c r="G20" s="6">
        <f>SUMIF(Source_BS!$A:$A,$A20,Source_BS!G:G)</f>
        <v>0</v>
      </c>
      <c r="H20" s="6">
        <f>SUMIF(Source_BS!$A:$A,$A20,Source_BS!H:H)</f>
        <v>0</v>
      </c>
      <c r="I20" s="6">
        <f>SUMIF(Source_BS!$A:$A,$A20,Source_BS!I:I)</f>
        <v>0</v>
      </c>
      <c r="J20" s="6">
        <f>SUMIF(Source_BS!$A:$A,$A20,Source_BS!J:J)</f>
        <v>0</v>
      </c>
      <c r="K20" s="6">
        <f>SUMIF(Source_BS!$A:$A,$A20,Source_BS!K:K)</f>
        <v>0</v>
      </c>
      <c r="L20" s="6">
        <f>SUMIF(Source_BS!$A:$A,$A20,Source_BS!L:L)</f>
        <v>0</v>
      </c>
      <c r="M20" s="6">
        <f>SUMIF(Source_BS!$A:$A,$A20,Source_BS!M:M)</f>
        <v>0</v>
      </c>
    </row>
    <row r="21" spans="1:13" x14ac:dyDescent="0.25">
      <c r="A21" t="s">
        <v>189</v>
      </c>
      <c r="B21" s="6">
        <f>SUMIF(Source_BS!$A:$A,$A21,Source_BS!B:B)</f>
        <v>747.38</v>
      </c>
      <c r="C21" s="6">
        <f>SUMIF(Source_BS!$A:$A,$A21,Source_BS!C:C)</f>
        <v>747.38</v>
      </c>
      <c r="D21" s="6">
        <f>SUMIF(Source_BS!$A:$A,$A21,Source_BS!D:D)</f>
        <v>19358.439999999999</v>
      </c>
      <c r="E21" s="6">
        <f>SUMIF(Source_BS!$A:$A,$A21,Source_BS!E:E)</f>
        <v>28221.74</v>
      </c>
      <c r="F21" s="6">
        <f>SUMIF(Source_BS!$A:$A,$A21,Source_BS!F:F)</f>
        <v>25189.74</v>
      </c>
      <c r="G21" s="6">
        <f>SUMIF(Source_BS!$A:$A,$A21,Source_BS!G:G)</f>
        <v>30189.74</v>
      </c>
      <c r="H21" s="6">
        <f>SUMIF(Source_BS!$A:$A,$A21,Source_BS!H:H)</f>
        <v>30189.74</v>
      </c>
      <c r="I21" s="6">
        <f>SUMIF(Source_BS!$A:$A,$A21,Source_BS!I:I)</f>
        <v>28003.05</v>
      </c>
      <c r="J21" s="6">
        <f>SUMIF(Source_BS!$A:$A,$A21,Source_BS!J:J)</f>
        <v>28003.05</v>
      </c>
      <c r="K21" s="6">
        <f>SUMIF(Source_BS!$A:$A,$A21,Source_BS!K:K)</f>
        <v>28003.05</v>
      </c>
      <c r="L21" s="6">
        <f>SUMIF(Source_BS!$A:$A,$A21,Source_BS!L:L)</f>
        <v>28003.05</v>
      </c>
      <c r="M21" s="6">
        <f>SUMIF(Source_BS!$A:$A,$A21,Source_BS!M:M)</f>
        <v>28187.57</v>
      </c>
    </row>
    <row r="22" spans="1:13" x14ac:dyDescent="0.25">
      <c r="A22" t="s">
        <v>190</v>
      </c>
      <c r="B22" s="6">
        <f>SUMIF(Source_BS!$A:$A,$A22,Source_BS!B:B)</f>
        <v>0</v>
      </c>
      <c r="C22" s="6">
        <f>SUMIF(Source_BS!$A:$A,$A22,Source_BS!C:C)</f>
        <v>0</v>
      </c>
      <c r="D22" s="6">
        <f>SUMIF(Source_BS!$A:$A,$A22,Source_BS!D:D)</f>
        <v>0</v>
      </c>
      <c r="E22" s="6">
        <f>SUMIF(Source_BS!$A:$A,$A22,Source_BS!E:E)</f>
        <v>0</v>
      </c>
      <c r="F22" s="6">
        <f>SUMIF(Source_BS!$A:$A,$A22,Source_BS!F:F)</f>
        <v>11849</v>
      </c>
      <c r="G22" s="6">
        <f>SUMIF(Source_BS!$A:$A,$A22,Source_BS!G:G)</f>
        <v>11849</v>
      </c>
      <c r="H22" s="6">
        <f>SUMIF(Source_BS!$A:$A,$A22,Source_BS!H:H)</f>
        <v>11849</v>
      </c>
      <c r="I22" s="6">
        <f>SUMIF(Source_BS!$A:$A,$A22,Source_BS!I:I)</f>
        <v>11849</v>
      </c>
      <c r="J22" s="6">
        <f>SUMIF(Source_BS!$A:$A,$A22,Source_BS!J:J)</f>
        <v>11849</v>
      </c>
      <c r="K22" s="6">
        <f>SUMIF(Source_BS!$A:$A,$A22,Source_BS!K:K)</f>
        <v>11849</v>
      </c>
      <c r="L22" s="6">
        <f>SUMIF(Source_BS!$A:$A,$A22,Source_BS!L:L)</f>
        <v>11849</v>
      </c>
      <c r="M22" s="6">
        <f>SUMIF(Source_BS!$A:$A,$A22,Source_BS!M:M)</f>
        <v>11849</v>
      </c>
    </row>
    <row r="23" spans="1:13" x14ac:dyDescent="0.25">
      <c r="A23" t="s">
        <v>191</v>
      </c>
      <c r="B23" s="6">
        <f>SUMIF(Source_BS!$A:$A,$A23,Source_BS!B:B)</f>
        <v>0</v>
      </c>
      <c r="C23" s="6">
        <f>SUMIF(Source_BS!$A:$A,$A23,Source_BS!C:C)</f>
        <v>0</v>
      </c>
      <c r="D23" s="6">
        <f>SUMIF(Source_BS!$A:$A,$A23,Source_BS!D:D)</f>
        <v>0</v>
      </c>
      <c r="E23" s="6">
        <f>SUMIF(Source_BS!$A:$A,$A23,Source_BS!E:E)</f>
        <v>0</v>
      </c>
      <c r="F23" s="6">
        <f>SUMIF(Source_BS!$A:$A,$A23,Source_BS!F:F)</f>
        <v>0</v>
      </c>
      <c r="G23" s="6">
        <f>SUMIF(Source_BS!$A:$A,$A23,Source_BS!G:G)</f>
        <v>0</v>
      </c>
      <c r="H23" s="6">
        <f>SUMIF(Source_BS!$A:$A,$A23,Source_BS!H:H)</f>
        <v>0</v>
      </c>
      <c r="I23" s="6">
        <f>SUMIF(Source_BS!$A:$A,$A23,Source_BS!I:I)</f>
        <v>0</v>
      </c>
      <c r="J23" s="6">
        <f>SUMIF(Source_BS!$A:$A,$A23,Source_BS!J:J)</f>
        <v>0</v>
      </c>
      <c r="K23" s="6">
        <f>SUMIF(Source_BS!$A:$A,$A23,Source_BS!K:K)</f>
        <v>0</v>
      </c>
      <c r="L23" s="6">
        <f>SUMIF(Source_BS!$A:$A,$A23,Source_BS!L:L)</f>
        <v>0</v>
      </c>
      <c r="M23" s="6">
        <f>SUMIF(Source_BS!$A:$A,$A23,Source_BS!M:M)</f>
        <v>0</v>
      </c>
    </row>
    <row r="24" spans="1:13" x14ac:dyDescent="0.25">
      <c r="A24" t="s">
        <v>192</v>
      </c>
      <c r="B24" s="6">
        <f>SUMIF(Source_BS!$A:$A,$A24,Source_BS!B:B)</f>
        <v>0</v>
      </c>
      <c r="C24" s="6">
        <f>SUMIF(Source_BS!$A:$A,$A24,Source_BS!C:C)</f>
        <v>0</v>
      </c>
      <c r="D24" s="6">
        <f>SUMIF(Source_BS!$A:$A,$A24,Source_BS!D:D)</f>
        <v>0</v>
      </c>
      <c r="E24" s="6">
        <f>SUMIF(Source_BS!$A:$A,$A24,Source_BS!E:E)</f>
        <v>0</v>
      </c>
      <c r="F24" s="6">
        <f>SUMIF(Source_BS!$A:$A,$A24,Source_BS!F:F)</f>
        <v>0</v>
      </c>
      <c r="G24" s="6">
        <f>SUMIF(Source_BS!$A:$A,$A24,Source_BS!G:G)</f>
        <v>0</v>
      </c>
      <c r="H24" s="6">
        <f>SUMIF(Source_BS!$A:$A,$A24,Source_BS!H:H)</f>
        <v>0</v>
      </c>
      <c r="I24" s="6">
        <f>SUMIF(Source_BS!$A:$A,$A24,Source_BS!I:I)</f>
        <v>0</v>
      </c>
      <c r="J24" s="6">
        <f>SUMIF(Source_BS!$A:$A,$A24,Source_BS!J:J)</f>
        <v>0</v>
      </c>
      <c r="K24" s="6">
        <f>SUMIF(Source_BS!$A:$A,$A24,Source_BS!K:K)</f>
        <v>0</v>
      </c>
      <c r="L24" s="6">
        <f>SUMIF(Source_BS!$A:$A,$A24,Source_BS!L:L)</f>
        <v>0</v>
      </c>
      <c r="M24" s="6">
        <f>SUMIF(Source_BS!$A:$A,$A24,Source_BS!M:M)</f>
        <v>0</v>
      </c>
    </row>
    <row r="25" spans="1:13" x14ac:dyDescent="0.25">
      <c r="A25" s="7" t="s">
        <v>193</v>
      </c>
      <c r="B25" s="9">
        <f>SUMIF(Source_BS!$A:$A,$A25,Source_BS!B:B)</f>
        <v>747.38</v>
      </c>
      <c r="C25" s="9">
        <f>SUMIF(Source_BS!$A:$A,$A25,Source_BS!C:C)</f>
        <v>747.38</v>
      </c>
      <c r="D25" s="9">
        <f>SUMIF(Source_BS!$A:$A,$A25,Source_BS!D:D)</f>
        <v>19358.439999999999</v>
      </c>
      <c r="E25" s="9">
        <f>SUMIF(Source_BS!$A:$A,$A25,Source_BS!E:E)</f>
        <v>28221.74</v>
      </c>
      <c r="F25" s="9">
        <f>SUMIF(Source_BS!$A:$A,$A25,Source_BS!F:F)</f>
        <v>38884.740000000013</v>
      </c>
      <c r="G25" s="9">
        <f>SUMIF(Source_BS!$A:$A,$A25,Source_BS!G:G)</f>
        <v>42038.740000000013</v>
      </c>
      <c r="H25" s="9">
        <f>SUMIF(Source_BS!$A:$A,$A25,Source_BS!H:H)</f>
        <v>42038.740000000013</v>
      </c>
      <c r="I25" s="9">
        <f>SUMIF(Source_BS!$A:$A,$A25,Source_BS!I:I)</f>
        <v>39852.050000000003</v>
      </c>
      <c r="J25" s="9">
        <f>SUMIF(Source_BS!$A:$A,$A25,Source_BS!J:J)</f>
        <v>39852.050000000003</v>
      </c>
      <c r="K25" s="9">
        <f>SUMIF(Source_BS!$A:$A,$A25,Source_BS!K:K)</f>
        <v>39852.050000000003</v>
      </c>
      <c r="L25" s="9">
        <f>SUMIF(Source_BS!$A:$A,$A25,Source_BS!L:L)</f>
        <v>39852.050000000003</v>
      </c>
      <c r="M25" s="9">
        <f>SUMIF(Source_BS!$A:$A,$A25,Source_BS!M:M)</f>
        <v>40036.570000000007</v>
      </c>
    </row>
    <row r="26" spans="1:13" x14ac:dyDescent="0.25">
      <c r="A26" s="7" t="s">
        <v>194</v>
      </c>
      <c r="B26" s="9">
        <f>SUMIF(Source_BS!$A:$A,$A26,Source_BS!B:B)</f>
        <v>314151.36</v>
      </c>
      <c r="C26" s="9">
        <f>SUMIF(Source_BS!$A:$A,$A26,Source_BS!C:C)</f>
        <v>196597.31</v>
      </c>
      <c r="D26" s="9">
        <f>SUMIF(Source_BS!$A:$A,$A26,Source_BS!D:D)</f>
        <v>411169.97000000009</v>
      </c>
      <c r="E26" s="9">
        <f>SUMIF(Source_BS!$A:$A,$A26,Source_BS!E:E)</f>
        <v>321557.32</v>
      </c>
      <c r="F26" s="9">
        <f>SUMIF(Source_BS!$A:$A,$A26,Source_BS!F:F)</f>
        <v>359659.76000000013</v>
      </c>
      <c r="G26" s="9">
        <f>SUMIF(Source_BS!$A:$A,$A26,Source_BS!G:G)</f>
        <v>239522.67</v>
      </c>
      <c r="H26" s="9">
        <f>SUMIF(Source_BS!$A:$A,$A26,Source_BS!H:H)</f>
        <v>302593.31000000011</v>
      </c>
      <c r="I26" s="9">
        <f>SUMIF(Source_BS!$A:$A,$A26,Source_BS!I:I)</f>
        <v>269255.65000000008</v>
      </c>
      <c r="J26" s="9">
        <f>SUMIF(Source_BS!$A:$A,$A26,Source_BS!J:J)</f>
        <v>357858.90000000008</v>
      </c>
      <c r="K26" s="9">
        <f>SUMIF(Source_BS!$A:$A,$A26,Source_BS!K:K)</f>
        <v>238462.36</v>
      </c>
      <c r="L26" s="9">
        <f>SUMIF(Source_BS!$A:$A,$A26,Source_BS!L:L)</f>
        <v>311965.39000000007</v>
      </c>
      <c r="M26" s="9">
        <f>SUMIF(Source_BS!$A:$A,$A26,Source_BS!M:M)</f>
        <v>462273.17</v>
      </c>
    </row>
    <row r="27" spans="1:13" x14ac:dyDescent="0.25">
      <c r="A27" t="s">
        <v>195</v>
      </c>
      <c r="B27" s="6">
        <f>SUMIF(Source_BS!$A:$A,$A27,Source_BS!B:B)</f>
        <v>0</v>
      </c>
      <c r="C27" s="6">
        <f>SUMIF(Source_BS!$A:$A,$A27,Source_BS!C:C)</f>
        <v>0</v>
      </c>
      <c r="D27" s="6">
        <f>SUMIF(Source_BS!$A:$A,$A27,Source_BS!D:D)</f>
        <v>0</v>
      </c>
      <c r="E27" s="6">
        <f>SUMIF(Source_BS!$A:$A,$A27,Source_BS!E:E)</f>
        <v>0</v>
      </c>
      <c r="F27" s="6">
        <f>SUMIF(Source_BS!$A:$A,$A27,Source_BS!F:F)</f>
        <v>0</v>
      </c>
      <c r="G27" s="6">
        <f>SUMIF(Source_BS!$A:$A,$A27,Source_BS!G:G)</f>
        <v>0</v>
      </c>
      <c r="H27" s="6">
        <f>SUMIF(Source_BS!$A:$A,$A27,Source_BS!H:H)</f>
        <v>0</v>
      </c>
      <c r="I27" s="6">
        <f>SUMIF(Source_BS!$A:$A,$A27,Source_BS!I:I)</f>
        <v>0</v>
      </c>
      <c r="J27" s="6">
        <f>SUMIF(Source_BS!$A:$A,$A27,Source_BS!J:J)</f>
        <v>0</v>
      </c>
      <c r="K27" s="6">
        <f>SUMIF(Source_BS!$A:$A,$A27,Source_BS!K:K)</f>
        <v>0</v>
      </c>
      <c r="L27" s="6">
        <f>SUMIF(Source_BS!$A:$A,$A27,Source_BS!L:L)</f>
        <v>0</v>
      </c>
      <c r="M27" s="6">
        <f>SUMIF(Source_BS!$A:$A,$A27,Source_BS!M:M)</f>
        <v>0</v>
      </c>
    </row>
    <row r="28" spans="1:13" x14ac:dyDescent="0.25">
      <c r="A28" t="s">
        <v>196</v>
      </c>
      <c r="B28" s="6">
        <f>SUMIF(Source_BS!$A:$A,$A28,Source_BS!B:B)</f>
        <v>0</v>
      </c>
      <c r="C28" s="6">
        <f>SUMIF(Source_BS!$A:$A,$A28,Source_BS!C:C)</f>
        <v>0</v>
      </c>
      <c r="D28" s="6">
        <f>SUMIF(Source_BS!$A:$A,$A28,Source_BS!D:D)</f>
        <v>0</v>
      </c>
      <c r="E28" s="6">
        <f>SUMIF(Source_BS!$A:$A,$A28,Source_BS!E:E)</f>
        <v>0</v>
      </c>
      <c r="F28" s="6">
        <f>SUMIF(Source_BS!$A:$A,$A28,Source_BS!F:F)</f>
        <v>0</v>
      </c>
      <c r="G28" s="6">
        <f>SUMIF(Source_BS!$A:$A,$A28,Source_BS!G:G)</f>
        <v>0</v>
      </c>
      <c r="H28" s="6">
        <f>SUMIF(Source_BS!$A:$A,$A28,Source_BS!H:H)</f>
        <v>0</v>
      </c>
      <c r="I28" s="6">
        <f>SUMIF(Source_BS!$A:$A,$A28,Source_BS!I:I)</f>
        <v>0</v>
      </c>
      <c r="J28" s="6">
        <f>SUMIF(Source_BS!$A:$A,$A28,Source_BS!J:J)</f>
        <v>0</v>
      </c>
      <c r="K28" s="6">
        <f>SUMIF(Source_BS!$A:$A,$A28,Source_BS!K:K)</f>
        <v>0</v>
      </c>
      <c r="L28" s="6">
        <f>SUMIF(Source_BS!$A:$A,$A28,Source_BS!L:L)</f>
        <v>0</v>
      </c>
      <c r="M28" s="6">
        <f>SUMIF(Source_BS!$A:$A,$A28,Source_BS!M:M)</f>
        <v>0</v>
      </c>
    </row>
    <row r="29" spans="1:13" x14ac:dyDescent="0.25">
      <c r="A29" t="s">
        <v>197</v>
      </c>
      <c r="B29" s="6">
        <f>SUMIF(Source_BS!$A:$A,$A29,Source_BS!B:B)</f>
        <v>887944.59</v>
      </c>
      <c r="C29" s="6">
        <f>SUMIF(Source_BS!$A:$A,$A29,Source_BS!C:C)</f>
        <v>887944.59</v>
      </c>
      <c r="D29" s="6">
        <f>SUMIF(Source_BS!$A:$A,$A29,Source_BS!D:D)</f>
        <v>887944.59</v>
      </c>
      <c r="E29" s="6">
        <f>SUMIF(Source_BS!$A:$A,$A29,Source_BS!E:E)</f>
        <v>887944.59</v>
      </c>
      <c r="F29" s="6">
        <f>SUMIF(Source_BS!$A:$A,$A29,Source_BS!F:F)</f>
        <v>887944.59</v>
      </c>
      <c r="G29" s="6">
        <f>SUMIF(Source_BS!$A:$A,$A29,Source_BS!G:G)</f>
        <v>887944.59</v>
      </c>
      <c r="H29" s="6">
        <f>SUMIF(Source_BS!$A:$A,$A29,Source_BS!H:H)</f>
        <v>887944.59</v>
      </c>
      <c r="I29" s="6">
        <f>SUMIF(Source_BS!$A:$A,$A29,Source_BS!I:I)</f>
        <v>887944.59</v>
      </c>
      <c r="J29" s="6">
        <f>SUMIF(Source_BS!$A:$A,$A29,Source_BS!J:J)</f>
        <v>979155.2</v>
      </c>
      <c r="K29" s="6">
        <f>SUMIF(Source_BS!$A:$A,$A29,Source_BS!K:K)</f>
        <v>1007973.58</v>
      </c>
      <c r="L29" s="6">
        <f>SUMIF(Source_BS!$A:$A,$A29,Source_BS!L:L)</f>
        <v>1007973.58</v>
      </c>
      <c r="M29" s="6">
        <f>SUMIF(Source_BS!$A:$A,$A29,Source_BS!M:M)</f>
        <v>798927.54999999993</v>
      </c>
    </row>
    <row r="30" spans="1:13" x14ac:dyDescent="0.25">
      <c r="A30" t="s">
        <v>198</v>
      </c>
      <c r="B30" s="6">
        <f>SUMIF(Source_BS!$A:$A,$A30,Source_BS!B:B)</f>
        <v>23657.119999999999</v>
      </c>
      <c r="C30" s="6">
        <f>SUMIF(Source_BS!$A:$A,$A30,Source_BS!C:C)</f>
        <v>23657.119999999999</v>
      </c>
      <c r="D30" s="6">
        <f>SUMIF(Source_BS!$A:$A,$A30,Source_BS!D:D)</f>
        <v>23657.119999999999</v>
      </c>
      <c r="E30" s="6">
        <f>SUMIF(Source_BS!$A:$A,$A30,Source_BS!E:E)</f>
        <v>23657.119999999999</v>
      </c>
      <c r="F30" s="6">
        <f>SUMIF(Source_BS!$A:$A,$A30,Source_BS!F:F)</f>
        <v>23657.119999999999</v>
      </c>
      <c r="G30" s="6">
        <f>SUMIF(Source_BS!$A:$A,$A30,Source_BS!G:G)</f>
        <v>23657.119999999999</v>
      </c>
      <c r="H30" s="6">
        <f>SUMIF(Source_BS!$A:$A,$A30,Source_BS!H:H)</f>
        <v>23657.119999999999</v>
      </c>
      <c r="I30" s="6">
        <f>SUMIF(Source_BS!$A:$A,$A30,Source_BS!I:I)</f>
        <v>23657.119999999999</v>
      </c>
      <c r="J30" s="6">
        <f>SUMIF(Source_BS!$A:$A,$A30,Source_BS!J:J)</f>
        <v>23657.119999999999</v>
      </c>
      <c r="K30" s="6">
        <f>SUMIF(Source_BS!$A:$A,$A30,Source_BS!K:K)</f>
        <v>23657.119999999999</v>
      </c>
      <c r="L30" s="6">
        <f>SUMIF(Source_BS!$A:$A,$A30,Source_BS!L:L)</f>
        <v>23657.119999999999</v>
      </c>
      <c r="M30" s="6">
        <f>SUMIF(Source_BS!$A:$A,$A30,Source_BS!M:M)</f>
        <v>4995.4500000000007</v>
      </c>
    </row>
    <row r="31" spans="1:13" x14ac:dyDescent="0.25">
      <c r="A31" t="s">
        <v>199</v>
      </c>
      <c r="B31" s="6">
        <f>SUMIF(Source_BS!$A:$A,$A31,Source_BS!B:B)</f>
        <v>0</v>
      </c>
      <c r="C31" s="6">
        <f>SUMIF(Source_BS!$A:$A,$A31,Source_BS!C:C)</f>
        <v>0</v>
      </c>
      <c r="D31" s="6">
        <f>SUMIF(Source_BS!$A:$A,$A31,Source_BS!D:D)</f>
        <v>0</v>
      </c>
      <c r="E31" s="6">
        <f>SUMIF(Source_BS!$A:$A,$A31,Source_BS!E:E)</f>
        <v>0</v>
      </c>
      <c r="F31" s="6">
        <f>SUMIF(Source_BS!$A:$A,$A31,Source_BS!F:F)</f>
        <v>0</v>
      </c>
      <c r="G31" s="6">
        <f>SUMIF(Source_BS!$A:$A,$A31,Source_BS!G:G)</f>
        <v>0</v>
      </c>
      <c r="H31" s="6">
        <f>SUMIF(Source_BS!$A:$A,$A31,Source_BS!H:H)</f>
        <v>0</v>
      </c>
      <c r="I31" s="6">
        <f>SUMIF(Source_BS!$A:$A,$A31,Source_BS!I:I)</f>
        <v>0</v>
      </c>
      <c r="J31" s="6">
        <f>SUMIF(Source_BS!$A:$A,$A31,Source_BS!J:J)</f>
        <v>0</v>
      </c>
      <c r="K31" s="6">
        <f>SUMIF(Source_BS!$A:$A,$A31,Source_BS!K:K)</f>
        <v>0</v>
      </c>
      <c r="L31" s="6">
        <f>SUMIF(Source_BS!$A:$A,$A31,Source_BS!L:L)</f>
        <v>0</v>
      </c>
      <c r="M31" s="6">
        <f>SUMIF(Source_BS!$A:$A,$A31,Source_BS!M:M)</f>
        <v>0</v>
      </c>
    </row>
    <row r="32" spans="1:13" x14ac:dyDescent="0.25">
      <c r="A32" t="s">
        <v>200</v>
      </c>
      <c r="B32" s="6">
        <f>SUMIF(Source_BS!$A:$A,$A32,Source_BS!B:B)</f>
        <v>54871.06</v>
      </c>
      <c r="C32" s="6">
        <f>SUMIF(Source_BS!$A:$A,$A32,Source_BS!C:C)</f>
        <v>54871.06</v>
      </c>
      <c r="D32" s="6">
        <f>SUMIF(Source_BS!$A:$A,$A32,Source_BS!D:D)</f>
        <v>54871.06</v>
      </c>
      <c r="E32" s="6">
        <f>SUMIF(Source_BS!$A:$A,$A32,Source_BS!E:E)</f>
        <v>54871.06</v>
      </c>
      <c r="F32" s="6">
        <f>SUMIF(Source_BS!$A:$A,$A32,Source_BS!F:F)</f>
        <v>54871.06</v>
      </c>
      <c r="G32" s="6">
        <f>SUMIF(Source_BS!$A:$A,$A32,Source_BS!G:G)</f>
        <v>54871.06</v>
      </c>
      <c r="H32" s="6">
        <f>SUMIF(Source_BS!$A:$A,$A32,Source_BS!H:H)</f>
        <v>54871.06</v>
      </c>
      <c r="I32" s="6">
        <f>SUMIF(Source_BS!$A:$A,$A32,Source_BS!I:I)</f>
        <v>54871.06</v>
      </c>
      <c r="J32" s="6">
        <f>SUMIF(Source_BS!$A:$A,$A32,Source_BS!J:J)</f>
        <v>54871.06</v>
      </c>
      <c r="K32" s="6">
        <f>SUMIF(Source_BS!$A:$A,$A32,Source_BS!K:K)</f>
        <v>54871.06</v>
      </c>
      <c r="L32" s="6">
        <f>SUMIF(Source_BS!$A:$A,$A32,Source_BS!L:L)</f>
        <v>54871.06</v>
      </c>
      <c r="M32" s="6">
        <f>SUMIF(Source_BS!$A:$A,$A32,Source_BS!M:M)</f>
        <v>0</v>
      </c>
    </row>
    <row r="33" spans="1:13" x14ac:dyDescent="0.25">
      <c r="A33" t="s">
        <v>201</v>
      </c>
      <c r="B33" s="6">
        <f>SUMIF(Source_BS!$A:$A,$A33,Source_BS!B:B)</f>
        <v>18384.43</v>
      </c>
      <c r="C33" s="6">
        <f>SUMIF(Source_BS!$A:$A,$A33,Source_BS!C:C)</f>
        <v>18384.43</v>
      </c>
      <c r="D33" s="6">
        <f>SUMIF(Source_BS!$A:$A,$A33,Source_BS!D:D)</f>
        <v>18384.43</v>
      </c>
      <c r="E33" s="6">
        <f>SUMIF(Source_BS!$A:$A,$A33,Source_BS!E:E)</f>
        <v>18384.43</v>
      </c>
      <c r="F33" s="6">
        <f>SUMIF(Source_BS!$A:$A,$A33,Source_BS!F:F)</f>
        <v>18384.43</v>
      </c>
      <c r="G33" s="6">
        <f>SUMIF(Source_BS!$A:$A,$A33,Source_BS!G:G)</f>
        <v>18384.43</v>
      </c>
      <c r="H33" s="6">
        <f>SUMIF(Source_BS!$A:$A,$A33,Source_BS!H:H)</f>
        <v>18384.43</v>
      </c>
      <c r="I33" s="6">
        <f>SUMIF(Source_BS!$A:$A,$A33,Source_BS!I:I)</f>
        <v>18384.43</v>
      </c>
      <c r="J33" s="6">
        <f>SUMIF(Source_BS!$A:$A,$A33,Source_BS!J:J)</f>
        <v>18384.43</v>
      </c>
      <c r="K33" s="6">
        <f>SUMIF(Source_BS!$A:$A,$A33,Source_BS!K:K)</f>
        <v>18384.43</v>
      </c>
      <c r="L33" s="6">
        <f>SUMIF(Source_BS!$A:$A,$A33,Source_BS!L:L)</f>
        <v>18384.43</v>
      </c>
      <c r="M33" s="6">
        <f>SUMIF(Source_BS!$A:$A,$A33,Source_BS!M:M)</f>
        <v>0</v>
      </c>
    </row>
    <row r="34" spans="1:13" x14ac:dyDescent="0.25">
      <c r="A34" t="s">
        <v>202</v>
      </c>
      <c r="B34" s="6">
        <f>SUMIF(Source_BS!$A:$A,$A34,Source_BS!B:B)</f>
        <v>103275.77</v>
      </c>
      <c r="C34" s="6">
        <f>SUMIF(Source_BS!$A:$A,$A34,Source_BS!C:C)</f>
        <v>172805.96</v>
      </c>
      <c r="D34" s="6">
        <f>SUMIF(Source_BS!$A:$A,$A34,Source_BS!D:D)</f>
        <v>172805.96</v>
      </c>
      <c r="E34" s="6">
        <f>SUMIF(Source_BS!$A:$A,$A34,Source_BS!E:E)</f>
        <v>172805.96</v>
      </c>
      <c r="F34" s="6">
        <f>SUMIF(Source_BS!$A:$A,$A34,Source_BS!F:F)</f>
        <v>172805.96</v>
      </c>
      <c r="G34" s="6">
        <f>SUMIF(Source_BS!$A:$A,$A34,Source_BS!G:G)</f>
        <v>172805.96</v>
      </c>
      <c r="H34" s="6">
        <f>SUMIF(Source_BS!$A:$A,$A34,Source_BS!H:H)</f>
        <v>172805.96</v>
      </c>
      <c r="I34" s="6">
        <f>SUMIF(Source_BS!$A:$A,$A34,Source_BS!I:I)</f>
        <v>172805.96</v>
      </c>
      <c r="J34" s="6">
        <f>SUMIF(Source_BS!$A:$A,$A34,Source_BS!J:J)</f>
        <v>172805.96</v>
      </c>
      <c r="K34" s="6">
        <f>SUMIF(Source_BS!$A:$A,$A34,Source_BS!K:K)</f>
        <v>193555.96</v>
      </c>
      <c r="L34" s="6">
        <f>SUMIF(Source_BS!$A:$A,$A34,Source_BS!L:L)</f>
        <v>193555.96</v>
      </c>
      <c r="M34" s="6">
        <f>SUMIF(Source_BS!$A:$A,$A34,Source_BS!M:M)</f>
        <v>193555.96</v>
      </c>
    </row>
    <row r="35" spans="1:13" x14ac:dyDescent="0.25">
      <c r="A35" s="7" t="s">
        <v>203</v>
      </c>
      <c r="B35" s="9">
        <f>SUMIF(Source_BS!$A:$A,$A35,Source_BS!B:B)</f>
        <v>176531.26</v>
      </c>
      <c r="C35" s="9">
        <f>SUMIF(Source_BS!$A:$A,$A35,Source_BS!C:C)</f>
        <v>246061.45</v>
      </c>
      <c r="D35" s="9">
        <f>SUMIF(Source_BS!$A:$A,$A35,Source_BS!D:D)</f>
        <v>246061.45</v>
      </c>
      <c r="E35" s="9">
        <f>SUMIF(Source_BS!$A:$A,$A35,Source_BS!E:E)</f>
        <v>246061.45</v>
      </c>
      <c r="F35" s="9">
        <f>SUMIF(Source_BS!$A:$A,$A35,Source_BS!F:F)</f>
        <v>246061.45</v>
      </c>
      <c r="G35" s="9">
        <f>SUMIF(Source_BS!$A:$A,$A35,Source_BS!G:G)</f>
        <v>246061.45</v>
      </c>
      <c r="H35" s="9">
        <f>SUMIF(Source_BS!$A:$A,$A35,Source_BS!H:H)</f>
        <v>246061.45</v>
      </c>
      <c r="I35" s="9">
        <f>SUMIF(Source_BS!$A:$A,$A35,Source_BS!I:I)</f>
        <v>246061.45</v>
      </c>
      <c r="J35" s="9">
        <f>SUMIF(Source_BS!$A:$A,$A35,Source_BS!J:J)</f>
        <v>246061.45</v>
      </c>
      <c r="K35" s="9">
        <f>SUMIF(Source_BS!$A:$A,$A35,Source_BS!K:K)</f>
        <v>266811.45</v>
      </c>
      <c r="L35" s="9">
        <f>SUMIF(Source_BS!$A:$A,$A35,Source_BS!L:L)</f>
        <v>266811.45</v>
      </c>
      <c r="M35" s="9">
        <f>SUMIF(Source_BS!$A:$A,$A35,Source_BS!M:M)</f>
        <v>193555.96</v>
      </c>
    </row>
    <row r="36" spans="1:13" x14ac:dyDescent="0.25">
      <c r="A36" t="s">
        <v>204</v>
      </c>
      <c r="B36" s="6">
        <f>SUMIF(Source_BS!$A:$A,$A36,Source_BS!B:B)</f>
        <v>33286.22</v>
      </c>
      <c r="C36" s="6">
        <f>SUMIF(Source_BS!$A:$A,$A36,Source_BS!C:C)</f>
        <v>33286.22</v>
      </c>
      <c r="D36" s="6">
        <f>SUMIF(Source_BS!$A:$A,$A36,Source_BS!D:D)</f>
        <v>33286.22</v>
      </c>
      <c r="E36" s="6">
        <f>SUMIF(Source_BS!$A:$A,$A36,Source_BS!E:E)</f>
        <v>33286.22</v>
      </c>
      <c r="F36" s="6">
        <f>SUMIF(Source_BS!$A:$A,$A36,Source_BS!F:F)</f>
        <v>33286.22</v>
      </c>
      <c r="G36" s="6">
        <f>SUMIF(Source_BS!$A:$A,$A36,Source_BS!G:G)</f>
        <v>33286.22</v>
      </c>
      <c r="H36" s="6">
        <f>SUMIF(Source_BS!$A:$A,$A36,Source_BS!H:H)</f>
        <v>33286.22</v>
      </c>
      <c r="I36" s="6">
        <f>SUMIF(Source_BS!$A:$A,$A36,Source_BS!I:I)</f>
        <v>33286.22</v>
      </c>
      <c r="J36" s="6">
        <f>SUMIF(Source_BS!$A:$A,$A36,Source_BS!J:J)</f>
        <v>33286.22</v>
      </c>
      <c r="K36" s="6">
        <f>SUMIF(Source_BS!$A:$A,$A36,Source_BS!K:K)</f>
        <v>38358.300000000003</v>
      </c>
      <c r="L36" s="6">
        <f>SUMIF(Source_BS!$A:$A,$A36,Source_BS!L:L)</f>
        <v>47272.06</v>
      </c>
      <c r="M36" s="6">
        <f>SUMIF(Source_BS!$A:$A,$A36,Source_BS!M:M)</f>
        <v>41549.47</v>
      </c>
    </row>
    <row r="37" spans="1:13" x14ac:dyDescent="0.25">
      <c r="A37" t="s">
        <v>205</v>
      </c>
      <c r="B37" s="6">
        <f>SUMIF(Source_BS!$A:$A,$A37,Source_BS!B:B)</f>
        <v>761069.27</v>
      </c>
      <c r="C37" s="6">
        <f>SUMIF(Source_BS!$A:$A,$A37,Source_BS!C:C)</f>
        <v>761069.27</v>
      </c>
      <c r="D37" s="6">
        <f>SUMIF(Source_BS!$A:$A,$A37,Source_BS!D:D)</f>
        <v>761069.27</v>
      </c>
      <c r="E37" s="6">
        <f>SUMIF(Source_BS!$A:$A,$A37,Source_BS!E:E)</f>
        <v>761069.27</v>
      </c>
      <c r="F37" s="6">
        <f>SUMIF(Source_BS!$A:$A,$A37,Source_BS!F:F)</f>
        <v>811454.27</v>
      </c>
      <c r="G37" s="6">
        <f>SUMIF(Source_BS!$A:$A,$A37,Source_BS!G:G)</f>
        <v>932344.27</v>
      </c>
      <c r="H37" s="6">
        <f>SUMIF(Source_BS!$A:$A,$A37,Source_BS!H:H)</f>
        <v>932344.27</v>
      </c>
      <c r="I37" s="6">
        <f>SUMIF(Source_BS!$A:$A,$A37,Source_BS!I:I)</f>
        <v>932344.27</v>
      </c>
      <c r="J37" s="6">
        <f>SUMIF(Source_BS!$A:$A,$A37,Source_BS!J:J)</f>
        <v>932344.27</v>
      </c>
      <c r="K37" s="6">
        <f>SUMIF(Source_BS!$A:$A,$A37,Source_BS!K:K)</f>
        <v>932344.27</v>
      </c>
      <c r="L37" s="6">
        <f>SUMIF(Source_BS!$A:$A,$A37,Source_BS!L:L)</f>
        <v>932344.27</v>
      </c>
      <c r="M37" s="6">
        <f>SUMIF(Source_BS!$A:$A,$A37,Source_BS!M:M)</f>
        <v>916024.9</v>
      </c>
    </row>
    <row r="38" spans="1:13" x14ac:dyDescent="0.25">
      <c r="A38" t="s">
        <v>206</v>
      </c>
      <c r="B38" s="6">
        <f>SUMIF(Source_BS!$A:$A,$A38,Source_BS!B:B)</f>
        <v>48500</v>
      </c>
      <c r="C38" s="6">
        <f>SUMIF(Source_BS!$A:$A,$A38,Source_BS!C:C)</f>
        <v>48500</v>
      </c>
      <c r="D38" s="6">
        <f>SUMIF(Source_BS!$A:$A,$A38,Source_BS!D:D)</f>
        <v>48500</v>
      </c>
      <c r="E38" s="6">
        <f>SUMIF(Source_BS!$A:$A,$A38,Source_BS!E:E)</f>
        <v>48500</v>
      </c>
      <c r="F38" s="6">
        <f>SUMIF(Source_BS!$A:$A,$A38,Source_BS!F:F)</f>
        <v>48500</v>
      </c>
      <c r="G38" s="6">
        <f>SUMIF(Source_BS!$A:$A,$A38,Source_BS!G:G)</f>
        <v>48500</v>
      </c>
      <c r="H38" s="6">
        <f>SUMIF(Source_BS!$A:$A,$A38,Source_BS!H:H)</f>
        <v>48500</v>
      </c>
      <c r="I38" s="6">
        <f>SUMIF(Source_BS!$A:$A,$A38,Source_BS!I:I)</f>
        <v>48500</v>
      </c>
      <c r="J38" s="6">
        <f>SUMIF(Source_BS!$A:$A,$A38,Source_BS!J:J)</f>
        <v>48500</v>
      </c>
      <c r="K38" s="6">
        <f>SUMIF(Source_BS!$A:$A,$A38,Source_BS!K:K)</f>
        <v>48500</v>
      </c>
      <c r="L38" s="6">
        <f>SUMIF(Source_BS!$A:$A,$A38,Source_BS!L:L)</f>
        <v>48500</v>
      </c>
      <c r="M38" s="6">
        <f>SUMIF(Source_BS!$A:$A,$A38,Source_BS!M:M)</f>
        <v>48500</v>
      </c>
    </row>
    <row r="39" spans="1:13" x14ac:dyDescent="0.25">
      <c r="A39" t="s">
        <v>207</v>
      </c>
      <c r="B39" s="6">
        <f>SUMIF(Source_BS!$A:$A,$A39,Source_BS!B:B)</f>
        <v>70555.56</v>
      </c>
      <c r="C39" s="6">
        <f>SUMIF(Source_BS!$A:$A,$A39,Source_BS!C:C)</f>
        <v>70555.56</v>
      </c>
      <c r="D39" s="6">
        <f>SUMIF(Source_BS!$A:$A,$A39,Source_BS!D:D)</f>
        <v>70555.56</v>
      </c>
      <c r="E39" s="6">
        <f>SUMIF(Source_BS!$A:$A,$A39,Source_BS!E:E)</f>
        <v>70555.56</v>
      </c>
      <c r="F39" s="6">
        <f>SUMIF(Source_BS!$A:$A,$A39,Source_BS!F:F)</f>
        <v>70555.56</v>
      </c>
      <c r="G39" s="6">
        <f>SUMIF(Source_BS!$A:$A,$A39,Source_BS!G:G)</f>
        <v>70555.56</v>
      </c>
      <c r="H39" s="6">
        <f>SUMIF(Source_BS!$A:$A,$A39,Source_BS!H:H)</f>
        <v>70555.56</v>
      </c>
      <c r="I39" s="6">
        <f>SUMIF(Source_BS!$A:$A,$A39,Source_BS!I:I)</f>
        <v>70555.56</v>
      </c>
      <c r="J39" s="6">
        <f>SUMIF(Source_BS!$A:$A,$A39,Source_BS!J:J)</f>
        <v>70555.56</v>
      </c>
      <c r="K39" s="6">
        <f>SUMIF(Source_BS!$A:$A,$A39,Source_BS!K:K)</f>
        <v>70555.56</v>
      </c>
      <c r="L39" s="6">
        <f>SUMIF(Source_BS!$A:$A,$A39,Source_BS!L:L)</f>
        <v>70555.56</v>
      </c>
      <c r="M39" s="6">
        <f>SUMIF(Source_BS!$A:$A,$A39,Source_BS!M:M)</f>
        <v>70555.56</v>
      </c>
    </row>
    <row r="40" spans="1:13" x14ac:dyDescent="0.25">
      <c r="A40" s="7" t="s">
        <v>208</v>
      </c>
      <c r="B40" s="9">
        <f>SUMIF(Source_BS!$A:$A,$A40,Source_BS!B:B)</f>
        <v>880124.83000000007</v>
      </c>
      <c r="C40" s="9">
        <f>SUMIF(Source_BS!$A:$A,$A40,Source_BS!C:C)</f>
        <v>880124.83000000007</v>
      </c>
      <c r="D40" s="9">
        <f>SUMIF(Source_BS!$A:$A,$A40,Source_BS!D:D)</f>
        <v>880124.83000000007</v>
      </c>
      <c r="E40" s="9">
        <f>SUMIF(Source_BS!$A:$A,$A40,Source_BS!E:E)</f>
        <v>880124.83000000007</v>
      </c>
      <c r="F40" s="9">
        <f>SUMIF(Source_BS!$A:$A,$A40,Source_BS!F:F)</f>
        <v>930509.83000000007</v>
      </c>
      <c r="G40" s="9">
        <f>SUMIF(Source_BS!$A:$A,$A40,Source_BS!G:G)</f>
        <v>1051399.83</v>
      </c>
      <c r="H40" s="9">
        <f>SUMIF(Source_BS!$A:$A,$A40,Source_BS!H:H)</f>
        <v>1051399.83</v>
      </c>
      <c r="I40" s="9">
        <f>SUMIF(Source_BS!$A:$A,$A40,Source_BS!I:I)</f>
        <v>1051399.83</v>
      </c>
      <c r="J40" s="9">
        <f>SUMIF(Source_BS!$A:$A,$A40,Source_BS!J:J)</f>
        <v>1051399.83</v>
      </c>
      <c r="K40" s="9">
        <f>SUMIF(Source_BS!$A:$A,$A40,Source_BS!K:K)</f>
        <v>1051399.83</v>
      </c>
      <c r="L40" s="9">
        <f>SUMIF(Source_BS!$A:$A,$A40,Source_BS!L:L)</f>
        <v>1051399.83</v>
      </c>
      <c r="M40" s="9">
        <f>SUMIF(Source_BS!$A:$A,$A40,Source_BS!M:M)</f>
        <v>1035080.46</v>
      </c>
    </row>
    <row r="41" spans="1:13" x14ac:dyDescent="0.25">
      <c r="A41" t="s">
        <v>209</v>
      </c>
      <c r="B41" s="6">
        <f>SUMIF(Source_BS!$A:$A,$A41,Source_BS!B:B)</f>
        <v>-1047115.16</v>
      </c>
      <c r="C41" s="6">
        <f>SUMIF(Source_BS!$A:$A,$A41,Source_BS!C:C)</f>
        <v>-1047115.16</v>
      </c>
      <c r="D41" s="6">
        <f>SUMIF(Source_BS!$A:$A,$A41,Source_BS!D:D)</f>
        <v>-1047115.16</v>
      </c>
      <c r="E41" s="6">
        <f>SUMIF(Source_BS!$A:$A,$A41,Source_BS!E:E)</f>
        <v>-1047115.16</v>
      </c>
      <c r="F41" s="6">
        <f>SUMIF(Source_BS!$A:$A,$A41,Source_BS!F:F)</f>
        <v>-1047115.16</v>
      </c>
      <c r="G41" s="6">
        <f>SUMIF(Source_BS!$A:$A,$A41,Source_BS!G:G)</f>
        <v>-1047115.16</v>
      </c>
      <c r="H41" s="6">
        <f>SUMIF(Source_BS!$A:$A,$A41,Source_BS!H:H)</f>
        <v>-1047115.16</v>
      </c>
      <c r="I41" s="6">
        <f>SUMIF(Source_BS!$A:$A,$A41,Source_BS!I:I)</f>
        <v>-1047115.16</v>
      </c>
      <c r="J41" s="6">
        <f>SUMIF(Source_BS!$A:$A,$A41,Source_BS!J:J)</f>
        <v>-1047115.16</v>
      </c>
      <c r="K41" s="6">
        <f>SUMIF(Source_BS!$A:$A,$A41,Source_BS!K:K)</f>
        <v>-1047115.16</v>
      </c>
      <c r="L41" s="6">
        <f>SUMIF(Source_BS!$A:$A,$A41,Source_BS!L:L)</f>
        <v>-1047115.16</v>
      </c>
      <c r="M41" s="6">
        <f>SUMIF(Source_BS!$A:$A,$A41,Source_BS!M:M)</f>
        <v>-991109.9</v>
      </c>
    </row>
    <row r="42" spans="1:13" x14ac:dyDescent="0.25">
      <c r="A42" s="7" t="s">
        <v>210</v>
      </c>
      <c r="B42" s="9">
        <f>SUMIF(Source_BS!$A:$A,$A42,Source_BS!B:B)</f>
        <v>954428.86</v>
      </c>
      <c r="C42" s="9">
        <f>SUMIF(Source_BS!$A:$A,$A42,Source_BS!C:C)</f>
        <v>1023959.05</v>
      </c>
      <c r="D42" s="9">
        <f>SUMIF(Source_BS!$A:$A,$A42,Source_BS!D:D)</f>
        <v>1023959.05</v>
      </c>
      <c r="E42" s="9">
        <f>SUMIF(Source_BS!$A:$A,$A42,Source_BS!E:E)</f>
        <v>1023959.05</v>
      </c>
      <c r="F42" s="9">
        <f>SUMIF(Source_BS!$A:$A,$A42,Source_BS!F:F)</f>
        <v>1074344.05</v>
      </c>
      <c r="G42" s="9">
        <f>SUMIF(Source_BS!$A:$A,$A42,Source_BS!G:G)</f>
        <v>1195234.05</v>
      </c>
      <c r="H42" s="9">
        <f>SUMIF(Source_BS!$A:$A,$A42,Source_BS!H:H)</f>
        <v>1195234.05</v>
      </c>
      <c r="I42" s="9">
        <f>SUMIF(Source_BS!$A:$A,$A42,Source_BS!I:I)</f>
        <v>1195234.05</v>
      </c>
      <c r="J42" s="9">
        <f>SUMIF(Source_BS!$A:$A,$A42,Source_BS!J:J)</f>
        <v>1286444.6599999999</v>
      </c>
      <c r="K42" s="9">
        <f>SUMIF(Source_BS!$A:$A,$A42,Source_BS!K:K)</f>
        <v>1341085.1200000001</v>
      </c>
      <c r="L42" s="9">
        <f>SUMIF(Source_BS!$A:$A,$A42,Source_BS!L:L)</f>
        <v>1349998.88</v>
      </c>
      <c r="M42" s="9">
        <f>SUMIF(Source_BS!$A:$A,$A42,Source_BS!M:M)</f>
        <v>1082998.99</v>
      </c>
    </row>
    <row r="43" spans="1:13" x14ac:dyDescent="0.25">
      <c r="A43" s="7" t="s">
        <v>211</v>
      </c>
      <c r="B43" s="9">
        <f>SUMIF(Source_BS!$A:$A,$A43,Source_BS!B:B)</f>
        <v>954428.86</v>
      </c>
      <c r="C43" s="9">
        <f>SUMIF(Source_BS!$A:$A,$A43,Source_BS!C:C)</f>
        <v>1023959.05</v>
      </c>
      <c r="D43" s="9">
        <f>SUMIF(Source_BS!$A:$A,$A43,Source_BS!D:D)</f>
        <v>1023959.05</v>
      </c>
      <c r="E43" s="9">
        <f>SUMIF(Source_BS!$A:$A,$A43,Source_BS!E:E)</f>
        <v>1023959.05</v>
      </c>
      <c r="F43" s="9">
        <f>SUMIF(Source_BS!$A:$A,$A43,Source_BS!F:F)</f>
        <v>1074344.05</v>
      </c>
      <c r="G43" s="9">
        <f>SUMIF(Source_BS!$A:$A,$A43,Source_BS!G:G)</f>
        <v>1195234.05</v>
      </c>
      <c r="H43" s="9">
        <f>SUMIF(Source_BS!$A:$A,$A43,Source_BS!H:H)</f>
        <v>1195234.05</v>
      </c>
      <c r="I43" s="9">
        <f>SUMIF(Source_BS!$A:$A,$A43,Source_BS!I:I)</f>
        <v>1195234.05</v>
      </c>
      <c r="J43" s="9">
        <f>SUMIF(Source_BS!$A:$A,$A43,Source_BS!J:J)</f>
        <v>1286444.6599999999</v>
      </c>
      <c r="K43" s="9">
        <f>SUMIF(Source_BS!$A:$A,$A43,Source_BS!K:K)</f>
        <v>1341085.1200000001</v>
      </c>
      <c r="L43" s="9">
        <f>SUMIF(Source_BS!$A:$A,$A43,Source_BS!L:L)</f>
        <v>1349998.88</v>
      </c>
      <c r="M43" s="9">
        <f>SUMIF(Source_BS!$A:$A,$A43,Source_BS!M:M)</f>
        <v>1082998.99</v>
      </c>
    </row>
    <row r="44" spans="1:13" x14ac:dyDescent="0.25">
      <c r="A44" t="s">
        <v>212</v>
      </c>
      <c r="B44" s="6">
        <f>SUMIF(Source_BS!$A:$A,$A44,Source_BS!B:B)</f>
        <v>0</v>
      </c>
      <c r="C44" s="6">
        <f>SUMIF(Source_BS!$A:$A,$A44,Source_BS!C:C)</f>
        <v>0</v>
      </c>
      <c r="D44" s="6">
        <f>SUMIF(Source_BS!$A:$A,$A44,Source_BS!D:D)</f>
        <v>0</v>
      </c>
      <c r="E44" s="6">
        <f>SUMIF(Source_BS!$A:$A,$A44,Source_BS!E:E)</f>
        <v>0</v>
      </c>
      <c r="F44" s="6">
        <f>SUMIF(Source_BS!$A:$A,$A44,Source_BS!F:F)</f>
        <v>0</v>
      </c>
      <c r="G44" s="6">
        <f>SUMIF(Source_BS!$A:$A,$A44,Source_BS!G:G)</f>
        <v>0</v>
      </c>
      <c r="H44" s="6">
        <f>SUMIF(Source_BS!$A:$A,$A44,Source_BS!H:H)</f>
        <v>0</v>
      </c>
      <c r="I44" s="6">
        <f>SUMIF(Source_BS!$A:$A,$A44,Source_BS!I:I)</f>
        <v>0</v>
      </c>
      <c r="J44" s="6">
        <f>SUMIF(Source_BS!$A:$A,$A44,Source_BS!J:J)</f>
        <v>0</v>
      </c>
      <c r="K44" s="6">
        <f>SUMIF(Source_BS!$A:$A,$A44,Source_BS!K:K)</f>
        <v>0</v>
      </c>
      <c r="L44" s="6">
        <f>SUMIF(Source_BS!$A:$A,$A44,Source_BS!L:L)</f>
        <v>0</v>
      </c>
      <c r="M44" s="6">
        <f>SUMIF(Source_BS!$A:$A,$A44,Source_BS!M:M)</f>
        <v>0</v>
      </c>
    </row>
    <row r="45" spans="1:13" x14ac:dyDescent="0.25">
      <c r="A45" t="s">
        <v>213</v>
      </c>
      <c r="B45" s="6">
        <f>SUMIF(Source_BS!$A:$A,$A45,Source_BS!B:B)</f>
        <v>824</v>
      </c>
      <c r="C45" s="6">
        <f>SUMIF(Source_BS!$A:$A,$A45,Source_BS!C:C)</f>
        <v>824</v>
      </c>
      <c r="D45" s="6">
        <f>SUMIF(Source_BS!$A:$A,$A45,Source_BS!D:D)</f>
        <v>824</v>
      </c>
      <c r="E45" s="6">
        <f>SUMIF(Source_BS!$A:$A,$A45,Source_BS!E:E)</f>
        <v>824</v>
      </c>
      <c r="F45" s="6">
        <f>SUMIF(Source_BS!$A:$A,$A45,Source_BS!F:F)</f>
        <v>824</v>
      </c>
      <c r="G45" s="6">
        <f>SUMIF(Source_BS!$A:$A,$A45,Source_BS!G:G)</f>
        <v>824</v>
      </c>
      <c r="H45" s="6">
        <f>SUMIF(Source_BS!$A:$A,$A45,Source_BS!H:H)</f>
        <v>824</v>
      </c>
      <c r="I45" s="6">
        <f>SUMIF(Source_BS!$A:$A,$A45,Source_BS!I:I)</f>
        <v>824</v>
      </c>
      <c r="J45" s="6">
        <f>SUMIF(Source_BS!$A:$A,$A45,Source_BS!J:J)</f>
        <v>824</v>
      </c>
      <c r="K45" s="6">
        <f>SUMIF(Source_BS!$A:$A,$A45,Source_BS!K:K)</f>
        <v>824</v>
      </c>
      <c r="L45" s="6">
        <f>SUMIF(Source_BS!$A:$A,$A45,Source_BS!L:L)</f>
        <v>824</v>
      </c>
      <c r="M45" s="6">
        <f>SUMIF(Source_BS!$A:$A,$A45,Source_BS!M:M)</f>
        <v>0</v>
      </c>
    </row>
    <row r="46" spans="1:13" x14ac:dyDescent="0.25">
      <c r="A46" t="s">
        <v>214</v>
      </c>
      <c r="B46" s="6">
        <f>SUMIF(Source_BS!$A:$A,$A46,Source_BS!B:B)</f>
        <v>0</v>
      </c>
      <c r="C46" s="6">
        <f>SUMIF(Source_BS!$A:$A,$A46,Source_BS!C:C)</f>
        <v>0</v>
      </c>
      <c r="D46" s="6">
        <f>SUMIF(Source_BS!$A:$A,$A46,Source_BS!D:D)</f>
        <v>0</v>
      </c>
      <c r="E46" s="6">
        <f>SUMIF(Source_BS!$A:$A,$A46,Source_BS!E:E)</f>
        <v>700</v>
      </c>
      <c r="F46" s="6">
        <f>SUMIF(Source_BS!$A:$A,$A46,Source_BS!F:F)</f>
        <v>700</v>
      </c>
      <c r="G46" s="6">
        <f>SUMIF(Source_BS!$A:$A,$A46,Source_BS!G:G)</f>
        <v>700</v>
      </c>
      <c r="H46" s="6">
        <f>SUMIF(Source_BS!$A:$A,$A46,Source_BS!H:H)</f>
        <v>700</v>
      </c>
      <c r="I46" s="6">
        <f>SUMIF(Source_BS!$A:$A,$A46,Source_BS!I:I)</f>
        <v>700</v>
      </c>
      <c r="J46" s="6">
        <f>SUMIF(Source_BS!$A:$A,$A46,Source_BS!J:J)</f>
        <v>700</v>
      </c>
      <c r="K46" s="6">
        <f>SUMIF(Source_BS!$A:$A,$A46,Source_BS!K:K)</f>
        <v>700</v>
      </c>
      <c r="L46" s="6">
        <f>SUMIF(Source_BS!$A:$A,$A46,Source_BS!L:L)</f>
        <v>700</v>
      </c>
      <c r="M46" s="6">
        <f>SUMIF(Source_BS!$A:$A,$A46,Source_BS!M:M)</f>
        <v>700</v>
      </c>
    </row>
    <row r="47" spans="1:13" x14ac:dyDescent="0.25">
      <c r="A47" s="7" t="s">
        <v>215</v>
      </c>
      <c r="B47" s="9">
        <f>SUMIF(Source_BS!$A:$A,$A47,Source_BS!B:B)</f>
        <v>824</v>
      </c>
      <c r="C47" s="9">
        <f>SUMIF(Source_BS!$A:$A,$A47,Source_BS!C:C)</f>
        <v>824</v>
      </c>
      <c r="D47" s="9">
        <f>SUMIF(Source_BS!$A:$A,$A47,Source_BS!D:D)</f>
        <v>824</v>
      </c>
      <c r="E47" s="9">
        <f>SUMIF(Source_BS!$A:$A,$A47,Source_BS!E:E)</f>
        <v>1524</v>
      </c>
      <c r="F47" s="9">
        <f>SUMIF(Source_BS!$A:$A,$A47,Source_BS!F:F)</f>
        <v>1524</v>
      </c>
      <c r="G47" s="9">
        <f>SUMIF(Source_BS!$A:$A,$A47,Source_BS!G:G)</f>
        <v>1524</v>
      </c>
      <c r="H47" s="9">
        <f>SUMIF(Source_BS!$A:$A,$A47,Source_BS!H:H)</f>
        <v>1524</v>
      </c>
      <c r="I47" s="9">
        <f>SUMIF(Source_BS!$A:$A,$A47,Source_BS!I:I)</f>
        <v>1524</v>
      </c>
      <c r="J47" s="9">
        <f>SUMIF(Source_BS!$A:$A,$A47,Source_BS!J:J)</f>
        <v>1524</v>
      </c>
      <c r="K47" s="9">
        <f>SUMIF(Source_BS!$A:$A,$A47,Source_BS!K:K)</f>
        <v>1524</v>
      </c>
      <c r="L47" s="9">
        <f>SUMIF(Source_BS!$A:$A,$A47,Source_BS!L:L)</f>
        <v>1524</v>
      </c>
      <c r="M47" s="9">
        <f>SUMIF(Source_BS!$A:$A,$A47,Source_BS!M:M)</f>
        <v>700</v>
      </c>
    </row>
    <row r="48" spans="1:13" x14ac:dyDescent="0.25">
      <c r="A48" s="7" t="s">
        <v>216</v>
      </c>
      <c r="B48" s="9">
        <f>SUMIF(Source_BS!$A:$A,$A48,Source_BS!B:B)</f>
        <v>1269404.22</v>
      </c>
      <c r="C48" s="9">
        <f>SUMIF(Source_BS!$A:$A,$A48,Source_BS!C:C)</f>
        <v>1221380.3600000001</v>
      </c>
      <c r="D48" s="9">
        <f>SUMIF(Source_BS!$A:$A,$A48,Source_BS!D:D)</f>
        <v>1435953.02</v>
      </c>
      <c r="E48" s="9">
        <f>SUMIF(Source_BS!$A:$A,$A48,Source_BS!E:E)</f>
        <v>1347040.37</v>
      </c>
      <c r="F48" s="9">
        <f>SUMIF(Source_BS!$A:$A,$A48,Source_BS!F:F)</f>
        <v>1435527.81</v>
      </c>
      <c r="G48" s="9">
        <f>SUMIF(Source_BS!$A:$A,$A48,Source_BS!G:G)</f>
        <v>1436280.72</v>
      </c>
      <c r="H48" s="9">
        <f>SUMIF(Source_BS!$A:$A,$A48,Source_BS!H:H)</f>
        <v>1499351.36</v>
      </c>
      <c r="I48" s="9">
        <f>SUMIF(Source_BS!$A:$A,$A48,Source_BS!I:I)</f>
        <v>1466013.7</v>
      </c>
      <c r="J48" s="9">
        <f>SUMIF(Source_BS!$A:$A,$A48,Source_BS!J:J)</f>
        <v>1645827.56</v>
      </c>
      <c r="K48" s="9">
        <f>SUMIF(Source_BS!$A:$A,$A48,Source_BS!K:K)</f>
        <v>1581071.48</v>
      </c>
      <c r="L48" s="9">
        <f>SUMIF(Source_BS!$A:$A,$A48,Source_BS!L:L)</f>
        <v>1663488.27</v>
      </c>
      <c r="M48" s="9">
        <f>SUMIF(Source_BS!$A:$A,$A48,Source_BS!M:M)</f>
        <v>1545972.16</v>
      </c>
    </row>
    <row r="49" spans="1:13" x14ac:dyDescent="0.25">
      <c r="A49" t="s">
        <v>217</v>
      </c>
      <c r="B49" s="6">
        <f>SUMIF(Source_BS!$A:$A,$A49,Source_BS!B:B)</f>
        <v>0</v>
      </c>
      <c r="C49" s="6">
        <f>SUMIF(Source_BS!$A:$A,$A49,Source_BS!C:C)</f>
        <v>0</v>
      </c>
      <c r="D49" s="6">
        <f>SUMIF(Source_BS!$A:$A,$A49,Source_BS!D:D)</f>
        <v>0</v>
      </c>
      <c r="E49" s="6">
        <f>SUMIF(Source_BS!$A:$A,$A49,Source_BS!E:E)</f>
        <v>0</v>
      </c>
      <c r="F49" s="6">
        <f>SUMIF(Source_BS!$A:$A,$A49,Source_BS!F:F)</f>
        <v>0</v>
      </c>
      <c r="G49" s="6">
        <f>SUMIF(Source_BS!$A:$A,$A49,Source_BS!G:G)</f>
        <v>0</v>
      </c>
      <c r="H49" s="6">
        <f>SUMIF(Source_BS!$A:$A,$A49,Source_BS!H:H)</f>
        <v>0</v>
      </c>
      <c r="I49" s="6">
        <f>SUMIF(Source_BS!$A:$A,$A49,Source_BS!I:I)</f>
        <v>0</v>
      </c>
      <c r="J49" s="6">
        <f>SUMIF(Source_BS!$A:$A,$A49,Source_BS!J:J)</f>
        <v>0</v>
      </c>
      <c r="K49" s="6">
        <f>SUMIF(Source_BS!$A:$A,$A49,Source_BS!K:K)</f>
        <v>0</v>
      </c>
      <c r="L49" s="6">
        <f>SUMIF(Source_BS!$A:$A,$A49,Source_BS!L:L)</f>
        <v>0</v>
      </c>
      <c r="M49" s="6">
        <f>SUMIF(Source_BS!$A:$A,$A49,Source_BS!M:M)</f>
        <v>0</v>
      </c>
    </row>
    <row r="50" spans="1:13" x14ac:dyDescent="0.25">
      <c r="A50" t="s">
        <v>218</v>
      </c>
      <c r="B50" s="6">
        <f>SUMIF(Source_BS!$A:$A,$A50,Source_BS!B:B)</f>
        <v>0</v>
      </c>
      <c r="C50" s="6">
        <f>SUMIF(Source_BS!$A:$A,$A50,Source_BS!C:C)</f>
        <v>0</v>
      </c>
      <c r="D50" s="6">
        <f>SUMIF(Source_BS!$A:$A,$A50,Source_BS!D:D)</f>
        <v>0</v>
      </c>
      <c r="E50" s="6">
        <f>SUMIF(Source_BS!$A:$A,$A50,Source_BS!E:E)</f>
        <v>0</v>
      </c>
      <c r="F50" s="6">
        <f>SUMIF(Source_BS!$A:$A,$A50,Source_BS!F:F)</f>
        <v>0</v>
      </c>
      <c r="G50" s="6">
        <f>SUMIF(Source_BS!$A:$A,$A50,Source_BS!G:G)</f>
        <v>0</v>
      </c>
      <c r="H50" s="6">
        <f>SUMIF(Source_BS!$A:$A,$A50,Source_BS!H:H)</f>
        <v>0</v>
      </c>
      <c r="I50" s="6">
        <f>SUMIF(Source_BS!$A:$A,$A50,Source_BS!I:I)</f>
        <v>0</v>
      </c>
      <c r="J50" s="6">
        <f>SUMIF(Source_BS!$A:$A,$A50,Source_BS!J:J)</f>
        <v>0</v>
      </c>
      <c r="K50" s="6">
        <f>SUMIF(Source_BS!$A:$A,$A50,Source_BS!K:K)</f>
        <v>0</v>
      </c>
      <c r="L50" s="6">
        <f>SUMIF(Source_BS!$A:$A,$A50,Source_BS!L:L)</f>
        <v>0</v>
      </c>
      <c r="M50" s="6">
        <f>SUMIF(Source_BS!$A:$A,$A50,Source_BS!M:M)</f>
        <v>0</v>
      </c>
    </row>
    <row r="51" spans="1:13" x14ac:dyDescent="0.25">
      <c r="A51" t="s">
        <v>219</v>
      </c>
      <c r="B51" s="6">
        <f>SUMIF(Source_BS!$A:$A,$A51,Source_BS!B:B)</f>
        <v>0</v>
      </c>
      <c r="C51" s="6">
        <f>SUMIF(Source_BS!$A:$A,$A51,Source_BS!C:C)</f>
        <v>0</v>
      </c>
      <c r="D51" s="6">
        <f>SUMIF(Source_BS!$A:$A,$A51,Source_BS!D:D)</f>
        <v>0</v>
      </c>
      <c r="E51" s="6">
        <f>SUMIF(Source_BS!$A:$A,$A51,Source_BS!E:E)</f>
        <v>0</v>
      </c>
      <c r="F51" s="6">
        <f>SUMIF(Source_BS!$A:$A,$A51,Source_BS!F:F)</f>
        <v>0</v>
      </c>
      <c r="G51" s="6">
        <f>SUMIF(Source_BS!$A:$A,$A51,Source_BS!G:G)</f>
        <v>0</v>
      </c>
      <c r="H51" s="6">
        <f>SUMIF(Source_BS!$A:$A,$A51,Source_BS!H:H)</f>
        <v>0</v>
      </c>
      <c r="I51" s="6">
        <f>SUMIF(Source_BS!$A:$A,$A51,Source_BS!I:I)</f>
        <v>0</v>
      </c>
      <c r="J51" s="6">
        <f>SUMIF(Source_BS!$A:$A,$A51,Source_BS!J:J)</f>
        <v>0</v>
      </c>
      <c r="K51" s="6">
        <f>SUMIF(Source_BS!$A:$A,$A51,Source_BS!K:K)</f>
        <v>0</v>
      </c>
      <c r="L51" s="6">
        <f>SUMIF(Source_BS!$A:$A,$A51,Source_BS!L:L)</f>
        <v>0</v>
      </c>
      <c r="M51" s="6">
        <f>SUMIF(Source_BS!$A:$A,$A51,Source_BS!M:M)</f>
        <v>0</v>
      </c>
    </row>
    <row r="52" spans="1:13" x14ac:dyDescent="0.25">
      <c r="A52" t="s">
        <v>220</v>
      </c>
      <c r="B52" s="6">
        <f>SUMIF(Source_BS!$A:$A,$A52,Source_BS!B:B)</f>
        <v>0</v>
      </c>
      <c r="C52" s="6">
        <f>SUMIF(Source_BS!$A:$A,$A52,Source_BS!C:C)</f>
        <v>0</v>
      </c>
      <c r="D52" s="6">
        <f>SUMIF(Source_BS!$A:$A,$A52,Source_BS!D:D)</f>
        <v>0</v>
      </c>
      <c r="E52" s="6">
        <f>SUMIF(Source_BS!$A:$A,$A52,Source_BS!E:E)</f>
        <v>0</v>
      </c>
      <c r="F52" s="6">
        <f>SUMIF(Source_BS!$A:$A,$A52,Source_BS!F:F)</f>
        <v>0</v>
      </c>
      <c r="G52" s="6">
        <f>SUMIF(Source_BS!$A:$A,$A52,Source_BS!G:G)</f>
        <v>0</v>
      </c>
      <c r="H52" s="6">
        <f>SUMIF(Source_BS!$A:$A,$A52,Source_BS!H:H)</f>
        <v>0</v>
      </c>
      <c r="I52" s="6">
        <f>SUMIF(Source_BS!$A:$A,$A52,Source_BS!I:I)</f>
        <v>0</v>
      </c>
      <c r="J52" s="6">
        <f>SUMIF(Source_BS!$A:$A,$A52,Source_BS!J:J)</f>
        <v>0</v>
      </c>
      <c r="K52" s="6">
        <f>SUMIF(Source_BS!$A:$A,$A52,Source_BS!K:K)</f>
        <v>0</v>
      </c>
      <c r="L52" s="6">
        <f>SUMIF(Source_BS!$A:$A,$A52,Source_BS!L:L)</f>
        <v>0</v>
      </c>
      <c r="M52" s="6">
        <f>SUMIF(Source_BS!$A:$A,$A52,Source_BS!M:M)</f>
        <v>0</v>
      </c>
    </row>
    <row r="53" spans="1:13" x14ac:dyDescent="0.25">
      <c r="A53" t="s">
        <v>221</v>
      </c>
      <c r="B53" s="6">
        <f>SUMIF(Source_BS!$A:$A,$A53,Source_BS!B:B)</f>
        <v>0</v>
      </c>
      <c r="C53" s="6">
        <f>SUMIF(Source_BS!$A:$A,$A53,Source_BS!C:C)</f>
        <v>0</v>
      </c>
      <c r="D53" s="6">
        <f>SUMIF(Source_BS!$A:$A,$A53,Source_BS!D:D)</f>
        <v>0</v>
      </c>
      <c r="E53" s="6">
        <f>SUMIF(Source_BS!$A:$A,$A53,Source_BS!E:E)</f>
        <v>0</v>
      </c>
      <c r="F53" s="6">
        <f>SUMIF(Source_BS!$A:$A,$A53,Source_BS!F:F)</f>
        <v>0</v>
      </c>
      <c r="G53" s="6">
        <f>SUMIF(Source_BS!$A:$A,$A53,Source_BS!G:G)</f>
        <v>0</v>
      </c>
      <c r="H53" s="6">
        <f>SUMIF(Source_BS!$A:$A,$A53,Source_BS!H:H)</f>
        <v>0</v>
      </c>
      <c r="I53" s="6">
        <f>SUMIF(Source_BS!$A:$A,$A53,Source_BS!I:I)</f>
        <v>0</v>
      </c>
      <c r="J53" s="6">
        <f>SUMIF(Source_BS!$A:$A,$A53,Source_BS!J:J)</f>
        <v>0</v>
      </c>
      <c r="K53" s="6">
        <f>SUMIF(Source_BS!$A:$A,$A53,Source_BS!K:K)</f>
        <v>0</v>
      </c>
      <c r="L53" s="6">
        <f>SUMIF(Source_BS!$A:$A,$A53,Source_BS!L:L)</f>
        <v>0</v>
      </c>
      <c r="M53" s="6">
        <f>SUMIF(Source_BS!$A:$A,$A53,Source_BS!M:M)</f>
        <v>0</v>
      </c>
    </row>
    <row r="54" spans="1:13" x14ac:dyDescent="0.25">
      <c r="A54" t="s">
        <v>222</v>
      </c>
      <c r="B54" s="6">
        <f>SUMIF(Source_BS!$A:$A,$A54,Source_BS!B:B)</f>
        <v>15476.72</v>
      </c>
      <c r="C54" s="6">
        <f>SUMIF(Source_BS!$A:$A,$A54,Source_BS!C:C)</f>
        <v>7848.3399999999992</v>
      </c>
      <c r="D54" s="6">
        <f>SUMIF(Source_BS!$A:$A,$A54,Source_BS!D:D)</f>
        <v>6781.2199999999993</v>
      </c>
      <c r="E54" s="6">
        <f>SUMIF(Source_BS!$A:$A,$A54,Source_BS!E:E)</f>
        <v>8776.119999999999</v>
      </c>
      <c r="F54" s="6">
        <f>SUMIF(Source_BS!$A:$A,$A54,Source_BS!F:F)</f>
        <v>6202.9399999999987</v>
      </c>
      <c r="G54" s="6">
        <f>SUMIF(Source_BS!$A:$A,$A54,Source_BS!G:G)</f>
        <v>11732.26</v>
      </c>
      <c r="H54" s="6">
        <f>SUMIF(Source_BS!$A:$A,$A54,Source_BS!H:H)</f>
        <v>15515.47</v>
      </c>
      <c r="I54" s="6">
        <f>SUMIF(Source_BS!$A:$A,$A54,Source_BS!I:I)</f>
        <v>8655.9099999999962</v>
      </c>
      <c r="J54" s="6">
        <f>SUMIF(Source_BS!$A:$A,$A54,Source_BS!J:J)</f>
        <v>9312.8799999999956</v>
      </c>
      <c r="K54" s="6">
        <f>SUMIF(Source_BS!$A:$A,$A54,Source_BS!K:K)</f>
        <v>3059.919999999996</v>
      </c>
      <c r="L54" s="6">
        <f>SUMIF(Source_BS!$A:$A,$A54,Source_BS!L:L)</f>
        <v>19646.339999999989</v>
      </c>
      <c r="M54" s="6">
        <f>SUMIF(Source_BS!$A:$A,$A54,Source_BS!M:M)</f>
        <v>17417.709999999988</v>
      </c>
    </row>
    <row r="55" spans="1:13" x14ac:dyDescent="0.25">
      <c r="A55" t="s">
        <v>223</v>
      </c>
      <c r="B55" s="6">
        <f>SUMIF(Source_BS!$A:$A,$A55,Source_BS!B:B)</f>
        <v>32621.91</v>
      </c>
      <c r="C55" s="6">
        <f>SUMIF(Source_BS!$A:$A,$A55,Source_BS!C:C)</f>
        <v>23081.52</v>
      </c>
      <c r="D55" s="6">
        <f>SUMIF(Source_BS!$A:$A,$A55,Source_BS!D:D)</f>
        <v>76.290000000000873</v>
      </c>
      <c r="E55" s="6">
        <f>SUMIF(Source_BS!$A:$A,$A55,Source_BS!E:E)</f>
        <v>4558.5400000000009</v>
      </c>
      <c r="F55" s="6">
        <f>SUMIF(Source_BS!$A:$A,$A55,Source_BS!F:F)</f>
        <v>3321.2400000000011</v>
      </c>
      <c r="G55" s="6">
        <f>SUMIF(Source_BS!$A:$A,$A55,Source_BS!G:G)</f>
        <v>5889.4900000000007</v>
      </c>
      <c r="H55" s="6">
        <f>SUMIF(Source_BS!$A:$A,$A55,Source_BS!H:H)</f>
        <v>18385.43</v>
      </c>
      <c r="I55" s="6">
        <f>SUMIF(Source_BS!$A:$A,$A55,Source_BS!I:I)</f>
        <v>579.45000000000073</v>
      </c>
      <c r="J55" s="6">
        <f>SUMIF(Source_BS!$A:$A,$A55,Source_BS!J:J)</f>
        <v>16522.27</v>
      </c>
      <c r="K55" s="6">
        <f>SUMIF(Source_BS!$A:$A,$A55,Source_BS!K:K)</f>
        <v>24019.57</v>
      </c>
      <c r="L55" s="6">
        <f>SUMIF(Source_BS!$A:$A,$A55,Source_BS!L:L)</f>
        <v>4913.2099999999991</v>
      </c>
      <c r="M55" s="6">
        <f>SUMIF(Source_BS!$A:$A,$A55,Source_BS!M:M)</f>
        <v>32047.83</v>
      </c>
    </row>
    <row r="56" spans="1:13" x14ac:dyDescent="0.25">
      <c r="A56" t="s">
        <v>224</v>
      </c>
      <c r="B56" s="6">
        <f>SUMIF(Source_BS!$A:$A,$A56,Source_BS!B:B)</f>
        <v>1754.21</v>
      </c>
      <c r="C56" s="6">
        <f>SUMIF(Source_BS!$A:$A,$A56,Source_BS!C:C)</f>
        <v>1974.46</v>
      </c>
      <c r="D56" s="6">
        <f>SUMIF(Source_BS!$A:$A,$A56,Source_BS!D:D)</f>
        <v>0</v>
      </c>
      <c r="E56" s="6">
        <f>SUMIF(Source_BS!$A:$A,$A56,Source_BS!E:E)</f>
        <v>0</v>
      </c>
      <c r="F56" s="6">
        <f>SUMIF(Source_BS!$A:$A,$A56,Source_BS!F:F)</f>
        <v>0</v>
      </c>
      <c r="G56" s="6">
        <f>SUMIF(Source_BS!$A:$A,$A56,Source_BS!G:G)</f>
        <v>0</v>
      </c>
      <c r="H56" s="6">
        <f>SUMIF(Source_BS!$A:$A,$A56,Source_BS!H:H)</f>
        <v>0</v>
      </c>
      <c r="I56" s="6">
        <f>SUMIF(Source_BS!$A:$A,$A56,Source_BS!I:I)</f>
        <v>0</v>
      </c>
      <c r="J56" s="6">
        <f>SUMIF(Source_BS!$A:$A,$A56,Source_BS!J:J)</f>
        <v>0</v>
      </c>
      <c r="K56" s="6">
        <f>SUMIF(Source_BS!$A:$A,$A56,Source_BS!K:K)</f>
        <v>0</v>
      </c>
      <c r="L56" s="6">
        <f>SUMIF(Source_BS!$A:$A,$A56,Source_BS!L:L)</f>
        <v>0</v>
      </c>
      <c r="M56" s="6">
        <f>SUMIF(Source_BS!$A:$A,$A56,Source_BS!M:M)</f>
        <v>0</v>
      </c>
    </row>
    <row r="57" spans="1:13" x14ac:dyDescent="0.25">
      <c r="A57" t="s">
        <v>225</v>
      </c>
      <c r="B57" s="6">
        <f>SUMIF(Source_BS!$A:$A,$A57,Source_BS!B:B)</f>
        <v>29485.98</v>
      </c>
      <c r="C57" s="6">
        <f>SUMIF(Source_BS!$A:$A,$A57,Source_BS!C:C)</f>
        <v>14813.04</v>
      </c>
      <c r="D57" s="6">
        <f>SUMIF(Source_BS!$A:$A,$A57,Source_BS!D:D)</f>
        <v>7994.8399999999992</v>
      </c>
      <c r="E57" s="6">
        <f>SUMIF(Source_BS!$A:$A,$A57,Source_BS!E:E)</f>
        <v>2084.7199999999989</v>
      </c>
      <c r="F57" s="6">
        <f>SUMIF(Source_BS!$A:$A,$A57,Source_BS!F:F)</f>
        <v>16586.080000000002</v>
      </c>
      <c r="G57" s="6">
        <f>SUMIF(Source_BS!$A:$A,$A57,Source_BS!G:G)</f>
        <v>13327.13</v>
      </c>
      <c r="H57" s="6">
        <f>SUMIF(Source_BS!$A:$A,$A57,Source_BS!H:H)</f>
        <v>13405.34</v>
      </c>
      <c r="I57" s="6">
        <f>SUMIF(Source_BS!$A:$A,$A57,Source_BS!I:I)</f>
        <v>23086.73</v>
      </c>
      <c r="J57" s="6">
        <f>SUMIF(Source_BS!$A:$A,$A57,Source_BS!J:J)</f>
        <v>16269.57</v>
      </c>
      <c r="K57" s="6">
        <f>SUMIF(Source_BS!$A:$A,$A57,Source_BS!K:K)</f>
        <v>21621.8</v>
      </c>
      <c r="L57" s="6">
        <f>SUMIF(Source_BS!$A:$A,$A57,Source_BS!L:L)</f>
        <v>1949.149999999998</v>
      </c>
      <c r="M57" s="6">
        <f>SUMIF(Source_BS!$A:$A,$A57,Source_BS!M:M)</f>
        <v>8999.6899999999987</v>
      </c>
    </row>
    <row r="58" spans="1:13" x14ac:dyDescent="0.25">
      <c r="A58" t="s">
        <v>226</v>
      </c>
      <c r="B58" s="6">
        <f>SUMIF(Source_BS!$A:$A,$A58,Source_BS!B:B)</f>
        <v>0</v>
      </c>
      <c r="C58" s="6">
        <f>SUMIF(Source_BS!$A:$A,$A58,Source_BS!C:C)</f>
        <v>0</v>
      </c>
      <c r="D58" s="6">
        <f>SUMIF(Source_BS!$A:$A,$A58,Source_BS!D:D)</f>
        <v>0</v>
      </c>
      <c r="E58" s="6">
        <f>SUMIF(Source_BS!$A:$A,$A58,Source_BS!E:E)</f>
        <v>694.4</v>
      </c>
      <c r="F58" s="6">
        <f>SUMIF(Source_BS!$A:$A,$A58,Source_BS!F:F)</f>
        <v>694.4</v>
      </c>
      <c r="G58" s="6">
        <f>SUMIF(Source_BS!$A:$A,$A58,Source_BS!G:G)</f>
        <v>740.85</v>
      </c>
      <c r="H58" s="6">
        <f>SUMIF(Source_BS!$A:$A,$A58,Source_BS!H:H)</f>
        <v>0</v>
      </c>
      <c r="I58" s="6">
        <f>SUMIF(Source_BS!$A:$A,$A58,Source_BS!I:I)</f>
        <v>0</v>
      </c>
      <c r="J58" s="6">
        <f>SUMIF(Source_BS!$A:$A,$A58,Source_BS!J:J)</f>
        <v>0</v>
      </c>
      <c r="K58" s="6">
        <f>SUMIF(Source_BS!$A:$A,$A58,Source_BS!K:K)</f>
        <v>0</v>
      </c>
      <c r="L58" s="6">
        <f>SUMIF(Source_BS!$A:$A,$A58,Source_BS!L:L)</f>
        <v>0</v>
      </c>
      <c r="M58" s="6">
        <f>SUMIF(Source_BS!$A:$A,$A58,Source_BS!M:M)</f>
        <v>0</v>
      </c>
    </row>
    <row r="59" spans="1:13" x14ac:dyDescent="0.25">
      <c r="A59" t="s">
        <v>227</v>
      </c>
      <c r="B59" s="6">
        <f>SUMIF(Source_BS!$A:$A,$A59,Source_BS!B:B)</f>
        <v>0</v>
      </c>
      <c r="C59" s="6">
        <f>SUMIF(Source_BS!$A:$A,$A59,Source_BS!C:C)</f>
        <v>6506.06</v>
      </c>
      <c r="D59" s="6">
        <f>SUMIF(Source_BS!$A:$A,$A59,Source_BS!D:D)</f>
        <v>-3472.53</v>
      </c>
      <c r="E59" s="6">
        <f>SUMIF(Source_BS!$A:$A,$A59,Source_BS!E:E)</f>
        <v>-61.869999999999891</v>
      </c>
      <c r="F59" s="6">
        <f>SUMIF(Source_BS!$A:$A,$A59,Source_BS!F:F)</f>
        <v>1.06581410364015E-13</v>
      </c>
      <c r="G59" s="6">
        <f>SUMIF(Source_BS!$A:$A,$A59,Source_BS!G:G)</f>
        <v>1.06581410364015E-13</v>
      </c>
      <c r="H59" s="6">
        <f>SUMIF(Source_BS!$A:$A,$A59,Source_BS!H:H)</f>
        <v>11811.61</v>
      </c>
      <c r="I59" s="6">
        <f>SUMIF(Source_BS!$A:$A,$A59,Source_BS!I:I)</f>
        <v>0</v>
      </c>
      <c r="J59" s="6">
        <f>SUMIF(Source_BS!$A:$A,$A59,Source_BS!J:J)</f>
        <v>0</v>
      </c>
      <c r="K59" s="6">
        <f>SUMIF(Source_BS!$A:$A,$A59,Source_BS!K:K)</f>
        <v>10562.31</v>
      </c>
      <c r="L59" s="6">
        <f>SUMIF(Source_BS!$A:$A,$A59,Source_BS!L:L)</f>
        <v>0</v>
      </c>
      <c r="M59" s="6">
        <f>SUMIF(Source_BS!$A:$A,$A59,Source_BS!M:M)</f>
        <v>0</v>
      </c>
    </row>
    <row r="60" spans="1:13" x14ac:dyDescent="0.25">
      <c r="A60" t="s">
        <v>228</v>
      </c>
      <c r="B60" s="6">
        <f>SUMIF(Source_BS!$A:$A,$A60,Source_BS!B:B)</f>
        <v>4896.88</v>
      </c>
      <c r="C60" s="6">
        <f>SUMIF(Source_BS!$A:$A,$A60,Source_BS!C:C)</f>
        <v>9265.4700000000012</v>
      </c>
      <c r="D60" s="6">
        <f>SUMIF(Source_BS!$A:$A,$A60,Source_BS!D:D)</f>
        <v>9738.69</v>
      </c>
      <c r="E60" s="6">
        <f>SUMIF(Source_BS!$A:$A,$A60,Source_BS!E:E)</f>
        <v>117.5400000000009</v>
      </c>
      <c r="F60" s="6">
        <f>SUMIF(Source_BS!$A:$A,$A60,Source_BS!F:F)</f>
        <v>8.6686213762732223E-13</v>
      </c>
      <c r="G60" s="6">
        <f>SUMIF(Source_BS!$A:$A,$A60,Source_BS!G:G)</f>
        <v>8969.5300000000007</v>
      </c>
      <c r="H60" s="6">
        <f>SUMIF(Source_BS!$A:$A,$A60,Source_BS!H:H)</f>
        <v>7869.2400000000007</v>
      </c>
      <c r="I60" s="6">
        <f>SUMIF(Source_BS!$A:$A,$A60,Source_BS!I:I)</f>
        <v>7608.1600000000008</v>
      </c>
      <c r="J60" s="6">
        <f>SUMIF(Source_BS!$A:$A,$A60,Source_BS!J:J)</f>
        <v>10621.68</v>
      </c>
      <c r="K60" s="6">
        <f>SUMIF(Source_BS!$A:$A,$A60,Source_BS!K:K)</f>
        <v>2171.6200000000008</v>
      </c>
      <c r="L60" s="6">
        <f>SUMIF(Source_BS!$A:$A,$A60,Source_BS!L:L)</f>
        <v>9.0949470177292824E-13</v>
      </c>
      <c r="M60" s="6">
        <f>SUMIF(Source_BS!$A:$A,$A60,Source_BS!M:M)</f>
        <v>11.74000000000091</v>
      </c>
    </row>
    <row r="61" spans="1:13" x14ac:dyDescent="0.25">
      <c r="A61" t="s">
        <v>229</v>
      </c>
      <c r="B61" s="6">
        <f>SUMIF(Source_BS!$A:$A,$A61,Source_BS!B:B)</f>
        <v>1619.52</v>
      </c>
      <c r="C61" s="6">
        <f>SUMIF(Source_BS!$A:$A,$A61,Source_BS!C:C)</f>
        <v>209.98</v>
      </c>
      <c r="D61" s="6">
        <f>SUMIF(Source_BS!$A:$A,$A61,Source_BS!D:D)</f>
        <v>327.43</v>
      </c>
      <c r="E61" s="6">
        <f>SUMIF(Source_BS!$A:$A,$A61,Source_BS!E:E)</f>
        <v>0</v>
      </c>
      <c r="F61" s="6">
        <f>SUMIF(Source_BS!$A:$A,$A61,Source_BS!F:F)</f>
        <v>0</v>
      </c>
      <c r="G61" s="6">
        <f>SUMIF(Source_BS!$A:$A,$A61,Source_BS!G:G)</f>
        <v>628.16</v>
      </c>
      <c r="H61" s="6">
        <f>SUMIF(Source_BS!$A:$A,$A61,Source_BS!H:H)</f>
        <v>642.79</v>
      </c>
      <c r="I61" s="6">
        <f>SUMIF(Source_BS!$A:$A,$A61,Source_BS!I:I)</f>
        <v>367.99999999999989</v>
      </c>
      <c r="J61" s="6">
        <f>SUMIF(Source_BS!$A:$A,$A61,Source_BS!J:J)</f>
        <v>-5.6843418860808009E-14</v>
      </c>
      <c r="K61" s="6">
        <f>SUMIF(Source_BS!$A:$A,$A61,Source_BS!K:K)</f>
        <v>-5.6843418860808009E-14</v>
      </c>
      <c r="L61" s="6">
        <f>SUMIF(Source_BS!$A:$A,$A61,Source_BS!L:L)</f>
        <v>-5.6843418860808009E-14</v>
      </c>
      <c r="M61" s="6">
        <f>SUMIF(Source_BS!$A:$A,$A61,Source_BS!M:M)</f>
        <v>-5.6843418860808009E-14</v>
      </c>
    </row>
    <row r="62" spans="1:13" x14ac:dyDescent="0.25">
      <c r="A62" t="s">
        <v>230</v>
      </c>
      <c r="B62" s="6">
        <f>SUMIF(Source_BS!$A:$A,$A62,Source_BS!B:B)</f>
        <v>0</v>
      </c>
      <c r="C62" s="6">
        <f>SUMIF(Source_BS!$A:$A,$A62,Source_BS!C:C)</f>
        <v>126.33</v>
      </c>
      <c r="D62" s="6">
        <f>SUMIF(Source_BS!$A:$A,$A62,Source_BS!D:D)</f>
        <v>0</v>
      </c>
      <c r="E62" s="6">
        <f>SUMIF(Source_BS!$A:$A,$A62,Source_BS!E:E)</f>
        <v>0</v>
      </c>
      <c r="F62" s="6">
        <f>SUMIF(Source_BS!$A:$A,$A62,Source_BS!F:F)</f>
        <v>0</v>
      </c>
      <c r="G62" s="6">
        <f>SUMIF(Source_BS!$A:$A,$A62,Source_BS!G:G)</f>
        <v>0</v>
      </c>
      <c r="H62" s="6">
        <f>SUMIF(Source_BS!$A:$A,$A62,Source_BS!H:H)</f>
        <v>0</v>
      </c>
      <c r="I62" s="6">
        <f>SUMIF(Source_BS!$A:$A,$A62,Source_BS!I:I)</f>
        <v>336.64</v>
      </c>
      <c r="J62" s="6">
        <f>SUMIF(Source_BS!$A:$A,$A62,Source_BS!J:J)</f>
        <v>46.63</v>
      </c>
      <c r="K62" s="6">
        <f>SUMIF(Source_BS!$A:$A,$A62,Source_BS!K:K)</f>
        <v>-7.1054273576010019E-15</v>
      </c>
      <c r="L62" s="6">
        <f>SUMIF(Source_BS!$A:$A,$A62,Source_BS!L:L)</f>
        <v>-7.1054273576010019E-15</v>
      </c>
      <c r="M62" s="6">
        <f>SUMIF(Source_BS!$A:$A,$A62,Source_BS!M:M)</f>
        <v>-7.1054273576010019E-15</v>
      </c>
    </row>
    <row r="63" spans="1:13" x14ac:dyDescent="0.25">
      <c r="A63" t="s">
        <v>231</v>
      </c>
      <c r="B63" s="6">
        <f>SUMIF(Source_BS!$A:$A,$A63,Source_BS!B:B)</f>
        <v>0</v>
      </c>
      <c r="C63" s="6">
        <f>SUMIF(Source_BS!$A:$A,$A63,Source_BS!C:C)</f>
        <v>0</v>
      </c>
      <c r="D63" s="6">
        <f>SUMIF(Source_BS!$A:$A,$A63,Source_BS!D:D)</f>
        <v>30.56</v>
      </c>
      <c r="E63" s="6">
        <f>SUMIF(Source_BS!$A:$A,$A63,Source_BS!E:E)</f>
        <v>0</v>
      </c>
      <c r="F63" s="6">
        <f>SUMIF(Source_BS!$A:$A,$A63,Source_BS!F:F)</f>
        <v>0</v>
      </c>
      <c r="G63" s="6">
        <f>SUMIF(Source_BS!$A:$A,$A63,Source_BS!G:G)</f>
        <v>23.17</v>
      </c>
      <c r="H63" s="6">
        <f>SUMIF(Source_BS!$A:$A,$A63,Source_BS!H:H)</f>
        <v>0</v>
      </c>
      <c r="I63" s="6">
        <f>SUMIF(Source_BS!$A:$A,$A63,Source_BS!I:I)</f>
        <v>0</v>
      </c>
      <c r="J63" s="6">
        <f>SUMIF(Source_BS!$A:$A,$A63,Source_BS!J:J)</f>
        <v>0</v>
      </c>
      <c r="K63" s="6">
        <f>SUMIF(Source_BS!$A:$A,$A63,Source_BS!K:K)</f>
        <v>0</v>
      </c>
      <c r="L63" s="6">
        <f>SUMIF(Source_BS!$A:$A,$A63,Source_BS!L:L)</f>
        <v>0</v>
      </c>
      <c r="M63" s="6">
        <f>SUMIF(Source_BS!$A:$A,$A63,Source_BS!M:M)</f>
        <v>0</v>
      </c>
    </row>
    <row r="64" spans="1:13" x14ac:dyDescent="0.25">
      <c r="A64" t="s">
        <v>232</v>
      </c>
      <c r="B64" s="6">
        <f>SUMIF(Source_BS!$A:$A,$A64,Source_BS!B:B)</f>
        <v>67.039999999999992</v>
      </c>
      <c r="C64" s="6">
        <f>SUMIF(Source_BS!$A:$A,$A64,Source_BS!C:C)</f>
        <v>-1.4210854715202001E-14</v>
      </c>
      <c r="D64" s="6">
        <f>SUMIF(Source_BS!$A:$A,$A64,Source_BS!D:D)</f>
        <v>-1.4210854715202001E-14</v>
      </c>
      <c r="E64" s="6">
        <f>SUMIF(Source_BS!$A:$A,$A64,Source_BS!E:E)</f>
        <v>-1.4210854715202001E-14</v>
      </c>
      <c r="F64" s="6">
        <f>SUMIF(Source_BS!$A:$A,$A64,Source_BS!F:F)</f>
        <v>-1.4210854715202001E-14</v>
      </c>
      <c r="G64" s="6">
        <f>SUMIF(Source_BS!$A:$A,$A64,Source_BS!G:G)</f>
        <v>-1.4210854715202001E-14</v>
      </c>
      <c r="H64" s="6">
        <f>SUMIF(Source_BS!$A:$A,$A64,Source_BS!H:H)</f>
        <v>-1.4210854715202001E-14</v>
      </c>
      <c r="I64" s="6">
        <f>SUMIF(Source_BS!$A:$A,$A64,Source_BS!I:I)</f>
        <v>-1.4210854715202001E-14</v>
      </c>
      <c r="J64" s="6">
        <f>SUMIF(Source_BS!$A:$A,$A64,Source_BS!J:J)</f>
        <v>-1.4210854715202001E-14</v>
      </c>
      <c r="K64" s="6">
        <f>SUMIF(Source_BS!$A:$A,$A64,Source_BS!K:K)</f>
        <v>-1.4210854715202001E-14</v>
      </c>
      <c r="L64" s="6">
        <f>SUMIF(Source_BS!$A:$A,$A64,Source_BS!L:L)</f>
        <v>-1.4210854715202001E-14</v>
      </c>
      <c r="M64" s="6">
        <f>SUMIF(Source_BS!$A:$A,$A64,Source_BS!M:M)</f>
        <v>-1.4210854715202001E-14</v>
      </c>
    </row>
    <row r="65" spans="1:13" x14ac:dyDescent="0.25">
      <c r="A65" t="s">
        <v>233</v>
      </c>
      <c r="B65" s="6">
        <f>SUMIF(Source_BS!$A:$A,$A65,Source_BS!B:B)</f>
        <v>7556.7199999999993</v>
      </c>
      <c r="C65" s="6">
        <f>SUMIF(Source_BS!$A:$A,$A65,Source_BS!C:C)</f>
        <v>7536.1299999999992</v>
      </c>
      <c r="D65" s="6">
        <f>SUMIF(Source_BS!$A:$A,$A65,Source_BS!D:D)</f>
        <v>-9.0949470177292824E-13</v>
      </c>
      <c r="E65" s="6">
        <f>SUMIF(Source_BS!$A:$A,$A65,Source_BS!E:E)</f>
        <v>-9.0949470177292824E-13</v>
      </c>
      <c r="F65" s="6">
        <f>SUMIF(Source_BS!$A:$A,$A65,Source_BS!F:F)</f>
        <v>-9.0949470177292824E-13</v>
      </c>
      <c r="G65" s="6">
        <f>SUMIF(Source_BS!$A:$A,$A65,Source_BS!G:G)</f>
        <v>-9.0949470177292824E-13</v>
      </c>
      <c r="H65" s="6">
        <f>SUMIF(Source_BS!$A:$A,$A65,Source_BS!H:H)</f>
        <v>-9.0949470177292824E-13</v>
      </c>
      <c r="I65" s="6">
        <f>SUMIF(Source_BS!$A:$A,$A65,Source_BS!I:I)</f>
        <v>-9.0949470177292824E-13</v>
      </c>
      <c r="J65" s="6">
        <f>SUMIF(Source_BS!$A:$A,$A65,Source_BS!J:J)</f>
        <v>49.999999999999091</v>
      </c>
      <c r="K65" s="6">
        <f>SUMIF(Source_BS!$A:$A,$A65,Source_BS!K:K)</f>
        <v>-9.0949470177292824E-13</v>
      </c>
      <c r="L65" s="6">
        <f>SUMIF(Source_BS!$A:$A,$A65,Source_BS!L:L)</f>
        <v>-9.0949470177292824E-13</v>
      </c>
      <c r="M65" s="6">
        <f>SUMIF(Source_BS!$A:$A,$A65,Source_BS!M:M)</f>
        <v>-9.0949470177292824E-13</v>
      </c>
    </row>
    <row r="66" spans="1:13" x14ac:dyDescent="0.25">
      <c r="A66" s="7" t="s">
        <v>234</v>
      </c>
      <c r="B66" s="9">
        <f>SUMIF(Source_BS!$A:$A,$A66,Source_BS!B:B)</f>
        <v>93478.98</v>
      </c>
      <c r="C66" s="9">
        <f>SUMIF(Source_BS!$A:$A,$A66,Source_BS!C:C)</f>
        <v>71361.33</v>
      </c>
      <c r="D66" s="9">
        <f>SUMIF(Source_BS!$A:$A,$A66,Source_BS!D:D)</f>
        <v>21476.5</v>
      </c>
      <c r="E66" s="9">
        <f>SUMIF(Source_BS!$A:$A,$A66,Source_BS!E:E)</f>
        <v>16169.45</v>
      </c>
      <c r="F66" s="9">
        <f>SUMIF(Source_BS!$A:$A,$A66,Source_BS!F:F)</f>
        <v>26804.66</v>
      </c>
      <c r="G66" s="9">
        <f>SUMIF(Source_BS!$A:$A,$A66,Source_BS!G:G)</f>
        <v>41310.589999999997</v>
      </c>
      <c r="H66" s="9">
        <f>SUMIF(Source_BS!$A:$A,$A66,Source_BS!H:H)</f>
        <v>67629.87999999999</v>
      </c>
      <c r="I66" s="9">
        <f>SUMIF(Source_BS!$A:$A,$A66,Source_BS!I:I)</f>
        <v>40634.89</v>
      </c>
      <c r="J66" s="9">
        <f>SUMIF(Source_BS!$A:$A,$A66,Source_BS!J:J)</f>
        <v>52823.029999999992</v>
      </c>
      <c r="K66" s="9">
        <f>SUMIF(Source_BS!$A:$A,$A66,Source_BS!K:K)</f>
        <v>61435.219999999987</v>
      </c>
      <c r="L66" s="9">
        <f>SUMIF(Source_BS!$A:$A,$A66,Source_BS!L:L)</f>
        <v>26508.69999999999</v>
      </c>
      <c r="M66" s="9">
        <f>SUMIF(Source_BS!$A:$A,$A66,Source_BS!M:M)</f>
        <v>58476.969999999987</v>
      </c>
    </row>
    <row r="67" spans="1:13" x14ac:dyDescent="0.25">
      <c r="A67" t="s">
        <v>235</v>
      </c>
      <c r="B67" s="6">
        <f>SUMIF(Source_BS!$A:$A,$A67,Source_BS!B:B)</f>
        <v>0</v>
      </c>
      <c r="C67" s="6">
        <f>SUMIF(Source_BS!$A:$A,$A67,Source_BS!C:C)</f>
        <v>0</v>
      </c>
      <c r="D67" s="6">
        <f>SUMIF(Source_BS!$A:$A,$A67,Source_BS!D:D)</f>
        <v>0</v>
      </c>
      <c r="E67" s="6">
        <f>SUMIF(Source_BS!$A:$A,$A67,Source_BS!E:E)</f>
        <v>0</v>
      </c>
      <c r="F67" s="6">
        <f>SUMIF(Source_BS!$A:$A,$A67,Source_BS!F:F)</f>
        <v>0</v>
      </c>
      <c r="G67" s="6">
        <f>SUMIF(Source_BS!$A:$A,$A67,Source_BS!G:G)</f>
        <v>0</v>
      </c>
      <c r="H67" s="6">
        <f>SUMIF(Source_BS!$A:$A,$A67,Source_BS!H:H)</f>
        <v>0</v>
      </c>
      <c r="I67" s="6">
        <f>SUMIF(Source_BS!$A:$A,$A67,Source_BS!I:I)</f>
        <v>0</v>
      </c>
      <c r="J67" s="6">
        <f>SUMIF(Source_BS!$A:$A,$A67,Source_BS!J:J)</f>
        <v>0</v>
      </c>
      <c r="K67" s="6">
        <f>SUMIF(Source_BS!$A:$A,$A67,Source_BS!K:K)</f>
        <v>0</v>
      </c>
      <c r="L67" s="6">
        <f>SUMIF(Source_BS!$A:$A,$A67,Source_BS!L:L)</f>
        <v>0</v>
      </c>
      <c r="M67" s="6">
        <f>SUMIF(Source_BS!$A:$A,$A67,Source_BS!M:M)</f>
        <v>0</v>
      </c>
    </row>
    <row r="68" spans="1:13" x14ac:dyDescent="0.25">
      <c r="A68" t="s">
        <v>236</v>
      </c>
      <c r="B68" s="6">
        <f>SUMIF(Source_BS!$A:$A,$A68,Source_BS!B:B)</f>
        <v>210000</v>
      </c>
      <c r="C68" s="6">
        <f>SUMIF(Source_BS!$A:$A,$A68,Source_BS!C:C)</f>
        <v>360000</v>
      </c>
      <c r="D68" s="6">
        <f>SUMIF(Source_BS!$A:$A,$A68,Source_BS!D:D)</f>
        <v>375707.44</v>
      </c>
      <c r="E68" s="6">
        <f>SUMIF(Source_BS!$A:$A,$A68,Source_BS!E:E)</f>
        <v>375707.44</v>
      </c>
      <c r="F68" s="6">
        <f>SUMIF(Source_BS!$A:$A,$A68,Source_BS!F:F)</f>
        <v>367707.44</v>
      </c>
      <c r="G68" s="6">
        <f>SUMIF(Source_BS!$A:$A,$A68,Source_BS!G:G)</f>
        <v>215707.44</v>
      </c>
      <c r="H68" s="6">
        <f>SUMIF(Source_BS!$A:$A,$A68,Source_BS!H:H)</f>
        <v>255707.44</v>
      </c>
      <c r="I68" s="6">
        <f>SUMIF(Source_BS!$A:$A,$A68,Source_BS!I:I)</f>
        <v>318000</v>
      </c>
      <c r="J68" s="6">
        <f>SUMIF(Source_BS!$A:$A,$A68,Source_BS!J:J)</f>
        <v>360000</v>
      </c>
      <c r="K68" s="6">
        <f>SUMIF(Source_BS!$A:$A,$A68,Source_BS!K:K)</f>
        <v>360000</v>
      </c>
      <c r="L68" s="6">
        <f>SUMIF(Source_BS!$A:$A,$A68,Source_BS!L:L)</f>
        <v>400000</v>
      </c>
      <c r="M68" s="6">
        <f>SUMIF(Source_BS!$A:$A,$A68,Source_BS!M:M)</f>
        <v>400000</v>
      </c>
    </row>
    <row r="69" spans="1:13" x14ac:dyDescent="0.25">
      <c r="A69" t="s">
        <v>237</v>
      </c>
      <c r="B69" s="6">
        <f>SUMIF(Source_BS!$A:$A,$A69,Source_BS!B:B)</f>
        <v>0</v>
      </c>
      <c r="C69" s="6">
        <f>SUMIF(Source_BS!$A:$A,$A69,Source_BS!C:C)</f>
        <v>0</v>
      </c>
      <c r="D69" s="6">
        <f>SUMIF(Source_BS!$A:$A,$A69,Source_BS!D:D)</f>
        <v>17533.63</v>
      </c>
      <c r="E69" s="6">
        <f>SUMIF(Source_BS!$A:$A,$A69,Source_BS!E:E)</f>
        <v>-14640.48</v>
      </c>
      <c r="F69" s="6">
        <f>SUMIF(Source_BS!$A:$A,$A69,Source_BS!F:F)</f>
        <v>-14640.48</v>
      </c>
      <c r="G69" s="6">
        <f>SUMIF(Source_BS!$A:$A,$A69,Source_BS!G:G)</f>
        <v>-14822.48</v>
      </c>
      <c r="H69" s="6">
        <f>SUMIF(Source_BS!$A:$A,$A69,Source_BS!H:H)</f>
        <v>-14822.48</v>
      </c>
      <c r="I69" s="6">
        <f>SUMIF(Source_BS!$A:$A,$A69,Source_BS!I:I)</f>
        <v>-14822.48</v>
      </c>
      <c r="J69" s="6">
        <f>SUMIF(Source_BS!$A:$A,$A69,Source_BS!J:J)</f>
        <v>-14822.48</v>
      </c>
      <c r="K69" s="6">
        <f>SUMIF(Source_BS!$A:$A,$A69,Source_BS!K:K)</f>
        <v>-14822.48</v>
      </c>
      <c r="L69" s="6">
        <f>SUMIF(Source_BS!$A:$A,$A69,Source_BS!L:L)</f>
        <v>-14822.48</v>
      </c>
      <c r="M69" s="6">
        <f>SUMIF(Source_BS!$A:$A,$A69,Source_BS!M:M)</f>
        <v>0</v>
      </c>
    </row>
    <row r="70" spans="1:13" x14ac:dyDescent="0.25">
      <c r="A70" t="s">
        <v>238</v>
      </c>
      <c r="B70" s="6">
        <f>SUMIF(Source_BS!$A:$A,$A70,Source_BS!B:B)</f>
        <v>0</v>
      </c>
      <c r="C70" s="6">
        <f>SUMIF(Source_BS!$A:$A,$A70,Source_BS!C:C)</f>
        <v>0</v>
      </c>
      <c r="D70" s="6">
        <f>SUMIF(Source_BS!$A:$A,$A70,Source_BS!D:D)</f>
        <v>0</v>
      </c>
      <c r="E70" s="6">
        <f>SUMIF(Source_BS!$A:$A,$A70,Source_BS!E:E)</f>
        <v>0</v>
      </c>
      <c r="F70" s="6">
        <f>SUMIF(Source_BS!$A:$A,$A70,Source_BS!F:F)</f>
        <v>0</v>
      </c>
      <c r="G70" s="6">
        <f>SUMIF(Source_BS!$A:$A,$A70,Source_BS!G:G)</f>
        <v>0</v>
      </c>
      <c r="H70" s="6">
        <f>SUMIF(Source_BS!$A:$A,$A70,Source_BS!H:H)</f>
        <v>0</v>
      </c>
      <c r="I70" s="6">
        <f>SUMIF(Source_BS!$A:$A,$A70,Source_BS!I:I)</f>
        <v>0</v>
      </c>
      <c r="J70" s="6">
        <f>SUMIF(Source_BS!$A:$A,$A70,Source_BS!J:J)</f>
        <v>0</v>
      </c>
      <c r="K70" s="6">
        <f>SUMIF(Source_BS!$A:$A,$A70,Source_BS!K:K)</f>
        <v>0</v>
      </c>
      <c r="L70" s="6">
        <f>SUMIF(Source_BS!$A:$A,$A70,Source_BS!L:L)</f>
        <v>0</v>
      </c>
      <c r="M70" s="6">
        <f>SUMIF(Source_BS!$A:$A,$A70,Source_BS!M:M)</f>
        <v>0</v>
      </c>
    </row>
    <row r="71" spans="1:13" x14ac:dyDescent="0.25">
      <c r="A71" t="s">
        <v>239</v>
      </c>
      <c r="B71" s="6">
        <f>SUMIF(Source_BS!$A:$A,$A71,Source_BS!B:B)</f>
        <v>32174.11</v>
      </c>
      <c r="C71" s="6">
        <f>SUMIF(Source_BS!$A:$A,$A71,Source_BS!C:C)</f>
        <v>32174.11</v>
      </c>
      <c r="D71" s="6">
        <f>SUMIF(Source_BS!$A:$A,$A71,Source_BS!D:D)</f>
        <v>31648.95</v>
      </c>
      <c r="E71" s="6">
        <f>SUMIF(Source_BS!$A:$A,$A71,Source_BS!E:E)</f>
        <v>32380.28</v>
      </c>
      <c r="F71" s="6">
        <f>SUMIF(Source_BS!$A:$A,$A71,Source_BS!F:F)</f>
        <v>15061.22</v>
      </c>
      <c r="G71" s="6">
        <f>SUMIF(Source_BS!$A:$A,$A71,Source_BS!G:G)</f>
        <v>15061.22</v>
      </c>
      <c r="H71" s="6">
        <f>SUMIF(Source_BS!$A:$A,$A71,Source_BS!H:H)</f>
        <v>15061.22</v>
      </c>
      <c r="I71" s="6">
        <f>SUMIF(Source_BS!$A:$A,$A71,Source_BS!I:I)</f>
        <v>33832.43</v>
      </c>
      <c r="J71" s="6">
        <f>SUMIF(Source_BS!$A:$A,$A71,Source_BS!J:J)</f>
        <v>37046.629999999997</v>
      </c>
      <c r="K71" s="6">
        <f>SUMIF(Source_BS!$A:$A,$A71,Source_BS!K:K)</f>
        <v>15061.22</v>
      </c>
      <c r="L71" s="6">
        <f>SUMIF(Source_BS!$A:$A,$A71,Source_BS!L:L)</f>
        <v>15061.22</v>
      </c>
      <c r="M71" s="6">
        <f>SUMIF(Source_BS!$A:$A,$A71,Source_BS!M:M)</f>
        <v>-1.8189894035458561E-12</v>
      </c>
    </row>
    <row r="72" spans="1:13" x14ac:dyDescent="0.25">
      <c r="A72" t="s">
        <v>240</v>
      </c>
      <c r="B72" s="6">
        <f>SUMIF(Source_BS!$A:$A,$A72,Source_BS!B:B)</f>
        <v>546</v>
      </c>
      <c r="C72" s="6">
        <f>SUMIF(Source_BS!$A:$A,$A72,Source_BS!C:C)</f>
        <v>821.6</v>
      </c>
      <c r="D72" s="6">
        <f>SUMIF(Source_BS!$A:$A,$A72,Source_BS!D:D)</f>
        <v>947.49</v>
      </c>
      <c r="E72" s="6">
        <f>SUMIF(Source_BS!$A:$A,$A72,Source_BS!E:E)</f>
        <v>-122.53</v>
      </c>
      <c r="F72" s="6">
        <f>SUMIF(Source_BS!$A:$A,$A72,Source_BS!F:F)</f>
        <v>-118.09</v>
      </c>
      <c r="G72" s="6">
        <f>SUMIF(Source_BS!$A:$A,$A72,Source_BS!G:G)</f>
        <v>-67.259999999999977</v>
      </c>
      <c r="H72" s="6">
        <f>SUMIF(Source_BS!$A:$A,$A72,Source_BS!H:H)</f>
        <v>-33.219999999999978</v>
      </c>
      <c r="I72" s="6">
        <f>SUMIF(Source_BS!$A:$A,$A72,Source_BS!I:I)</f>
        <v>-28.34999999999998</v>
      </c>
      <c r="J72" s="6">
        <f>SUMIF(Source_BS!$A:$A,$A72,Source_BS!J:J)</f>
        <v>17.860000000000021</v>
      </c>
      <c r="K72" s="6">
        <f>SUMIF(Source_BS!$A:$A,$A72,Source_BS!K:K)</f>
        <v>88.270000000000024</v>
      </c>
      <c r="L72" s="6">
        <f>SUMIF(Source_BS!$A:$A,$A72,Source_BS!L:L)</f>
        <v>254.82000000000011</v>
      </c>
      <c r="M72" s="6">
        <f>SUMIF(Source_BS!$A:$A,$A72,Source_BS!M:M)</f>
        <v>599.23</v>
      </c>
    </row>
    <row r="73" spans="1:13" x14ac:dyDescent="0.25">
      <c r="A73" t="s">
        <v>241</v>
      </c>
      <c r="B73" s="6">
        <f>SUMIF(Source_BS!$A:$A,$A73,Source_BS!B:B)</f>
        <v>11107.67</v>
      </c>
      <c r="C73" s="6">
        <f>SUMIF(Source_BS!$A:$A,$A73,Source_BS!C:C)</f>
        <v>15942.2</v>
      </c>
      <c r="D73" s="6">
        <f>SUMIF(Source_BS!$A:$A,$A73,Source_BS!D:D)</f>
        <v>17170.580000000002</v>
      </c>
      <c r="E73" s="6">
        <f>SUMIF(Source_BS!$A:$A,$A73,Source_BS!E:E)</f>
        <v>14831.88</v>
      </c>
      <c r="F73" s="6">
        <f>SUMIF(Source_BS!$A:$A,$A73,Source_BS!F:F)</f>
        <v>14906.95</v>
      </c>
      <c r="G73" s="6">
        <f>SUMIF(Source_BS!$A:$A,$A73,Source_BS!G:G)</f>
        <v>14896.83</v>
      </c>
      <c r="H73" s="6">
        <f>SUMIF(Source_BS!$A:$A,$A73,Source_BS!H:H)</f>
        <v>14768.91</v>
      </c>
      <c r="I73" s="6">
        <f>SUMIF(Source_BS!$A:$A,$A73,Source_BS!I:I)</f>
        <v>17559.89</v>
      </c>
      <c r="J73" s="6">
        <f>SUMIF(Source_BS!$A:$A,$A73,Source_BS!J:J)</f>
        <v>15549.8</v>
      </c>
      <c r="K73" s="6">
        <f>SUMIF(Source_BS!$A:$A,$A73,Source_BS!K:K)</f>
        <v>16389.650000000001</v>
      </c>
      <c r="L73" s="6">
        <f>SUMIF(Source_BS!$A:$A,$A73,Source_BS!L:L)</f>
        <v>17945.689999999999</v>
      </c>
      <c r="M73" s="6">
        <f>SUMIF(Source_BS!$A:$A,$A73,Source_BS!M:M)</f>
        <v>7005.3299999999981</v>
      </c>
    </row>
    <row r="74" spans="1:13" x14ac:dyDescent="0.25">
      <c r="A74" t="s">
        <v>242</v>
      </c>
      <c r="B74" s="6">
        <f>SUMIF(Source_BS!$A:$A,$A74,Source_BS!B:B)</f>
        <v>185.55</v>
      </c>
      <c r="C74" s="6">
        <f>SUMIF(Source_BS!$A:$A,$A74,Source_BS!C:C)</f>
        <v>271.77999999999997</v>
      </c>
      <c r="D74" s="6">
        <f>SUMIF(Source_BS!$A:$A,$A74,Source_BS!D:D)</f>
        <v>-604.71</v>
      </c>
      <c r="E74" s="6">
        <f>SUMIF(Source_BS!$A:$A,$A74,Source_BS!E:E)</f>
        <v>-922.32</v>
      </c>
      <c r="F74" s="6">
        <f>SUMIF(Source_BS!$A:$A,$A74,Source_BS!F:F)</f>
        <v>-917.88</v>
      </c>
      <c r="G74" s="6">
        <f>SUMIF(Source_BS!$A:$A,$A74,Source_BS!G:G)</f>
        <v>-915.18</v>
      </c>
      <c r="H74" s="6">
        <f>SUMIF(Source_BS!$A:$A,$A74,Source_BS!H:H)</f>
        <v>-936.62</v>
      </c>
      <c r="I74" s="6">
        <f>SUMIF(Source_BS!$A:$A,$A74,Source_BS!I:I)</f>
        <v>-935.41</v>
      </c>
      <c r="J74" s="6">
        <f>SUMIF(Source_BS!$A:$A,$A74,Source_BS!J:J)</f>
        <v>-920.01</v>
      </c>
      <c r="K74" s="6">
        <f>SUMIF(Source_BS!$A:$A,$A74,Source_BS!K:K)</f>
        <v>-926.45</v>
      </c>
      <c r="L74" s="6">
        <f>SUMIF(Source_BS!$A:$A,$A74,Source_BS!L:L)</f>
        <v>-894.86</v>
      </c>
      <c r="M74" s="6">
        <f>SUMIF(Source_BS!$A:$A,$A74,Source_BS!M:M)</f>
        <v>70.569999999999936</v>
      </c>
    </row>
    <row r="75" spans="1:13" x14ac:dyDescent="0.25">
      <c r="A75" t="s">
        <v>243</v>
      </c>
      <c r="B75" s="6">
        <f>SUMIF(Source_BS!$A:$A,$A75,Source_BS!B:B)</f>
        <v>549.91</v>
      </c>
      <c r="C75" s="6">
        <f>SUMIF(Source_BS!$A:$A,$A75,Source_BS!C:C)</f>
        <v>598.47</v>
      </c>
      <c r="D75" s="6">
        <f>SUMIF(Source_BS!$A:$A,$A75,Source_BS!D:D)</f>
        <v>977.02</v>
      </c>
      <c r="E75" s="6">
        <f>SUMIF(Source_BS!$A:$A,$A75,Source_BS!E:E)</f>
        <v>594</v>
      </c>
      <c r="F75" s="6">
        <f>SUMIF(Source_BS!$A:$A,$A75,Source_BS!F:F)</f>
        <v>657.4</v>
      </c>
      <c r="G75" s="6">
        <f>SUMIF(Source_BS!$A:$A,$A75,Source_BS!G:G)</f>
        <v>653.86</v>
      </c>
      <c r="H75" s="6">
        <f>SUMIF(Source_BS!$A:$A,$A75,Source_BS!H:H)</f>
        <v>983.88</v>
      </c>
      <c r="I75" s="6">
        <f>SUMIF(Source_BS!$A:$A,$A75,Source_BS!I:I)</f>
        <v>2198.0500000000002</v>
      </c>
      <c r="J75" s="6">
        <f>SUMIF(Source_BS!$A:$A,$A75,Source_BS!J:J)</f>
        <v>1354.46</v>
      </c>
      <c r="K75" s="6">
        <f>SUMIF(Source_BS!$A:$A,$A75,Source_BS!K:K)</f>
        <v>1656.17</v>
      </c>
      <c r="L75" s="6">
        <f>SUMIF(Source_BS!$A:$A,$A75,Source_BS!L:L)</f>
        <v>2067.25</v>
      </c>
      <c r="M75" s="6">
        <f>SUMIF(Source_BS!$A:$A,$A75,Source_BS!M:M)</f>
        <v>2811.42</v>
      </c>
    </row>
    <row r="76" spans="1:13" x14ac:dyDescent="0.25">
      <c r="A76" t="s">
        <v>244</v>
      </c>
      <c r="B76" s="6">
        <f>SUMIF(Source_BS!$A:$A,$A76,Source_BS!B:B)</f>
        <v>287.69</v>
      </c>
      <c r="C76" s="6">
        <f>SUMIF(Source_BS!$A:$A,$A76,Source_BS!C:C)</f>
        <v>464.34</v>
      </c>
      <c r="D76" s="6">
        <f>SUMIF(Source_BS!$A:$A,$A76,Source_BS!D:D)</f>
        <v>513</v>
      </c>
      <c r="E76" s="6">
        <f>SUMIF(Source_BS!$A:$A,$A76,Source_BS!E:E)</f>
        <v>0</v>
      </c>
      <c r="F76" s="6">
        <f>SUMIF(Source_BS!$A:$A,$A76,Source_BS!F:F)</f>
        <v>0</v>
      </c>
      <c r="G76" s="6">
        <f>SUMIF(Source_BS!$A:$A,$A76,Source_BS!G:G)</f>
        <v>264.99</v>
      </c>
      <c r="H76" s="6">
        <f>SUMIF(Source_BS!$A:$A,$A76,Source_BS!H:H)</f>
        <v>174.93</v>
      </c>
      <c r="I76" s="6">
        <f>SUMIF(Source_BS!$A:$A,$A76,Source_BS!I:I)</f>
        <v>248.01</v>
      </c>
      <c r="J76" s="6">
        <f>SUMIF(Source_BS!$A:$A,$A76,Source_BS!J:J)</f>
        <v>248.01</v>
      </c>
      <c r="K76" s="6">
        <f>SUMIF(Source_BS!$A:$A,$A76,Source_BS!K:K)</f>
        <v>206.5</v>
      </c>
      <c r="L76" s="6">
        <f>SUMIF(Source_BS!$A:$A,$A76,Source_BS!L:L)</f>
        <v>613.55999999999995</v>
      </c>
      <c r="M76" s="6">
        <f>SUMIF(Source_BS!$A:$A,$A76,Source_BS!M:M)</f>
        <v>1216.28</v>
      </c>
    </row>
    <row r="77" spans="1:13" x14ac:dyDescent="0.25">
      <c r="A77" t="s">
        <v>245</v>
      </c>
      <c r="B77" s="6">
        <f>SUMIF(Source_BS!$A:$A,$A77,Source_BS!B:B)</f>
        <v>167.5</v>
      </c>
      <c r="C77" s="6">
        <f>SUMIF(Source_BS!$A:$A,$A77,Source_BS!C:C)</f>
        <v>583.20000000000005</v>
      </c>
      <c r="D77" s="6">
        <f>SUMIF(Source_BS!$A:$A,$A77,Source_BS!D:D)</f>
        <v>1206.06</v>
      </c>
      <c r="E77" s="6">
        <f>SUMIF(Source_BS!$A:$A,$A77,Source_BS!E:E)</f>
        <v>413.04</v>
      </c>
      <c r="F77" s="6">
        <f>SUMIF(Source_BS!$A:$A,$A77,Source_BS!F:F)</f>
        <v>826.07999999999993</v>
      </c>
      <c r="G77" s="6">
        <f>SUMIF(Source_BS!$A:$A,$A77,Source_BS!G:G)</f>
        <v>1239.1199999999999</v>
      </c>
      <c r="H77" s="6">
        <f>SUMIF(Source_BS!$A:$A,$A77,Source_BS!H:H)</f>
        <v>413.03999999999979</v>
      </c>
      <c r="I77" s="6">
        <f>SUMIF(Source_BS!$A:$A,$A77,Source_BS!I:I)</f>
        <v>1052.1600000000001</v>
      </c>
      <c r="J77" s="6">
        <f>SUMIF(Source_BS!$A:$A,$A77,Source_BS!J:J)</f>
        <v>1496.99</v>
      </c>
      <c r="K77" s="6">
        <f>SUMIF(Source_BS!$A:$A,$A77,Source_BS!K:K)</f>
        <v>457.05999999999972</v>
      </c>
      <c r="L77" s="6">
        <f>SUMIF(Source_BS!$A:$A,$A77,Source_BS!L:L)</f>
        <v>914.11999999999966</v>
      </c>
      <c r="M77" s="6">
        <f>SUMIF(Source_BS!$A:$A,$A77,Source_BS!M:M)</f>
        <v>1371.18</v>
      </c>
    </row>
    <row r="78" spans="1:13" x14ac:dyDescent="0.25">
      <c r="A78" t="s">
        <v>246</v>
      </c>
      <c r="B78" s="6">
        <f>SUMIF(Source_BS!$A:$A,$A78,Source_BS!B:B)</f>
        <v>0</v>
      </c>
      <c r="C78" s="6">
        <f>SUMIF(Source_BS!$A:$A,$A78,Source_BS!C:C)</f>
        <v>195.46</v>
      </c>
      <c r="D78" s="6">
        <f>SUMIF(Source_BS!$A:$A,$A78,Source_BS!D:D)</f>
        <v>221</v>
      </c>
      <c r="E78" s="6">
        <f>SUMIF(Source_BS!$A:$A,$A78,Source_BS!E:E)</f>
        <v>221</v>
      </c>
      <c r="F78" s="6">
        <f>SUMIF(Source_BS!$A:$A,$A78,Source_BS!F:F)</f>
        <v>0</v>
      </c>
      <c r="G78" s="6">
        <f>SUMIF(Source_BS!$A:$A,$A78,Source_BS!G:G)</f>
        <v>0</v>
      </c>
      <c r="H78" s="6">
        <f>SUMIF(Source_BS!$A:$A,$A78,Source_BS!H:H)</f>
        <v>0</v>
      </c>
      <c r="I78" s="6">
        <f>SUMIF(Source_BS!$A:$A,$A78,Source_BS!I:I)</f>
        <v>0</v>
      </c>
      <c r="J78" s="6">
        <f>SUMIF(Source_BS!$A:$A,$A78,Source_BS!J:J)</f>
        <v>0</v>
      </c>
      <c r="K78" s="6">
        <f>SUMIF(Source_BS!$A:$A,$A78,Source_BS!K:K)</f>
        <v>0</v>
      </c>
      <c r="L78" s="6">
        <f>SUMIF(Source_BS!$A:$A,$A78,Source_BS!L:L)</f>
        <v>0</v>
      </c>
      <c r="M78" s="6">
        <f>SUMIF(Source_BS!$A:$A,$A78,Source_BS!M:M)</f>
        <v>0</v>
      </c>
    </row>
    <row r="79" spans="1:13" x14ac:dyDescent="0.25">
      <c r="A79" t="s">
        <v>247</v>
      </c>
      <c r="B79" s="6">
        <f>SUMIF(Source_BS!$A:$A,$A79,Source_BS!B:B)</f>
        <v>402.25</v>
      </c>
      <c r="C79" s="6">
        <f>SUMIF(Source_BS!$A:$A,$A79,Source_BS!C:C)</f>
        <v>502.62</v>
      </c>
      <c r="D79" s="6">
        <f>SUMIF(Source_BS!$A:$A,$A79,Source_BS!D:D)</f>
        <v>567</v>
      </c>
      <c r="E79" s="6">
        <f>SUMIF(Source_BS!$A:$A,$A79,Source_BS!E:E)</f>
        <v>0</v>
      </c>
      <c r="F79" s="6">
        <f>SUMIF(Source_BS!$A:$A,$A79,Source_BS!F:F)</f>
        <v>0</v>
      </c>
      <c r="G79" s="6">
        <f>SUMIF(Source_BS!$A:$A,$A79,Source_BS!G:G)</f>
        <v>0</v>
      </c>
      <c r="H79" s="6">
        <f>SUMIF(Source_BS!$A:$A,$A79,Source_BS!H:H)</f>
        <v>0</v>
      </c>
      <c r="I79" s="6">
        <f>SUMIF(Source_BS!$A:$A,$A79,Source_BS!I:I)</f>
        <v>0</v>
      </c>
      <c r="J79" s="6">
        <f>SUMIF(Source_BS!$A:$A,$A79,Source_BS!J:J)</f>
        <v>0</v>
      </c>
      <c r="K79" s="6">
        <f>SUMIF(Source_BS!$A:$A,$A79,Source_BS!K:K)</f>
        <v>0</v>
      </c>
      <c r="L79" s="6">
        <f>SUMIF(Source_BS!$A:$A,$A79,Source_BS!L:L)</f>
        <v>0</v>
      </c>
      <c r="M79" s="6">
        <f>SUMIF(Source_BS!$A:$A,$A79,Source_BS!M:M)</f>
        <v>0</v>
      </c>
    </row>
    <row r="80" spans="1:13" x14ac:dyDescent="0.25">
      <c r="A80" s="7" t="s">
        <v>248</v>
      </c>
      <c r="B80" s="9">
        <f>SUMIF(Source_BS!$A:$A,$A80,Source_BS!B:B)</f>
        <v>45420.680000000008</v>
      </c>
      <c r="C80" s="9">
        <f>SUMIF(Source_BS!$A:$A,$A80,Source_BS!C:C)</f>
        <v>51553.78</v>
      </c>
      <c r="D80" s="9">
        <f>SUMIF(Source_BS!$A:$A,$A80,Source_BS!D:D)</f>
        <v>52646.39</v>
      </c>
      <c r="E80" s="9">
        <f>SUMIF(Source_BS!$A:$A,$A80,Source_BS!E:E)</f>
        <v>47395.350000000013</v>
      </c>
      <c r="F80" s="9">
        <f>SUMIF(Source_BS!$A:$A,$A80,Source_BS!F:F)</f>
        <v>30415.68</v>
      </c>
      <c r="G80" s="9">
        <f>SUMIF(Source_BS!$A:$A,$A80,Source_BS!G:G)</f>
        <v>31133.58</v>
      </c>
      <c r="H80" s="9">
        <f>SUMIF(Source_BS!$A:$A,$A80,Source_BS!H:H)</f>
        <v>30432.14000000001</v>
      </c>
      <c r="I80" s="9">
        <f>SUMIF(Source_BS!$A:$A,$A80,Source_BS!I:I)</f>
        <v>53926.78</v>
      </c>
      <c r="J80" s="9">
        <f>SUMIF(Source_BS!$A:$A,$A80,Source_BS!J:J)</f>
        <v>54793.739999999991</v>
      </c>
      <c r="K80" s="9">
        <f>SUMIF(Source_BS!$A:$A,$A80,Source_BS!K:K)</f>
        <v>32932.419999999991</v>
      </c>
      <c r="L80" s="9">
        <f>SUMIF(Source_BS!$A:$A,$A80,Source_BS!L:L)</f>
        <v>35961.800000000003</v>
      </c>
      <c r="M80" s="9">
        <f>SUMIF(Source_BS!$A:$A,$A80,Source_BS!M:M)</f>
        <v>13074.01</v>
      </c>
    </row>
    <row r="81" spans="1:13" x14ac:dyDescent="0.25">
      <c r="A81" t="s">
        <v>249</v>
      </c>
      <c r="B81" s="6">
        <f>SUMIF(Source_BS!$A:$A,$A81,Source_BS!B:B)</f>
        <v>0</v>
      </c>
      <c r="C81" s="6">
        <f>SUMIF(Source_BS!$A:$A,$A81,Source_BS!C:C)</f>
        <v>0</v>
      </c>
      <c r="D81" s="6">
        <f>SUMIF(Source_BS!$A:$A,$A81,Source_BS!D:D)</f>
        <v>0</v>
      </c>
      <c r="E81" s="6">
        <f>SUMIF(Source_BS!$A:$A,$A81,Source_BS!E:E)</f>
        <v>0</v>
      </c>
      <c r="F81" s="6">
        <f>SUMIF(Source_BS!$A:$A,$A81,Source_BS!F:F)</f>
        <v>0</v>
      </c>
      <c r="G81" s="6">
        <f>SUMIF(Source_BS!$A:$A,$A81,Source_BS!G:G)</f>
        <v>0</v>
      </c>
      <c r="H81" s="6">
        <f>SUMIF(Source_BS!$A:$A,$A81,Source_BS!H:H)</f>
        <v>0</v>
      </c>
      <c r="I81" s="6">
        <f>SUMIF(Source_BS!$A:$A,$A81,Source_BS!I:I)</f>
        <v>0</v>
      </c>
      <c r="J81" s="6">
        <f>SUMIF(Source_BS!$A:$A,$A81,Source_BS!J:J)</f>
        <v>0</v>
      </c>
      <c r="K81" s="6">
        <f>SUMIF(Source_BS!$A:$A,$A81,Source_BS!K:K)</f>
        <v>0</v>
      </c>
      <c r="L81" s="6">
        <f>SUMIF(Source_BS!$A:$A,$A81,Source_BS!L:L)</f>
        <v>0</v>
      </c>
      <c r="M81" s="6">
        <f>SUMIF(Source_BS!$A:$A,$A81,Source_BS!M:M)</f>
        <v>0</v>
      </c>
    </row>
    <row r="82" spans="1:13" x14ac:dyDescent="0.25">
      <c r="A82" t="s">
        <v>250</v>
      </c>
      <c r="B82" s="6">
        <f>SUMIF(Source_BS!$A:$A,$A82,Source_BS!B:B)</f>
        <v>-990.56</v>
      </c>
      <c r="C82" s="6">
        <f>SUMIF(Source_BS!$A:$A,$A82,Source_BS!C:C)</f>
        <v>-1638.32</v>
      </c>
      <c r="D82" s="6">
        <f>SUMIF(Source_BS!$A:$A,$A82,Source_BS!D:D)</f>
        <v>-472.55</v>
      </c>
      <c r="E82" s="6">
        <f>SUMIF(Source_BS!$A:$A,$A82,Source_BS!E:E)</f>
        <v>-593.13</v>
      </c>
      <c r="F82" s="6">
        <f>SUMIF(Source_BS!$A:$A,$A82,Source_BS!F:F)</f>
        <v>-694.68</v>
      </c>
      <c r="G82" s="6">
        <f>SUMIF(Source_BS!$A:$A,$A82,Source_BS!G:G)</f>
        <v>-678.17</v>
      </c>
      <c r="H82" s="6">
        <f>SUMIF(Source_BS!$A:$A,$A82,Source_BS!H:H)</f>
        <v>-842.82999999999993</v>
      </c>
      <c r="I82" s="6">
        <f>SUMIF(Source_BS!$A:$A,$A82,Source_BS!I:I)</f>
        <v>-323.74999999999989</v>
      </c>
      <c r="J82" s="6">
        <f>SUMIF(Source_BS!$A:$A,$A82,Source_BS!J:J)</f>
        <v>-576.4799999999999</v>
      </c>
      <c r="K82" s="6">
        <f>SUMIF(Source_BS!$A:$A,$A82,Source_BS!K:K)</f>
        <v>-704.76999999999987</v>
      </c>
      <c r="L82" s="6">
        <f>SUMIF(Source_BS!$A:$A,$A82,Source_BS!L:L)</f>
        <v>-802.24999999999989</v>
      </c>
      <c r="M82" s="6">
        <f>SUMIF(Source_BS!$A:$A,$A82,Source_BS!M:M)</f>
        <v>1326.8</v>
      </c>
    </row>
    <row r="83" spans="1:13" x14ac:dyDescent="0.25">
      <c r="A83" t="s">
        <v>251</v>
      </c>
      <c r="B83" s="6">
        <f>SUMIF(Source_BS!$A:$A,$A83,Source_BS!B:B)</f>
        <v>148.91999999999999</v>
      </c>
      <c r="C83" s="6">
        <f>SUMIF(Source_BS!$A:$A,$A83,Source_BS!C:C)</f>
        <v>320.86</v>
      </c>
      <c r="D83" s="6">
        <f>SUMIF(Source_BS!$A:$A,$A83,Source_BS!D:D)</f>
        <v>597.77</v>
      </c>
      <c r="E83" s="6">
        <f>SUMIF(Source_BS!$A:$A,$A83,Source_BS!E:E)</f>
        <v>558.74</v>
      </c>
      <c r="F83" s="6">
        <f>SUMIF(Source_BS!$A:$A,$A83,Source_BS!F:F)</f>
        <v>535.25</v>
      </c>
      <c r="G83" s="6">
        <f>SUMIF(Source_BS!$A:$A,$A83,Source_BS!G:G)</f>
        <v>543.52</v>
      </c>
      <c r="H83" s="6">
        <f>SUMIF(Source_BS!$A:$A,$A83,Source_BS!H:H)</f>
        <v>502.95</v>
      </c>
      <c r="I83" s="6">
        <f>SUMIF(Source_BS!$A:$A,$A83,Source_BS!I:I)</f>
        <v>622.87</v>
      </c>
      <c r="J83" s="6">
        <f>SUMIF(Source_BS!$A:$A,$A83,Source_BS!J:J)</f>
        <v>570.51</v>
      </c>
      <c r="K83" s="6">
        <f>SUMIF(Source_BS!$A:$A,$A83,Source_BS!K:K)</f>
        <v>548.18999999999994</v>
      </c>
      <c r="L83" s="6">
        <f>SUMIF(Source_BS!$A:$A,$A83,Source_BS!L:L)</f>
        <v>526.44999999999993</v>
      </c>
      <c r="M83" s="6">
        <f>SUMIF(Source_BS!$A:$A,$A83,Source_BS!M:M)</f>
        <v>289.00999999999988</v>
      </c>
    </row>
    <row r="84" spans="1:13" x14ac:dyDescent="0.25">
      <c r="A84" t="s">
        <v>252</v>
      </c>
      <c r="B84" s="6">
        <f>SUMIF(Source_BS!$A:$A,$A84,Source_BS!B:B)</f>
        <v>0</v>
      </c>
      <c r="C84" s="6">
        <f>SUMIF(Source_BS!$A:$A,$A84,Source_BS!C:C)</f>
        <v>0</v>
      </c>
      <c r="D84" s="6">
        <f>SUMIF(Source_BS!$A:$A,$A84,Source_BS!D:D)</f>
        <v>0</v>
      </c>
      <c r="E84" s="6">
        <f>SUMIF(Source_BS!$A:$A,$A84,Source_BS!E:E)</f>
        <v>9.9499999999999993</v>
      </c>
      <c r="F84" s="6">
        <f>SUMIF(Source_BS!$A:$A,$A84,Source_BS!F:F)</f>
        <v>-13.5</v>
      </c>
      <c r="G84" s="6">
        <f>SUMIF(Source_BS!$A:$A,$A84,Source_BS!G:G)</f>
        <v>31.19</v>
      </c>
      <c r="H84" s="6">
        <f>SUMIF(Source_BS!$A:$A,$A84,Source_BS!H:H)</f>
        <v>6.6099999999999994</v>
      </c>
      <c r="I84" s="6">
        <f>SUMIF(Source_BS!$A:$A,$A84,Source_BS!I:I)</f>
        <v>81.19</v>
      </c>
      <c r="J84" s="6">
        <f>SUMIF(Source_BS!$A:$A,$A84,Source_BS!J:J)</f>
        <v>62.9</v>
      </c>
      <c r="K84" s="6">
        <f>SUMIF(Source_BS!$A:$A,$A84,Source_BS!K:K)</f>
        <v>43.91</v>
      </c>
      <c r="L84" s="6">
        <f>SUMIF(Source_BS!$A:$A,$A84,Source_BS!L:L)</f>
        <v>50.86</v>
      </c>
      <c r="M84" s="6">
        <f>SUMIF(Source_BS!$A:$A,$A84,Source_BS!M:M)</f>
        <v>279.36</v>
      </c>
    </row>
    <row r="85" spans="1:13" x14ac:dyDescent="0.25">
      <c r="A85" t="s">
        <v>253</v>
      </c>
      <c r="B85" s="6">
        <f>SUMIF(Source_BS!$A:$A,$A85,Source_BS!B:B)</f>
        <v>0</v>
      </c>
      <c r="C85" s="6">
        <f>SUMIF(Source_BS!$A:$A,$A85,Source_BS!C:C)</f>
        <v>0</v>
      </c>
      <c r="D85" s="6">
        <f>SUMIF(Source_BS!$A:$A,$A85,Source_BS!D:D)</f>
        <v>0</v>
      </c>
      <c r="E85" s="6">
        <f>SUMIF(Source_BS!$A:$A,$A85,Source_BS!E:E)</f>
        <v>-74.09</v>
      </c>
      <c r="F85" s="6">
        <f>SUMIF(Source_BS!$A:$A,$A85,Source_BS!F:F)</f>
        <v>-91.92</v>
      </c>
      <c r="G85" s="6">
        <f>SUMIF(Source_BS!$A:$A,$A85,Source_BS!G:G)</f>
        <v>-71.849999999999994</v>
      </c>
      <c r="H85" s="6">
        <f>SUMIF(Source_BS!$A:$A,$A85,Source_BS!H:H)</f>
        <v>-99.339999999999989</v>
      </c>
      <c r="I85" s="6">
        <f>SUMIF(Source_BS!$A:$A,$A85,Source_BS!I:I)</f>
        <v>8.2800000000000153</v>
      </c>
      <c r="J85" s="6">
        <f>SUMIF(Source_BS!$A:$A,$A85,Source_BS!J:J)</f>
        <v>-28.11999999999998</v>
      </c>
      <c r="K85" s="6">
        <f>SUMIF(Source_BS!$A:$A,$A85,Source_BS!K:K)</f>
        <v>-51.499999999999993</v>
      </c>
      <c r="L85" s="6">
        <f>SUMIF(Source_BS!$A:$A,$A85,Source_BS!L:L)</f>
        <v>-55.739999999999988</v>
      </c>
      <c r="M85" s="6">
        <f>SUMIF(Source_BS!$A:$A,$A85,Source_BS!M:M)</f>
        <v>328.16</v>
      </c>
    </row>
    <row r="86" spans="1:13" x14ac:dyDescent="0.25">
      <c r="A86" t="s">
        <v>254</v>
      </c>
      <c r="B86" s="6">
        <f>SUMIF(Source_BS!$A:$A,$A86,Source_BS!B:B)</f>
        <v>0</v>
      </c>
      <c r="C86" s="6">
        <f>SUMIF(Source_BS!$A:$A,$A86,Source_BS!C:C)</f>
        <v>0</v>
      </c>
      <c r="D86" s="6">
        <f>SUMIF(Source_BS!$A:$A,$A86,Source_BS!D:D)</f>
        <v>0</v>
      </c>
      <c r="E86" s="6">
        <f>SUMIF(Source_BS!$A:$A,$A86,Source_BS!E:E)</f>
        <v>-98.44</v>
      </c>
      <c r="F86" s="6">
        <f>SUMIF(Source_BS!$A:$A,$A86,Source_BS!F:F)</f>
        <v>-178.84</v>
      </c>
      <c r="G86" s="6">
        <f>SUMIF(Source_BS!$A:$A,$A86,Source_BS!G:G)</f>
        <v>-64.73</v>
      </c>
      <c r="H86" s="6">
        <f>SUMIF(Source_BS!$A:$A,$A86,Source_BS!H:H)</f>
        <v>-141.13999999999999</v>
      </c>
      <c r="I86" s="6">
        <f>SUMIF(Source_BS!$A:$A,$A86,Source_BS!I:I)</f>
        <v>146.54</v>
      </c>
      <c r="J86" s="6">
        <f>SUMIF(Source_BS!$A:$A,$A86,Source_BS!J:J)</f>
        <v>89.03000000000003</v>
      </c>
      <c r="K86" s="6">
        <f>SUMIF(Source_BS!$A:$A,$A86,Source_BS!K:K)</f>
        <v>54.340000000000032</v>
      </c>
      <c r="L86" s="6">
        <f>SUMIF(Source_BS!$A:$A,$A86,Source_BS!L:L)</f>
        <v>-23.699999999999971</v>
      </c>
      <c r="M86" s="6">
        <f>SUMIF(Source_BS!$A:$A,$A86,Source_BS!M:M)</f>
        <v>928.07</v>
      </c>
    </row>
    <row r="87" spans="1:13" x14ac:dyDescent="0.25">
      <c r="A87" t="s">
        <v>255</v>
      </c>
      <c r="B87" s="6">
        <f>SUMIF(Source_BS!$A:$A,$A87,Source_BS!B:B)</f>
        <v>0</v>
      </c>
      <c r="C87" s="6">
        <f>SUMIF(Source_BS!$A:$A,$A87,Source_BS!C:C)</f>
        <v>0</v>
      </c>
      <c r="D87" s="6">
        <f>SUMIF(Source_BS!$A:$A,$A87,Source_BS!D:D)</f>
        <v>297.16000000000003</v>
      </c>
      <c r="E87" s="6">
        <f>SUMIF(Source_BS!$A:$A,$A87,Source_BS!E:E)</f>
        <v>7428.76</v>
      </c>
      <c r="F87" s="6">
        <f>SUMIF(Source_BS!$A:$A,$A87,Source_BS!F:F)</f>
        <v>-3789.83</v>
      </c>
      <c r="G87" s="6">
        <f>SUMIF(Source_BS!$A:$A,$A87,Source_BS!G:G)</f>
        <v>-5439.57</v>
      </c>
      <c r="H87" s="6">
        <f>SUMIF(Source_BS!$A:$A,$A87,Source_BS!H:H)</f>
        <v>-5439.57</v>
      </c>
      <c r="I87" s="6">
        <f>SUMIF(Source_BS!$A:$A,$A87,Source_BS!I:I)</f>
        <v>-5439.57</v>
      </c>
      <c r="J87" s="6">
        <f>SUMIF(Source_BS!$A:$A,$A87,Source_BS!J:J)</f>
        <v>-5736.7199999999993</v>
      </c>
      <c r="K87" s="6">
        <f>SUMIF(Source_BS!$A:$A,$A87,Source_BS!K:K)</f>
        <v>-5712.6299999999992</v>
      </c>
      <c r="L87" s="6">
        <f>SUMIF(Source_BS!$A:$A,$A87,Source_BS!L:L)</f>
        <v>-5985.69</v>
      </c>
      <c r="M87" s="6">
        <f>SUMIF(Source_BS!$A:$A,$A87,Source_BS!M:M)</f>
        <v>7725.9000000000005</v>
      </c>
    </row>
    <row r="88" spans="1:13" x14ac:dyDescent="0.25">
      <c r="A88" t="s">
        <v>256</v>
      </c>
      <c r="B88" s="6">
        <f>SUMIF(Source_BS!$A:$A,$A88,Source_BS!B:B)</f>
        <v>26659.599999999999</v>
      </c>
      <c r="C88" s="6">
        <f>SUMIF(Source_BS!$A:$A,$A88,Source_BS!C:C)</f>
        <v>26659.599999999999</v>
      </c>
      <c r="D88" s="6">
        <f>SUMIF(Source_BS!$A:$A,$A88,Source_BS!D:D)</f>
        <v>26659.599999999999</v>
      </c>
      <c r="E88" s="6">
        <f>SUMIF(Source_BS!$A:$A,$A88,Source_BS!E:E)</f>
        <v>26659.599999999999</v>
      </c>
      <c r="F88" s="6">
        <f>SUMIF(Source_BS!$A:$A,$A88,Source_BS!F:F)</f>
        <v>26659.599999999999</v>
      </c>
      <c r="G88" s="6">
        <f>SUMIF(Source_BS!$A:$A,$A88,Source_BS!G:G)</f>
        <v>26659.599999999999</v>
      </c>
      <c r="H88" s="6">
        <f>SUMIF(Source_BS!$A:$A,$A88,Source_BS!H:H)</f>
        <v>26659.599999999999</v>
      </c>
      <c r="I88" s="6">
        <f>SUMIF(Source_BS!$A:$A,$A88,Source_BS!I:I)</f>
        <v>26659.599999999999</v>
      </c>
      <c r="J88" s="6">
        <f>SUMIF(Source_BS!$A:$A,$A88,Source_BS!J:J)</f>
        <v>26659.599999999999</v>
      </c>
      <c r="K88" s="6">
        <f>SUMIF(Source_BS!$A:$A,$A88,Source_BS!K:K)</f>
        <v>26659.599999999999</v>
      </c>
      <c r="L88" s="6">
        <f>SUMIF(Source_BS!$A:$A,$A88,Source_BS!L:L)</f>
        <v>26659.599999999999</v>
      </c>
      <c r="M88" s="6">
        <f>SUMIF(Source_BS!$A:$A,$A88,Source_BS!M:M)</f>
        <v>26659.599999999999</v>
      </c>
    </row>
    <row r="89" spans="1:13" x14ac:dyDescent="0.25">
      <c r="A89" s="7" t="s">
        <v>257</v>
      </c>
      <c r="B89" s="9">
        <f>SUMIF(Source_BS!$A:$A,$A89,Source_BS!B:B)</f>
        <v>25817.96</v>
      </c>
      <c r="C89" s="9">
        <f>SUMIF(Source_BS!$A:$A,$A89,Source_BS!C:C)</f>
        <v>25342.14</v>
      </c>
      <c r="D89" s="9">
        <f>SUMIF(Source_BS!$A:$A,$A89,Source_BS!D:D)</f>
        <v>27081.98</v>
      </c>
      <c r="E89" s="9">
        <f>SUMIF(Source_BS!$A:$A,$A89,Source_BS!E:E)</f>
        <v>33891.39</v>
      </c>
      <c r="F89" s="9">
        <f>SUMIF(Source_BS!$A:$A,$A89,Source_BS!F:F)</f>
        <v>22426.080000000002</v>
      </c>
      <c r="G89" s="9">
        <f>SUMIF(Source_BS!$A:$A,$A89,Source_BS!G:G)</f>
        <v>20979.99</v>
      </c>
      <c r="H89" s="9">
        <f>SUMIF(Source_BS!$A:$A,$A89,Source_BS!H:H)</f>
        <v>20646.28</v>
      </c>
      <c r="I89" s="9">
        <f>SUMIF(Source_BS!$A:$A,$A89,Source_BS!I:I)</f>
        <v>21755.16</v>
      </c>
      <c r="J89" s="9">
        <f>SUMIF(Source_BS!$A:$A,$A89,Source_BS!J:J)</f>
        <v>21040.720000000001</v>
      </c>
      <c r="K89" s="9">
        <f>SUMIF(Source_BS!$A:$A,$A89,Source_BS!K:K)</f>
        <v>20837.14</v>
      </c>
      <c r="L89" s="9">
        <f>SUMIF(Source_BS!$A:$A,$A89,Source_BS!L:L)</f>
        <v>20369.53</v>
      </c>
      <c r="M89" s="9">
        <f>SUMIF(Source_BS!$A:$A,$A89,Source_BS!M:M)</f>
        <v>37536.9</v>
      </c>
    </row>
    <row r="90" spans="1:13" x14ac:dyDescent="0.25">
      <c r="A90" t="s">
        <v>258</v>
      </c>
      <c r="B90" s="6">
        <f>SUMIF(Source_BS!$A:$A,$A90,Source_BS!B:B)</f>
        <v>0</v>
      </c>
      <c r="C90" s="6">
        <f>SUMIF(Source_BS!$A:$A,$A90,Source_BS!C:C)</f>
        <v>0</v>
      </c>
      <c r="D90" s="6">
        <f>SUMIF(Source_BS!$A:$A,$A90,Source_BS!D:D)</f>
        <v>0</v>
      </c>
      <c r="E90" s="6">
        <f>SUMIF(Source_BS!$A:$A,$A90,Source_BS!E:E)</f>
        <v>0</v>
      </c>
      <c r="F90" s="6">
        <f>SUMIF(Source_BS!$A:$A,$A90,Source_BS!F:F)</f>
        <v>0</v>
      </c>
      <c r="G90" s="6">
        <f>SUMIF(Source_BS!$A:$A,$A90,Source_BS!G:G)</f>
        <v>0</v>
      </c>
      <c r="H90" s="6">
        <f>SUMIF(Source_BS!$A:$A,$A90,Source_BS!H:H)</f>
        <v>0</v>
      </c>
      <c r="I90" s="6">
        <f>SUMIF(Source_BS!$A:$A,$A90,Source_BS!I:I)</f>
        <v>0</v>
      </c>
      <c r="J90" s="6">
        <f>SUMIF(Source_BS!$A:$A,$A90,Source_BS!J:J)</f>
        <v>0</v>
      </c>
      <c r="K90" s="6">
        <f>SUMIF(Source_BS!$A:$A,$A90,Source_BS!K:K)</f>
        <v>0</v>
      </c>
      <c r="L90" s="6">
        <f>SUMIF(Source_BS!$A:$A,$A90,Source_BS!L:L)</f>
        <v>0</v>
      </c>
      <c r="M90" s="6">
        <f>SUMIF(Source_BS!$A:$A,$A90,Source_BS!M:M)</f>
        <v>0</v>
      </c>
    </row>
    <row r="91" spans="1:13" x14ac:dyDescent="0.25">
      <c r="A91" t="s">
        <v>259</v>
      </c>
      <c r="B91" s="6">
        <f>SUMIF(Source_BS!$A:$A,$A91,Source_BS!B:B)</f>
        <v>0</v>
      </c>
      <c r="C91" s="6">
        <f>SUMIF(Source_BS!$A:$A,$A91,Source_BS!C:C)</f>
        <v>0</v>
      </c>
      <c r="D91" s="6">
        <f>SUMIF(Source_BS!$A:$A,$A91,Source_BS!D:D)</f>
        <v>0</v>
      </c>
      <c r="E91" s="6">
        <f>SUMIF(Source_BS!$A:$A,$A91,Source_BS!E:E)</f>
        <v>0</v>
      </c>
      <c r="F91" s="6">
        <f>SUMIF(Source_BS!$A:$A,$A91,Source_BS!F:F)</f>
        <v>0</v>
      </c>
      <c r="G91" s="6">
        <f>SUMIF(Source_BS!$A:$A,$A91,Source_BS!G:G)</f>
        <v>0</v>
      </c>
      <c r="H91" s="6">
        <f>SUMIF(Source_BS!$A:$A,$A91,Source_BS!H:H)</f>
        <v>0</v>
      </c>
      <c r="I91" s="6">
        <f>SUMIF(Source_BS!$A:$A,$A91,Source_BS!I:I)</f>
        <v>0</v>
      </c>
      <c r="J91" s="6">
        <f>SUMIF(Source_BS!$A:$A,$A91,Source_BS!J:J)</f>
        <v>0</v>
      </c>
      <c r="K91" s="6">
        <f>SUMIF(Source_BS!$A:$A,$A91,Source_BS!K:K)</f>
        <v>0</v>
      </c>
      <c r="L91" s="6">
        <f>SUMIF(Source_BS!$A:$A,$A91,Source_BS!L:L)</f>
        <v>0</v>
      </c>
      <c r="M91" s="6">
        <f>SUMIF(Source_BS!$A:$A,$A91,Source_BS!M:M)</f>
        <v>0</v>
      </c>
    </row>
    <row r="92" spans="1:13" x14ac:dyDescent="0.25">
      <c r="A92" t="s">
        <v>260</v>
      </c>
      <c r="B92" s="6">
        <f>SUMIF(Source_BS!$A:$A,$A92,Source_BS!B:B)</f>
        <v>0</v>
      </c>
      <c r="C92" s="6">
        <f>SUMIF(Source_BS!$A:$A,$A92,Source_BS!C:C)</f>
        <v>0</v>
      </c>
      <c r="D92" s="6">
        <f>SUMIF(Source_BS!$A:$A,$A92,Source_BS!D:D)</f>
        <v>0</v>
      </c>
      <c r="E92" s="6">
        <f>SUMIF(Source_BS!$A:$A,$A92,Source_BS!E:E)</f>
        <v>0</v>
      </c>
      <c r="F92" s="6">
        <f>SUMIF(Source_BS!$A:$A,$A92,Source_BS!F:F)</f>
        <v>0</v>
      </c>
      <c r="G92" s="6">
        <f>SUMIF(Source_BS!$A:$A,$A92,Source_BS!G:G)</f>
        <v>0</v>
      </c>
      <c r="H92" s="6">
        <f>SUMIF(Source_BS!$A:$A,$A92,Source_BS!H:H)</f>
        <v>0</v>
      </c>
      <c r="I92" s="6">
        <f>SUMIF(Source_BS!$A:$A,$A92,Source_BS!I:I)</f>
        <v>0</v>
      </c>
      <c r="J92" s="6">
        <f>SUMIF(Source_BS!$A:$A,$A92,Source_BS!J:J)</f>
        <v>0</v>
      </c>
      <c r="K92" s="6">
        <f>SUMIF(Source_BS!$A:$A,$A92,Source_BS!K:K)</f>
        <v>0</v>
      </c>
      <c r="L92" s="6">
        <f>SUMIF(Source_BS!$A:$A,$A92,Source_BS!L:L)</f>
        <v>0</v>
      </c>
      <c r="M92" s="6">
        <f>SUMIF(Source_BS!$A:$A,$A92,Source_BS!M:M)</f>
        <v>0</v>
      </c>
    </row>
    <row r="93" spans="1:13" x14ac:dyDescent="0.25">
      <c r="A93" t="s">
        <v>261</v>
      </c>
      <c r="B93" s="6">
        <f>SUMIF(Source_BS!$A:$A,$A93,Source_BS!B:B)</f>
        <v>0</v>
      </c>
      <c r="C93" s="6">
        <f>SUMIF(Source_BS!$A:$A,$A93,Source_BS!C:C)</f>
        <v>0</v>
      </c>
      <c r="D93" s="6">
        <f>SUMIF(Source_BS!$A:$A,$A93,Source_BS!D:D)</f>
        <v>0</v>
      </c>
      <c r="E93" s="6">
        <f>SUMIF(Source_BS!$A:$A,$A93,Source_BS!E:E)</f>
        <v>0</v>
      </c>
      <c r="F93" s="6">
        <f>SUMIF(Source_BS!$A:$A,$A93,Source_BS!F:F)</f>
        <v>0</v>
      </c>
      <c r="G93" s="6">
        <f>SUMIF(Source_BS!$A:$A,$A93,Source_BS!G:G)</f>
        <v>0</v>
      </c>
      <c r="H93" s="6">
        <f>SUMIF(Source_BS!$A:$A,$A93,Source_BS!H:H)</f>
        <v>0</v>
      </c>
      <c r="I93" s="6">
        <f>SUMIF(Source_BS!$A:$A,$A93,Source_BS!I:I)</f>
        <v>0</v>
      </c>
      <c r="J93" s="6">
        <f>SUMIF(Source_BS!$A:$A,$A93,Source_BS!J:J)</f>
        <v>0</v>
      </c>
      <c r="K93" s="6">
        <f>SUMIF(Source_BS!$A:$A,$A93,Source_BS!K:K)</f>
        <v>21682.400000000001</v>
      </c>
      <c r="L93" s="6">
        <f>SUMIF(Source_BS!$A:$A,$A93,Source_BS!L:L)</f>
        <v>21682.400000000001</v>
      </c>
      <c r="M93" s="6">
        <f>SUMIF(Source_BS!$A:$A,$A93,Source_BS!M:M)</f>
        <v>19479.16</v>
      </c>
    </row>
    <row r="94" spans="1:13" x14ac:dyDescent="0.25">
      <c r="A94" t="s">
        <v>262</v>
      </c>
      <c r="B94" s="6">
        <f>SUMIF(Source_BS!$A:$A,$A94,Source_BS!B:B)</f>
        <v>0</v>
      </c>
      <c r="C94" s="6">
        <f>SUMIF(Source_BS!$A:$A,$A94,Source_BS!C:C)</f>
        <v>0</v>
      </c>
      <c r="D94" s="6">
        <f>SUMIF(Source_BS!$A:$A,$A94,Source_BS!D:D)</f>
        <v>0</v>
      </c>
      <c r="E94" s="6">
        <f>SUMIF(Source_BS!$A:$A,$A94,Source_BS!E:E)</f>
        <v>0</v>
      </c>
      <c r="F94" s="6">
        <f>SUMIF(Source_BS!$A:$A,$A94,Source_BS!F:F)</f>
        <v>0</v>
      </c>
      <c r="G94" s="6">
        <f>SUMIF(Source_BS!$A:$A,$A94,Source_BS!G:G)</f>
        <v>0</v>
      </c>
      <c r="H94" s="6">
        <f>SUMIF(Source_BS!$A:$A,$A94,Source_BS!H:H)</f>
        <v>0</v>
      </c>
      <c r="I94" s="6">
        <f>SUMIF(Source_BS!$A:$A,$A94,Source_BS!I:I)</f>
        <v>0</v>
      </c>
      <c r="J94" s="6">
        <f>SUMIF(Source_BS!$A:$A,$A94,Source_BS!J:J)</f>
        <v>0</v>
      </c>
      <c r="K94" s="6">
        <f>SUMIF(Source_BS!$A:$A,$A94,Source_BS!K:K)</f>
        <v>0</v>
      </c>
      <c r="L94" s="6">
        <f>SUMIF(Source_BS!$A:$A,$A94,Source_BS!L:L)</f>
        <v>0</v>
      </c>
      <c r="M94" s="6">
        <f>SUMIF(Source_BS!$A:$A,$A94,Source_BS!M:M)</f>
        <v>0</v>
      </c>
    </row>
    <row r="95" spans="1:13" x14ac:dyDescent="0.25">
      <c r="A95" s="7" t="s">
        <v>263</v>
      </c>
      <c r="B95" s="9">
        <f>SUMIF(Source_BS!$A:$A,$A95,Source_BS!B:B)</f>
        <v>281238.64</v>
      </c>
      <c r="C95" s="9">
        <f>SUMIF(Source_BS!$A:$A,$A95,Source_BS!C:C)</f>
        <v>436895.92</v>
      </c>
      <c r="D95" s="9">
        <f>SUMIF(Source_BS!$A:$A,$A95,Source_BS!D:D)</f>
        <v>472969.44</v>
      </c>
      <c r="E95" s="9">
        <f>SUMIF(Source_BS!$A:$A,$A95,Source_BS!E:E)</f>
        <v>442353.70000000013</v>
      </c>
      <c r="F95" s="9">
        <f>SUMIF(Source_BS!$A:$A,$A95,Source_BS!F:F)</f>
        <v>405908.72</v>
      </c>
      <c r="G95" s="9">
        <f>SUMIF(Source_BS!$A:$A,$A95,Source_BS!G:G)</f>
        <v>252998.53</v>
      </c>
      <c r="H95" s="9">
        <f>SUMIF(Source_BS!$A:$A,$A95,Source_BS!H:H)</f>
        <v>291963.38</v>
      </c>
      <c r="I95" s="9">
        <f>SUMIF(Source_BS!$A:$A,$A95,Source_BS!I:I)</f>
        <v>378859.46</v>
      </c>
      <c r="J95" s="9">
        <f>SUMIF(Source_BS!$A:$A,$A95,Source_BS!J:J)</f>
        <v>421011.98</v>
      </c>
      <c r="K95" s="9">
        <f>SUMIF(Source_BS!$A:$A,$A95,Source_BS!K:K)</f>
        <v>420629.48</v>
      </c>
      <c r="L95" s="9">
        <f>SUMIF(Source_BS!$A:$A,$A95,Source_BS!L:L)</f>
        <v>463191.25</v>
      </c>
      <c r="M95" s="9">
        <f>SUMIF(Source_BS!$A:$A,$A95,Source_BS!M:M)</f>
        <v>470090.07000000012</v>
      </c>
    </row>
    <row r="96" spans="1:13" x14ac:dyDescent="0.25">
      <c r="A96" s="7" t="s">
        <v>264</v>
      </c>
      <c r="B96" s="9">
        <f>SUMIF(Source_BS!$A:$A,$A96,Source_BS!B:B)</f>
        <v>374717.62</v>
      </c>
      <c r="C96" s="9">
        <f>SUMIF(Source_BS!$A:$A,$A96,Source_BS!C:C)</f>
        <v>508257.25000000012</v>
      </c>
      <c r="D96" s="9">
        <f>SUMIF(Source_BS!$A:$A,$A96,Source_BS!D:D)</f>
        <v>494445.94</v>
      </c>
      <c r="E96" s="9">
        <f>SUMIF(Source_BS!$A:$A,$A96,Source_BS!E:E)</f>
        <v>458523.15000000008</v>
      </c>
      <c r="F96" s="9">
        <f>SUMIF(Source_BS!$A:$A,$A96,Source_BS!F:F)</f>
        <v>432713.38</v>
      </c>
      <c r="G96" s="9">
        <f>SUMIF(Source_BS!$A:$A,$A96,Source_BS!G:G)</f>
        <v>294309.12</v>
      </c>
      <c r="H96" s="9">
        <f>SUMIF(Source_BS!$A:$A,$A96,Source_BS!H:H)</f>
        <v>359593.26</v>
      </c>
      <c r="I96" s="9">
        <f>SUMIF(Source_BS!$A:$A,$A96,Source_BS!I:I)</f>
        <v>419494.35</v>
      </c>
      <c r="J96" s="9">
        <f>SUMIF(Source_BS!$A:$A,$A96,Source_BS!J:J)</f>
        <v>473835.01</v>
      </c>
      <c r="K96" s="9">
        <f>SUMIF(Source_BS!$A:$A,$A96,Source_BS!K:K)</f>
        <v>482064.7</v>
      </c>
      <c r="L96" s="9">
        <f>SUMIF(Source_BS!$A:$A,$A96,Source_BS!L:L)</f>
        <v>489699.95</v>
      </c>
      <c r="M96" s="9">
        <f>SUMIF(Source_BS!$A:$A,$A96,Source_BS!M:M)</f>
        <v>528567.04000000004</v>
      </c>
    </row>
    <row r="97" spans="1:13" x14ac:dyDescent="0.25">
      <c r="A97" t="s">
        <v>265</v>
      </c>
      <c r="B97" s="6">
        <f>SUMIF(Source_BS!$A:$A,$A97,Source_BS!B:B)</f>
        <v>0</v>
      </c>
      <c r="C97" s="6">
        <f>SUMIF(Source_BS!$A:$A,$A97,Source_BS!C:C)</f>
        <v>0</v>
      </c>
      <c r="D97" s="6">
        <f>SUMIF(Source_BS!$A:$A,$A97,Source_BS!D:D)</f>
        <v>0</v>
      </c>
      <c r="E97" s="6">
        <f>SUMIF(Source_BS!$A:$A,$A97,Source_BS!E:E)</f>
        <v>0</v>
      </c>
      <c r="F97" s="6">
        <f>SUMIF(Source_BS!$A:$A,$A97,Source_BS!F:F)</f>
        <v>0</v>
      </c>
      <c r="G97" s="6">
        <f>SUMIF(Source_BS!$A:$A,$A97,Source_BS!G:G)</f>
        <v>0</v>
      </c>
      <c r="H97" s="6">
        <f>SUMIF(Source_BS!$A:$A,$A97,Source_BS!H:H)</f>
        <v>0</v>
      </c>
      <c r="I97" s="6">
        <f>SUMIF(Source_BS!$A:$A,$A97,Source_BS!I:I)</f>
        <v>0</v>
      </c>
      <c r="J97" s="6">
        <f>SUMIF(Source_BS!$A:$A,$A97,Source_BS!J:J)</f>
        <v>0</v>
      </c>
      <c r="K97" s="6">
        <f>SUMIF(Source_BS!$A:$A,$A97,Source_BS!K:K)</f>
        <v>0</v>
      </c>
      <c r="L97" s="6">
        <f>SUMIF(Source_BS!$A:$A,$A97,Source_BS!L:L)</f>
        <v>0</v>
      </c>
      <c r="M97" s="6">
        <f>SUMIF(Source_BS!$A:$A,$A97,Source_BS!M:M)</f>
        <v>0</v>
      </c>
    </row>
    <row r="98" spans="1:13" x14ac:dyDescent="0.25">
      <c r="A98" t="s">
        <v>266</v>
      </c>
      <c r="B98" s="6">
        <f>SUMIF(Source_BS!$A:$A,$A98,Source_BS!B:B)</f>
        <v>89499.839999999997</v>
      </c>
      <c r="C98" s="6">
        <f>SUMIF(Source_BS!$A:$A,$A98,Source_BS!C:C)</f>
        <v>89499.839999999997</v>
      </c>
      <c r="D98" s="6">
        <f>SUMIF(Source_BS!$A:$A,$A98,Source_BS!D:D)</f>
        <v>89499.839999999997</v>
      </c>
      <c r="E98" s="6">
        <f>SUMIF(Source_BS!$A:$A,$A98,Source_BS!E:E)</f>
        <v>89499.839999999997</v>
      </c>
      <c r="F98" s="6">
        <f>SUMIF(Source_BS!$A:$A,$A98,Source_BS!F:F)</f>
        <v>89499.839999999997</v>
      </c>
      <c r="G98" s="6">
        <f>SUMIF(Source_BS!$A:$A,$A98,Source_BS!G:G)</f>
        <v>89499.839999999997</v>
      </c>
      <c r="H98" s="6">
        <f>SUMIF(Source_BS!$A:$A,$A98,Source_BS!H:H)</f>
        <v>89499.839999999997</v>
      </c>
      <c r="I98" s="6">
        <f>SUMIF(Source_BS!$A:$A,$A98,Source_BS!I:I)</f>
        <v>89499.839999999997</v>
      </c>
      <c r="J98" s="6">
        <f>SUMIF(Source_BS!$A:$A,$A98,Source_BS!J:J)</f>
        <v>89499.839999999997</v>
      </c>
      <c r="K98" s="6">
        <f>SUMIF(Source_BS!$A:$A,$A98,Source_BS!K:K)</f>
        <v>89499.839999999997</v>
      </c>
      <c r="L98" s="6">
        <f>SUMIF(Source_BS!$A:$A,$A98,Source_BS!L:L)</f>
        <v>89499.839999999997</v>
      </c>
      <c r="M98" s="6">
        <f>SUMIF(Source_BS!$A:$A,$A98,Source_BS!M:M)</f>
        <v>0</v>
      </c>
    </row>
    <row r="99" spans="1:13" x14ac:dyDescent="0.25">
      <c r="A99" t="s">
        <v>267</v>
      </c>
      <c r="B99" s="6">
        <f>SUMIF(Source_BS!$A:$A,$A99,Source_BS!B:B)</f>
        <v>12818.62</v>
      </c>
      <c r="C99" s="6">
        <f>SUMIF(Source_BS!$A:$A,$A99,Source_BS!C:C)</f>
        <v>12430.18</v>
      </c>
      <c r="D99" s="6">
        <f>SUMIF(Source_BS!$A:$A,$A99,Source_BS!D:D)</f>
        <v>12041.74</v>
      </c>
      <c r="E99" s="6">
        <f>SUMIF(Source_BS!$A:$A,$A99,Source_BS!E:E)</f>
        <v>11653.3</v>
      </c>
      <c r="F99" s="6">
        <f>SUMIF(Source_BS!$A:$A,$A99,Source_BS!F:F)</f>
        <v>11264.86</v>
      </c>
      <c r="G99" s="6">
        <f>SUMIF(Source_BS!$A:$A,$A99,Source_BS!G:G)</f>
        <v>10876.42</v>
      </c>
      <c r="H99" s="6">
        <f>SUMIF(Source_BS!$A:$A,$A99,Source_BS!H:H)</f>
        <v>10487.98</v>
      </c>
      <c r="I99" s="6">
        <f>SUMIF(Source_BS!$A:$A,$A99,Source_BS!I:I)</f>
        <v>10099.540000000001</v>
      </c>
      <c r="J99" s="6">
        <f>SUMIF(Source_BS!$A:$A,$A99,Source_BS!J:J)</f>
        <v>9711.0999999999949</v>
      </c>
      <c r="K99" s="6">
        <f>SUMIF(Source_BS!$A:$A,$A99,Source_BS!K:K)</f>
        <v>9322.6599999999944</v>
      </c>
      <c r="L99" s="6">
        <f>SUMIF(Source_BS!$A:$A,$A99,Source_BS!L:L)</f>
        <v>8934.2199999999939</v>
      </c>
      <c r="M99" s="6">
        <f>SUMIF(Source_BS!$A:$A,$A99,Source_BS!M:M)</f>
        <v>8545.7799999999934</v>
      </c>
    </row>
    <row r="100" spans="1:13" x14ac:dyDescent="0.25">
      <c r="A100" t="s">
        <v>268</v>
      </c>
      <c r="B100" s="6">
        <f>SUMIF(Source_BS!$A:$A,$A100,Source_BS!B:B)</f>
        <v>8493.44</v>
      </c>
      <c r="C100" s="6">
        <f>SUMIF(Source_BS!$A:$A,$A100,Source_BS!C:C)</f>
        <v>7858.0800000000008</v>
      </c>
      <c r="D100" s="6">
        <f>SUMIF(Source_BS!$A:$A,$A100,Source_BS!D:D)</f>
        <v>7217.5600000000013</v>
      </c>
      <c r="E100" s="6">
        <f>SUMIF(Source_BS!$A:$A,$A100,Source_BS!E:E)</f>
        <v>6576.4300000000012</v>
      </c>
      <c r="F100" s="6">
        <f>SUMIF(Source_BS!$A:$A,$A100,Source_BS!F:F)</f>
        <v>5931.4500000000007</v>
      </c>
      <c r="G100" s="6">
        <f>SUMIF(Source_BS!$A:$A,$A100,Source_BS!G:G)</f>
        <v>5284.51</v>
      </c>
      <c r="H100" s="6">
        <f>SUMIF(Source_BS!$A:$A,$A100,Source_BS!H:H)</f>
        <v>4634.0600000000004</v>
      </c>
      <c r="I100" s="6">
        <f>SUMIF(Source_BS!$A:$A,$A100,Source_BS!I:I)</f>
        <v>3981.25</v>
      </c>
      <c r="J100" s="6">
        <f>SUMIF(Source_BS!$A:$A,$A100,Source_BS!J:J)</f>
        <v>3325.4900000000011</v>
      </c>
      <c r="K100" s="6">
        <f>SUMIF(Source_BS!$A:$A,$A100,Source_BS!K:K)</f>
        <v>2666.4700000000012</v>
      </c>
      <c r="L100" s="6">
        <f>SUMIF(Source_BS!$A:$A,$A100,Source_BS!L:L)</f>
        <v>2004.7700000000009</v>
      </c>
      <c r="M100" s="6">
        <f>SUMIF(Source_BS!$A:$A,$A100,Source_BS!M:M)</f>
        <v>1339.7900000000011</v>
      </c>
    </row>
    <row r="101" spans="1:13" x14ac:dyDescent="0.25">
      <c r="A101" t="s">
        <v>269</v>
      </c>
      <c r="B101" s="6">
        <f>SUMIF(Source_BS!$A:$A,$A101,Source_BS!B:B)</f>
        <v>21535.53</v>
      </c>
      <c r="C101" s="6">
        <f>SUMIF(Source_BS!$A:$A,$A101,Source_BS!C:C)</f>
        <v>20677.150000000001</v>
      </c>
      <c r="D101" s="6">
        <f>SUMIF(Source_BS!$A:$A,$A101,Source_BS!D:D)</f>
        <v>19810.45</v>
      </c>
      <c r="E101" s="6">
        <f>SUMIF(Source_BS!$A:$A,$A101,Source_BS!E:E)</f>
        <v>18945.509999999998</v>
      </c>
      <c r="F101" s="6">
        <f>SUMIF(Source_BS!$A:$A,$A101,Source_BS!F:F)</f>
        <v>18075.14</v>
      </c>
      <c r="G101" s="6">
        <f>SUMIF(Source_BS!$A:$A,$A101,Source_BS!G:G)</f>
        <v>17203.7</v>
      </c>
      <c r="H101" s="6">
        <f>SUMIF(Source_BS!$A:$A,$A101,Source_BS!H:H)</f>
        <v>16326.91</v>
      </c>
      <c r="I101" s="6">
        <f>SUMIF(Source_BS!$A:$A,$A101,Source_BS!I:I)</f>
        <v>15449.03</v>
      </c>
      <c r="J101" s="6">
        <f>SUMIF(Source_BS!$A:$A,$A101,Source_BS!J:J)</f>
        <v>14567.75</v>
      </c>
      <c r="K101" s="6">
        <f>SUMIF(Source_BS!$A:$A,$A101,Source_BS!K:K)</f>
        <v>13681.62</v>
      </c>
      <c r="L101" s="6">
        <f>SUMIF(Source_BS!$A:$A,$A101,Source_BS!L:L)</f>
        <v>12793.72</v>
      </c>
      <c r="M101" s="6">
        <f>SUMIF(Source_BS!$A:$A,$A101,Source_BS!M:M)</f>
        <v>11900.95</v>
      </c>
    </row>
    <row r="102" spans="1:13" x14ac:dyDescent="0.25">
      <c r="A102" t="s">
        <v>270</v>
      </c>
      <c r="B102" s="6">
        <f>SUMIF(Source_BS!$A:$A,$A102,Source_BS!B:B)</f>
        <v>14568.76</v>
      </c>
      <c r="C102" s="6">
        <f>SUMIF(Source_BS!$A:$A,$A102,Source_BS!C:C)</f>
        <v>13828.14</v>
      </c>
      <c r="D102" s="6">
        <f>SUMIF(Source_BS!$A:$A,$A102,Source_BS!D:D)</f>
        <v>13081.58</v>
      </c>
      <c r="E102" s="6">
        <f>SUMIF(Source_BS!$A:$A,$A102,Source_BS!E:E)</f>
        <v>12335.39</v>
      </c>
      <c r="F102" s="6">
        <f>SUMIF(Source_BS!$A:$A,$A102,Source_BS!F:F)</f>
        <v>11584.91</v>
      </c>
      <c r="G102" s="6">
        <f>SUMIF(Source_BS!$A:$A,$A102,Source_BS!G:G)</f>
        <v>10833.29</v>
      </c>
      <c r="H102" s="6">
        <f>SUMIF(Source_BS!$A:$A,$A102,Source_BS!H:H)</f>
        <v>10077.370000000001</v>
      </c>
      <c r="I102" s="6">
        <f>SUMIF(Source_BS!$A:$A,$A102,Source_BS!I:I)</f>
        <v>9319.9199999999983</v>
      </c>
      <c r="J102" s="6">
        <f>SUMIF(Source_BS!$A:$A,$A102,Source_BS!J:J)</f>
        <v>8559.7299999999977</v>
      </c>
      <c r="K102" s="6">
        <f>SUMIF(Source_BS!$A:$A,$A102,Source_BS!K:K)</f>
        <v>7795.5599999999977</v>
      </c>
      <c r="L102" s="6">
        <f>SUMIF(Source_BS!$A:$A,$A102,Source_BS!L:L)</f>
        <v>7029.5699999999979</v>
      </c>
      <c r="M102" s="6">
        <f>SUMIF(Source_BS!$A:$A,$A102,Source_BS!M:M)</f>
        <v>6259.8599999999979</v>
      </c>
    </row>
    <row r="103" spans="1:13" x14ac:dyDescent="0.25">
      <c r="A103" t="s">
        <v>271</v>
      </c>
      <c r="B103" s="6">
        <f>SUMIF(Source_BS!$A:$A,$A103,Source_BS!B:B)</f>
        <v>38989.82</v>
      </c>
      <c r="C103" s="6">
        <f>SUMIF(Source_BS!$A:$A,$A103,Source_BS!C:C)</f>
        <v>37759.760000000002</v>
      </c>
      <c r="D103" s="6">
        <f>SUMIF(Source_BS!$A:$A,$A103,Source_BS!D:D)</f>
        <v>36515.839999999997</v>
      </c>
      <c r="E103" s="6">
        <f>SUMIF(Source_BS!$A:$A,$A103,Source_BS!E:E)</f>
        <v>35276.280000000013</v>
      </c>
      <c r="F103" s="6">
        <f>SUMIF(Source_BS!$A:$A,$A103,Source_BS!F:F)</f>
        <v>34028.31</v>
      </c>
      <c r="G103" s="6">
        <f>SUMIF(Source_BS!$A:$A,$A103,Source_BS!G:G)</f>
        <v>32779.65</v>
      </c>
      <c r="H103" s="6">
        <f>SUMIF(Source_BS!$A:$A,$A103,Source_BS!H:H)</f>
        <v>31522.55</v>
      </c>
      <c r="I103" s="6">
        <f>SUMIF(Source_BS!$A:$A,$A103,Source_BS!I:I)</f>
        <v>30265.02</v>
      </c>
      <c r="J103" s="6">
        <f>SUMIF(Source_BS!$A:$A,$A103,Source_BS!J:J)</f>
        <v>29002.59</v>
      </c>
      <c r="K103" s="6">
        <f>SUMIF(Source_BS!$A:$A,$A103,Source_BS!K:K)</f>
        <v>27732.11</v>
      </c>
      <c r="L103" s="6">
        <f>SUMIF(Source_BS!$A:$A,$A103,Source_BS!L:L)</f>
        <v>26460.71</v>
      </c>
      <c r="M103" s="6">
        <f>SUMIF(Source_BS!$A:$A,$A103,Source_BS!M:M)</f>
        <v>25181.23</v>
      </c>
    </row>
    <row r="104" spans="1:13" x14ac:dyDescent="0.25">
      <c r="A104" t="s">
        <v>272</v>
      </c>
      <c r="B104" s="6">
        <f>SUMIF(Source_BS!$A:$A,$A104,Source_BS!B:B)</f>
        <v>51054.2</v>
      </c>
      <c r="C104" s="6">
        <f>SUMIF(Source_BS!$A:$A,$A104,Source_BS!C:C)</f>
        <v>50028.860000000008</v>
      </c>
      <c r="D104" s="6">
        <f>SUMIF(Source_BS!$A:$A,$A104,Source_BS!D:D)</f>
        <v>48999.890000000007</v>
      </c>
      <c r="E104" s="6">
        <f>SUMIF(Source_BS!$A:$A,$A104,Source_BS!E:E)</f>
        <v>47973.30000000001</v>
      </c>
      <c r="F104" s="6">
        <f>SUMIF(Source_BS!$A:$A,$A104,Source_BS!F:F)</f>
        <v>46937.05000000001</v>
      </c>
      <c r="G104" s="6">
        <f>SUMIF(Source_BS!$A:$A,$A104,Source_BS!G:G)</f>
        <v>46937.05000000001</v>
      </c>
      <c r="H104" s="6">
        <f>SUMIF(Source_BS!$A:$A,$A104,Source_BS!H:H)</f>
        <v>44859.210000000006</v>
      </c>
      <c r="I104" s="6">
        <f>SUMIF(Source_BS!$A:$A,$A104,Source_BS!I:I)</f>
        <v>43817.23</v>
      </c>
      <c r="J104" s="6">
        <f>SUMIF(Source_BS!$A:$A,$A104,Source_BS!J:J)</f>
        <v>42771.43</v>
      </c>
      <c r="K104" s="6">
        <f>SUMIF(Source_BS!$A:$A,$A104,Source_BS!K:K)</f>
        <v>41716.76</v>
      </c>
      <c r="L104" s="6">
        <f>SUMIF(Source_BS!$A:$A,$A104,Source_BS!L:L)</f>
        <v>41716.76</v>
      </c>
      <c r="M104" s="6">
        <f>SUMIF(Source_BS!$A:$A,$A104,Source_BS!M:M)</f>
        <v>39601.39</v>
      </c>
    </row>
    <row r="105" spans="1:13" x14ac:dyDescent="0.25">
      <c r="A105" t="s">
        <v>273</v>
      </c>
      <c r="B105" s="6">
        <f>SUMIF(Source_BS!$A:$A,$A105,Source_BS!B:B)</f>
        <v>60914.22</v>
      </c>
      <c r="C105" s="6">
        <f>SUMIF(Source_BS!$A:$A,$A105,Source_BS!C:C)</f>
        <v>59648.75</v>
      </c>
      <c r="D105" s="6">
        <f>SUMIF(Source_BS!$A:$A,$A105,Source_BS!D:D)</f>
        <v>58357.49</v>
      </c>
      <c r="E105" s="6">
        <f>SUMIF(Source_BS!$A:$A,$A105,Source_BS!E:E)</f>
        <v>57079.02</v>
      </c>
      <c r="F105" s="6">
        <f>SUMIF(Source_BS!$A:$A,$A105,Source_BS!F:F)</f>
        <v>55784.219999999987</v>
      </c>
      <c r="G105" s="6">
        <f>SUMIF(Source_BS!$A:$A,$A105,Source_BS!G:G)</f>
        <v>54492.239999999991</v>
      </c>
      <c r="H105" s="6">
        <f>SUMIF(Source_BS!$A:$A,$A105,Source_BS!H:H)</f>
        <v>53184.509999999987</v>
      </c>
      <c r="I105" s="6">
        <f>SUMIF(Source_BS!$A:$A,$A105,Source_BS!I:I)</f>
        <v>51879.099999999977</v>
      </c>
      <c r="J105" s="6">
        <f>SUMIF(Source_BS!$A:$A,$A105,Source_BS!J:J)</f>
        <v>50567.379999999983</v>
      </c>
      <c r="K105" s="6">
        <f>SUMIF(Source_BS!$A:$A,$A105,Source_BS!K:K)</f>
        <v>49240.019999999982</v>
      </c>
      <c r="L105" s="6">
        <f>SUMIF(Source_BS!$A:$A,$A105,Source_BS!L:L)</f>
        <v>47914.229999999981</v>
      </c>
      <c r="M105" s="6">
        <f>SUMIF(Source_BS!$A:$A,$A105,Source_BS!M:M)</f>
        <v>46573.82999999998</v>
      </c>
    </row>
    <row r="106" spans="1:13" x14ac:dyDescent="0.25">
      <c r="A106" t="s">
        <v>274</v>
      </c>
      <c r="B106" s="6">
        <f>SUMIF(Source_BS!$A:$A,$A106,Source_BS!B:B)</f>
        <v>59395.719999999987</v>
      </c>
      <c r="C106" s="6">
        <f>SUMIF(Source_BS!$A:$A,$A106,Source_BS!C:C)</f>
        <v>57920.249999999993</v>
      </c>
      <c r="D106" s="6">
        <f>SUMIF(Source_BS!$A:$A,$A106,Source_BS!D:D)</f>
        <v>56417.109999999993</v>
      </c>
      <c r="E106" s="6">
        <f>SUMIF(Source_BS!$A:$A,$A106,Source_BS!E:E)</f>
        <v>54925.509999999987</v>
      </c>
      <c r="F106" s="6">
        <f>SUMIF(Source_BS!$A:$A,$A106,Source_BS!F:F)</f>
        <v>53417.55</v>
      </c>
      <c r="G106" s="6">
        <f>SUMIF(Source_BS!$A:$A,$A106,Source_BS!G:G)</f>
        <v>51910.46</v>
      </c>
      <c r="H106" s="6">
        <f>SUMIF(Source_BS!$A:$A,$A106,Source_BS!H:H)</f>
        <v>50386.93</v>
      </c>
      <c r="I106" s="6">
        <f>SUMIF(Source_BS!$A:$A,$A106,Source_BS!I:I)</f>
        <v>48864.68</v>
      </c>
      <c r="J106" s="6">
        <f>SUMIF(Source_BS!$A:$A,$A106,Source_BS!J:J)</f>
        <v>47334.06</v>
      </c>
      <c r="K106" s="6">
        <f>SUMIF(Source_BS!$A:$A,$A106,Source_BS!K:K)</f>
        <v>45787.649999999987</v>
      </c>
      <c r="L106" s="6">
        <f>SUMIF(Source_BS!$A:$A,$A106,Source_BS!L:L)</f>
        <v>44241.639999999992</v>
      </c>
      <c r="M106" s="6">
        <f>SUMIF(Source_BS!$A:$A,$A106,Source_BS!M:M)</f>
        <v>42679.759999999987</v>
      </c>
    </row>
    <row r="107" spans="1:13" x14ac:dyDescent="0.25">
      <c r="A107" t="s">
        <v>275</v>
      </c>
      <c r="B107" s="6">
        <f>SUMIF(Source_BS!$A:$A,$A107,Source_BS!B:B)</f>
        <v>62990</v>
      </c>
      <c r="C107" s="6">
        <f>SUMIF(Source_BS!$A:$A,$A107,Source_BS!C:C)</f>
        <v>62764.09</v>
      </c>
      <c r="D107" s="6">
        <f>SUMIF(Source_BS!$A:$A,$A107,Source_BS!D:D)</f>
        <v>60447.46</v>
      </c>
      <c r="E107" s="6">
        <f>SUMIF(Source_BS!$A:$A,$A107,Source_BS!E:E)</f>
        <v>59593.71</v>
      </c>
      <c r="F107" s="6">
        <f>SUMIF(Source_BS!$A:$A,$A107,Source_BS!F:F)</f>
        <v>58747.78</v>
      </c>
      <c r="G107" s="6">
        <f>SUMIF(Source_BS!$A:$A,$A107,Source_BS!G:G)</f>
        <v>57853.84</v>
      </c>
      <c r="H107" s="6">
        <f>SUMIF(Source_BS!$A:$A,$A107,Source_BS!H:H)</f>
        <v>56967.44</v>
      </c>
      <c r="I107" s="6">
        <f>SUMIF(Source_BS!$A:$A,$A107,Source_BS!I:I)</f>
        <v>56088.219999999987</v>
      </c>
      <c r="J107" s="6">
        <f>SUMIF(Source_BS!$A:$A,$A107,Source_BS!J:J)</f>
        <v>55202.55999999999</v>
      </c>
      <c r="K107" s="6">
        <f>SUMIF(Source_BS!$A:$A,$A107,Source_BS!K:K)</f>
        <v>54323.44999999999</v>
      </c>
      <c r="L107" s="6">
        <f>SUMIF(Source_BS!$A:$A,$A107,Source_BS!L:L)</f>
        <v>53399.219999999987</v>
      </c>
      <c r="M107" s="6">
        <f>SUMIF(Source_BS!$A:$A,$A107,Source_BS!M:M)</f>
        <v>52481.26999999999</v>
      </c>
    </row>
    <row r="108" spans="1:13" x14ac:dyDescent="0.25">
      <c r="A108" t="s">
        <v>276</v>
      </c>
      <c r="B108" s="6">
        <f>SUMIF(Source_BS!$A:$A,$A108,Source_BS!B:B)</f>
        <v>0</v>
      </c>
      <c r="C108" s="6">
        <f>SUMIF(Source_BS!$A:$A,$A108,Source_BS!C:C)</f>
        <v>0</v>
      </c>
      <c r="D108" s="6">
        <f>SUMIF(Source_BS!$A:$A,$A108,Source_BS!D:D)</f>
        <v>0</v>
      </c>
      <c r="E108" s="6">
        <f>SUMIF(Source_BS!$A:$A,$A108,Source_BS!E:E)</f>
        <v>0</v>
      </c>
      <c r="F108" s="6">
        <f>SUMIF(Source_BS!$A:$A,$A108,Source_BS!F:F)</f>
        <v>50385</v>
      </c>
      <c r="G108" s="6">
        <f>SUMIF(Source_BS!$A:$A,$A108,Source_BS!G:G)</f>
        <v>50385</v>
      </c>
      <c r="H108" s="6">
        <f>SUMIF(Source_BS!$A:$A,$A108,Source_BS!H:H)</f>
        <v>49036.29</v>
      </c>
      <c r="I108" s="6">
        <f>SUMIF(Source_BS!$A:$A,$A108,Source_BS!I:I)</f>
        <v>49036.29</v>
      </c>
      <c r="J108" s="6">
        <f>SUMIF(Source_BS!$A:$A,$A108,Source_BS!J:J)</f>
        <v>47557.48</v>
      </c>
      <c r="K108" s="6">
        <f>SUMIF(Source_BS!$A:$A,$A108,Source_BS!K:K)</f>
        <v>46836.11</v>
      </c>
      <c r="L108" s="6">
        <f>SUMIF(Source_BS!$A:$A,$A108,Source_BS!L:L)</f>
        <v>46315.25</v>
      </c>
      <c r="M108" s="6">
        <f>SUMIF(Source_BS!$A:$A,$A108,Source_BS!M:M)</f>
        <v>45593.88</v>
      </c>
    </row>
    <row r="109" spans="1:13" x14ac:dyDescent="0.25">
      <c r="A109" t="s">
        <v>277</v>
      </c>
      <c r="B109" s="6">
        <f>SUMIF(Source_BS!$A:$A,$A109,Source_BS!B:B)</f>
        <v>40359.18</v>
      </c>
      <c r="C109" s="6">
        <f>SUMIF(Source_BS!$A:$A,$A109,Source_BS!C:C)</f>
        <v>40359.18</v>
      </c>
      <c r="D109" s="6">
        <f>SUMIF(Source_BS!$A:$A,$A109,Source_BS!D:D)</f>
        <v>38962.120000000003</v>
      </c>
      <c r="E109" s="6">
        <f>SUMIF(Source_BS!$A:$A,$A109,Source_BS!E:E)</f>
        <v>38264.18</v>
      </c>
      <c r="F109" s="6">
        <f>SUMIF(Source_BS!$A:$A,$A109,Source_BS!F:F)</f>
        <v>37247.839999999997</v>
      </c>
      <c r="G109" s="6">
        <f>SUMIF(Source_BS!$A:$A,$A109,Source_BS!G:G)</f>
        <v>36534.100000000013</v>
      </c>
      <c r="H109" s="6">
        <f>SUMIF(Source_BS!$A:$A,$A109,Source_BS!H:H)</f>
        <v>36115.410000000003</v>
      </c>
      <c r="I109" s="6">
        <f>SUMIF(Source_BS!$A:$A,$A109,Source_BS!I:I)</f>
        <v>35099.070000000007</v>
      </c>
      <c r="J109" s="6">
        <f>SUMIF(Source_BS!$A:$A,$A109,Source_BS!J:J)</f>
        <v>34377.670000000013</v>
      </c>
      <c r="K109" s="6">
        <f>SUMIF(Source_BS!$A:$A,$A109,Source_BS!K:K)</f>
        <v>33650.570000000007</v>
      </c>
      <c r="L109" s="6">
        <f>SUMIF(Source_BS!$A:$A,$A109,Source_BS!L:L)</f>
        <v>33185.420000000013</v>
      </c>
      <c r="M109" s="6">
        <f>SUMIF(Source_BS!$A:$A,$A109,Source_BS!M:M)</f>
        <v>32431.52</v>
      </c>
    </row>
    <row r="110" spans="1:13" x14ac:dyDescent="0.25">
      <c r="A110" t="s">
        <v>278</v>
      </c>
      <c r="B110" s="6">
        <f>SUMIF(Source_BS!$A:$A,$A110,Source_BS!B:B)</f>
        <v>0</v>
      </c>
      <c r="C110" s="6">
        <f>SUMIF(Source_BS!$A:$A,$A110,Source_BS!C:C)</f>
        <v>0</v>
      </c>
      <c r="D110" s="6">
        <f>SUMIF(Source_BS!$A:$A,$A110,Source_BS!D:D)</f>
        <v>0</v>
      </c>
      <c r="E110" s="6">
        <f>SUMIF(Source_BS!$A:$A,$A110,Source_BS!E:E)</f>
        <v>0</v>
      </c>
      <c r="F110" s="6">
        <f>SUMIF(Source_BS!$A:$A,$A110,Source_BS!F:F)</f>
        <v>0</v>
      </c>
      <c r="G110" s="6">
        <f>SUMIF(Source_BS!$A:$A,$A110,Source_BS!G:G)</f>
        <v>120890</v>
      </c>
      <c r="H110" s="6">
        <f>SUMIF(Source_BS!$A:$A,$A110,Source_BS!H:H)</f>
        <v>120890</v>
      </c>
      <c r="I110" s="6">
        <f>SUMIF(Source_BS!$A:$A,$A110,Source_BS!I:I)</f>
        <v>119972.84</v>
      </c>
      <c r="J110" s="6">
        <f>SUMIF(Source_BS!$A:$A,$A110,Source_BS!J:J)</f>
        <v>118668.73</v>
      </c>
      <c r="K110" s="6">
        <f>SUMIF(Source_BS!$A:$A,$A110,Source_BS!K:K)</f>
        <v>117328.83</v>
      </c>
      <c r="L110" s="6">
        <f>SUMIF(Source_BS!$A:$A,$A110,Source_BS!L:L)</f>
        <v>116006.28</v>
      </c>
      <c r="M110" s="6">
        <f>SUMIF(Source_BS!$A:$A,$A110,Source_BS!M:M)</f>
        <v>114648.43</v>
      </c>
    </row>
    <row r="111" spans="1:13" x14ac:dyDescent="0.25">
      <c r="A111" t="s">
        <v>279</v>
      </c>
      <c r="B111" s="6">
        <f>SUMIF(Source_BS!$A:$A,$A111,Source_BS!B:B)</f>
        <v>0</v>
      </c>
      <c r="C111" s="6">
        <f>SUMIF(Source_BS!$A:$A,$A111,Source_BS!C:C)</f>
        <v>0</v>
      </c>
      <c r="D111" s="6">
        <f>SUMIF(Source_BS!$A:$A,$A111,Source_BS!D:D)</f>
        <v>0</v>
      </c>
      <c r="E111" s="6">
        <f>SUMIF(Source_BS!$A:$A,$A111,Source_BS!E:E)</f>
        <v>0</v>
      </c>
      <c r="F111" s="6">
        <f>SUMIF(Source_BS!$A:$A,$A111,Source_BS!F:F)</f>
        <v>0</v>
      </c>
      <c r="G111" s="6">
        <f>SUMIF(Source_BS!$A:$A,$A111,Source_BS!G:G)</f>
        <v>0</v>
      </c>
      <c r="H111" s="6">
        <f>SUMIF(Source_BS!$A:$A,$A111,Source_BS!H:H)</f>
        <v>0</v>
      </c>
      <c r="I111" s="6">
        <f>SUMIF(Source_BS!$A:$A,$A111,Source_BS!I:I)</f>
        <v>0</v>
      </c>
      <c r="J111" s="6">
        <f>SUMIF(Source_BS!$A:$A,$A111,Source_BS!J:J)</f>
        <v>82089.55</v>
      </c>
      <c r="K111" s="6">
        <f>SUMIF(Source_BS!$A:$A,$A111,Source_BS!K:K)</f>
        <v>80063.47</v>
      </c>
      <c r="L111" s="6">
        <f>SUMIF(Source_BS!$A:$A,$A111,Source_BS!L:L)</f>
        <v>78059.740000000005</v>
      </c>
      <c r="M111" s="6">
        <f>SUMIF(Source_BS!$A:$A,$A111,Source_BS!M:M)</f>
        <v>75988.89</v>
      </c>
    </row>
    <row r="112" spans="1:13" x14ac:dyDescent="0.25">
      <c r="A112" t="s">
        <v>280</v>
      </c>
      <c r="B112" s="6">
        <f>SUMIF(Source_BS!$A:$A,$A112,Source_BS!B:B)</f>
        <v>0</v>
      </c>
      <c r="C112" s="6">
        <f>SUMIF(Source_BS!$A:$A,$A112,Source_BS!C:C)</f>
        <v>0</v>
      </c>
      <c r="D112" s="6">
        <f>SUMIF(Source_BS!$A:$A,$A112,Source_BS!D:D)</f>
        <v>0</v>
      </c>
      <c r="E112" s="6">
        <f>SUMIF(Source_BS!$A:$A,$A112,Source_BS!E:E)</f>
        <v>0</v>
      </c>
      <c r="F112" s="6">
        <f>SUMIF(Source_BS!$A:$A,$A112,Source_BS!F:F)</f>
        <v>0</v>
      </c>
      <c r="G112" s="6">
        <f>SUMIF(Source_BS!$A:$A,$A112,Source_BS!G:G)</f>
        <v>0</v>
      </c>
      <c r="H112" s="6">
        <f>SUMIF(Source_BS!$A:$A,$A112,Source_BS!H:H)</f>
        <v>0</v>
      </c>
      <c r="I112" s="6">
        <f>SUMIF(Source_BS!$A:$A,$A112,Source_BS!I:I)</f>
        <v>0</v>
      </c>
      <c r="J112" s="6">
        <f>SUMIF(Source_BS!$A:$A,$A112,Source_BS!J:J)</f>
        <v>0</v>
      </c>
      <c r="K112" s="6">
        <f>SUMIF(Source_BS!$A:$A,$A112,Source_BS!K:K)</f>
        <v>0</v>
      </c>
      <c r="L112" s="6">
        <f>SUMIF(Source_BS!$A:$A,$A112,Source_BS!L:L)</f>
        <v>0</v>
      </c>
      <c r="M112" s="6">
        <f>SUMIF(Source_BS!$A:$A,$A112,Source_BS!M:M)</f>
        <v>106800.81</v>
      </c>
    </row>
    <row r="113" spans="1:13" x14ac:dyDescent="0.25">
      <c r="A113" t="s">
        <v>281</v>
      </c>
      <c r="B113" s="6">
        <f>SUMIF(Source_BS!$A:$A,$A113,Source_BS!B:B)</f>
        <v>500000</v>
      </c>
      <c r="C113" s="6">
        <f>SUMIF(Source_BS!$A:$A,$A113,Source_BS!C:C)</f>
        <v>500000</v>
      </c>
      <c r="D113" s="6">
        <f>SUMIF(Source_BS!$A:$A,$A113,Source_BS!D:D)</f>
        <v>500000</v>
      </c>
      <c r="E113" s="6">
        <f>SUMIF(Source_BS!$A:$A,$A113,Source_BS!E:E)</f>
        <v>500000</v>
      </c>
      <c r="F113" s="6">
        <f>SUMIF(Source_BS!$A:$A,$A113,Source_BS!F:F)</f>
        <v>500000</v>
      </c>
      <c r="G113" s="6">
        <f>SUMIF(Source_BS!$A:$A,$A113,Source_BS!G:G)</f>
        <v>500000</v>
      </c>
      <c r="H113" s="6">
        <f>SUMIF(Source_BS!$A:$A,$A113,Source_BS!H:H)</f>
        <v>500000</v>
      </c>
      <c r="I113" s="6">
        <f>SUMIF(Source_BS!$A:$A,$A113,Source_BS!I:I)</f>
        <v>500000</v>
      </c>
      <c r="J113" s="6">
        <f>SUMIF(Source_BS!$A:$A,$A113,Source_BS!J:J)</f>
        <v>500000</v>
      </c>
      <c r="K113" s="6">
        <f>SUMIF(Source_BS!$A:$A,$A113,Source_BS!K:K)</f>
        <v>500000</v>
      </c>
      <c r="L113" s="6">
        <f>SUMIF(Source_BS!$A:$A,$A113,Source_BS!L:L)</f>
        <v>500000</v>
      </c>
      <c r="M113" s="6">
        <f>SUMIF(Source_BS!$A:$A,$A113,Source_BS!M:M)</f>
        <v>500000</v>
      </c>
    </row>
    <row r="114" spans="1:13" x14ac:dyDescent="0.25">
      <c r="A114" s="7" t="s">
        <v>282</v>
      </c>
      <c r="B114" s="9">
        <f>SUMIF(Source_BS!$A:$A,$A114,Source_BS!B:B)</f>
        <v>960619.33000000007</v>
      </c>
      <c r="C114" s="9">
        <f>SUMIF(Source_BS!$A:$A,$A114,Source_BS!C:C)</f>
        <v>952774.28</v>
      </c>
      <c r="D114" s="9">
        <f>SUMIF(Source_BS!$A:$A,$A114,Source_BS!D:D)</f>
        <v>941351.08000000007</v>
      </c>
      <c r="E114" s="9">
        <f>SUMIF(Source_BS!$A:$A,$A114,Source_BS!E:E)</f>
        <v>932122.47000000009</v>
      </c>
      <c r="F114" s="9">
        <f>SUMIF(Source_BS!$A:$A,$A114,Source_BS!F:F)</f>
        <v>972903.95</v>
      </c>
      <c r="G114" s="9">
        <f>SUMIF(Source_BS!$A:$A,$A114,Source_BS!G:G)</f>
        <v>1085480.1000000001</v>
      </c>
      <c r="H114" s="9">
        <f>SUMIF(Source_BS!$A:$A,$A114,Source_BS!H:H)</f>
        <v>1073988.5</v>
      </c>
      <c r="I114" s="9">
        <f>SUMIF(Source_BS!$A:$A,$A114,Source_BS!I:I)</f>
        <v>1063372.03</v>
      </c>
      <c r="J114" s="9">
        <f>SUMIF(Source_BS!$A:$A,$A114,Source_BS!J:J)</f>
        <v>1133235.3600000001</v>
      </c>
      <c r="K114" s="9">
        <f>SUMIF(Source_BS!$A:$A,$A114,Source_BS!K:K)</f>
        <v>1119645.1200000001</v>
      </c>
      <c r="L114" s="9">
        <f>SUMIF(Source_BS!$A:$A,$A114,Source_BS!L:L)</f>
        <v>1107561.3700000001</v>
      </c>
      <c r="M114" s="9">
        <f>SUMIF(Source_BS!$A:$A,$A114,Source_BS!M:M)</f>
        <v>1110027.3899999999</v>
      </c>
    </row>
    <row r="115" spans="1:13" x14ac:dyDescent="0.25">
      <c r="A115" s="7" t="s">
        <v>283</v>
      </c>
      <c r="B115" s="9">
        <f>SUMIF(Source_BS!$A:$A,$A115,Source_BS!B:B)</f>
        <v>1335336.95</v>
      </c>
      <c r="C115" s="9">
        <f>SUMIF(Source_BS!$A:$A,$A115,Source_BS!C:C)</f>
        <v>1461031.53</v>
      </c>
      <c r="D115" s="9">
        <f>SUMIF(Source_BS!$A:$A,$A115,Source_BS!D:D)</f>
        <v>1435797.02</v>
      </c>
      <c r="E115" s="9">
        <f>SUMIF(Source_BS!$A:$A,$A115,Source_BS!E:E)</f>
        <v>1390645.62</v>
      </c>
      <c r="F115" s="9">
        <f>SUMIF(Source_BS!$A:$A,$A115,Source_BS!F:F)</f>
        <v>1405617.33</v>
      </c>
      <c r="G115" s="9">
        <f>SUMIF(Source_BS!$A:$A,$A115,Source_BS!G:G)</f>
        <v>1379789.22</v>
      </c>
      <c r="H115" s="9">
        <f>SUMIF(Source_BS!$A:$A,$A115,Source_BS!H:H)</f>
        <v>1433581.76</v>
      </c>
      <c r="I115" s="9">
        <f>SUMIF(Source_BS!$A:$A,$A115,Source_BS!I:I)</f>
        <v>1482866.38</v>
      </c>
      <c r="J115" s="9">
        <f>SUMIF(Source_BS!$A:$A,$A115,Source_BS!J:J)</f>
        <v>1607070.37</v>
      </c>
      <c r="K115" s="9">
        <f>SUMIF(Source_BS!$A:$A,$A115,Source_BS!K:K)</f>
        <v>1601709.82</v>
      </c>
      <c r="L115" s="9">
        <f>SUMIF(Source_BS!$A:$A,$A115,Source_BS!L:L)</f>
        <v>1597261.32</v>
      </c>
      <c r="M115" s="9">
        <f>SUMIF(Source_BS!$A:$A,$A115,Source_BS!M:M)</f>
        <v>1638594.43</v>
      </c>
    </row>
    <row r="116" spans="1:13" x14ac:dyDescent="0.25">
      <c r="A116" t="s">
        <v>284</v>
      </c>
      <c r="B116" s="6">
        <f>SUMIF(Source_BS!$A:$A,$A116,Source_BS!B:B)</f>
        <v>0</v>
      </c>
      <c r="C116" s="6">
        <f>SUMIF(Source_BS!$A:$A,$A116,Source_BS!C:C)</f>
        <v>0</v>
      </c>
      <c r="D116" s="6">
        <f>SUMIF(Source_BS!$A:$A,$A116,Source_BS!D:D)</f>
        <v>0</v>
      </c>
      <c r="E116" s="6">
        <f>SUMIF(Source_BS!$A:$A,$A116,Source_BS!E:E)</f>
        <v>0</v>
      </c>
      <c r="F116" s="6">
        <f>SUMIF(Source_BS!$A:$A,$A116,Source_BS!F:F)</f>
        <v>0</v>
      </c>
      <c r="G116" s="6">
        <f>SUMIF(Source_BS!$A:$A,$A116,Source_BS!G:G)</f>
        <v>0</v>
      </c>
      <c r="H116" s="6">
        <f>SUMIF(Source_BS!$A:$A,$A116,Source_BS!H:H)</f>
        <v>0</v>
      </c>
      <c r="I116" s="6">
        <f>SUMIF(Source_BS!$A:$A,$A116,Source_BS!I:I)</f>
        <v>0</v>
      </c>
      <c r="J116" s="6">
        <f>SUMIF(Source_BS!$A:$A,$A116,Source_BS!J:J)</f>
        <v>0</v>
      </c>
      <c r="K116" s="6">
        <f>SUMIF(Source_BS!$A:$A,$A116,Source_BS!K:K)</f>
        <v>0</v>
      </c>
      <c r="L116" s="6">
        <f>SUMIF(Source_BS!$A:$A,$A116,Source_BS!L:L)</f>
        <v>0</v>
      </c>
      <c r="M116" s="6">
        <f>SUMIF(Source_BS!$A:$A,$A116,Source_BS!M:M)</f>
        <v>0</v>
      </c>
    </row>
    <row r="117" spans="1:13" x14ac:dyDescent="0.25">
      <c r="A117" t="s">
        <v>285</v>
      </c>
      <c r="B117" s="6">
        <f>SUMIF(Source_BS!$A:$A,$A117,Source_BS!B:B)</f>
        <v>0</v>
      </c>
      <c r="C117" s="6">
        <f>SUMIF(Source_BS!$A:$A,$A117,Source_BS!C:C)</f>
        <v>0</v>
      </c>
      <c r="D117" s="6">
        <f>SUMIF(Source_BS!$A:$A,$A117,Source_BS!D:D)</f>
        <v>0</v>
      </c>
      <c r="E117" s="6">
        <f>SUMIF(Source_BS!$A:$A,$A117,Source_BS!E:E)</f>
        <v>0</v>
      </c>
      <c r="F117" s="6">
        <f>SUMIF(Source_BS!$A:$A,$A117,Source_BS!F:F)</f>
        <v>0</v>
      </c>
      <c r="G117" s="6">
        <f>SUMIF(Source_BS!$A:$A,$A117,Source_BS!G:G)</f>
        <v>5000</v>
      </c>
      <c r="H117" s="6">
        <f>SUMIF(Source_BS!$A:$A,$A117,Source_BS!H:H)</f>
        <v>5000</v>
      </c>
      <c r="I117" s="6">
        <f>SUMIF(Source_BS!$A:$A,$A117,Source_BS!I:I)</f>
        <v>5000</v>
      </c>
      <c r="J117" s="6">
        <f>SUMIF(Source_BS!$A:$A,$A117,Source_BS!J:J)</f>
        <v>5000</v>
      </c>
      <c r="K117" s="6">
        <f>SUMIF(Source_BS!$A:$A,$A117,Source_BS!K:K)</f>
        <v>5000</v>
      </c>
      <c r="L117" s="6">
        <f>SUMIF(Source_BS!$A:$A,$A117,Source_BS!L:L)</f>
        <v>5000</v>
      </c>
      <c r="M117" s="6">
        <f>SUMIF(Source_BS!$A:$A,$A117,Source_BS!M:M)</f>
        <v>5000</v>
      </c>
    </row>
    <row r="118" spans="1:13" x14ac:dyDescent="0.25">
      <c r="A118" t="s">
        <v>286</v>
      </c>
      <c r="B118" s="6">
        <f>SUMIF(Source_BS!$A:$A,$A118,Source_BS!B:B)</f>
        <v>-280814.03999999998</v>
      </c>
      <c r="C118" s="6">
        <f>SUMIF(Source_BS!$A:$A,$A118,Source_BS!C:C)</f>
        <v>-280814.03999999998</v>
      </c>
      <c r="D118" s="6">
        <f>SUMIF(Source_BS!$A:$A,$A118,Source_BS!D:D)</f>
        <v>-280770.12</v>
      </c>
      <c r="E118" s="6">
        <f>SUMIF(Source_BS!$A:$A,$A118,Source_BS!E:E)</f>
        <v>-280770.12</v>
      </c>
      <c r="F118" s="6">
        <f>SUMIF(Source_BS!$A:$A,$A118,Source_BS!F:F)</f>
        <v>-281770.12</v>
      </c>
      <c r="G118" s="6">
        <f>SUMIF(Source_BS!$A:$A,$A118,Source_BS!G:G)</f>
        <v>-273675.69</v>
      </c>
      <c r="H118" s="6">
        <f>SUMIF(Source_BS!$A:$A,$A118,Source_BS!H:H)</f>
        <v>-259675.69</v>
      </c>
      <c r="I118" s="6">
        <f>SUMIF(Source_BS!$A:$A,$A118,Source_BS!I:I)</f>
        <v>-259675.69</v>
      </c>
      <c r="J118" s="6">
        <f>SUMIF(Source_BS!$A:$A,$A118,Source_BS!J:J)</f>
        <v>-259675.69</v>
      </c>
      <c r="K118" s="6">
        <f>SUMIF(Source_BS!$A:$A,$A118,Source_BS!K:K)</f>
        <v>-259675.69</v>
      </c>
      <c r="L118" s="6">
        <f>SUMIF(Source_BS!$A:$A,$A118,Source_BS!L:L)</f>
        <v>-259675.69</v>
      </c>
      <c r="M118" s="6">
        <f>SUMIF(Source_BS!$A:$A,$A118,Source_BS!M:M)</f>
        <v>-228343.02</v>
      </c>
    </row>
    <row r="119" spans="1:13" x14ac:dyDescent="0.25">
      <c r="A119" t="s">
        <v>287</v>
      </c>
      <c r="B119" s="6">
        <f>SUMIF(Source_BS!$A:$A,$A119,Source_BS!B:B)</f>
        <v>755350.49</v>
      </c>
      <c r="C119" s="6">
        <f>SUMIF(Source_BS!$A:$A,$A119,Source_BS!C:C)</f>
        <v>755350.49</v>
      </c>
      <c r="D119" s="6">
        <f>SUMIF(Source_BS!$A:$A,$A119,Source_BS!D:D)</f>
        <v>755350.49</v>
      </c>
      <c r="E119" s="6">
        <f>SUMIF(Source_BS!$A:$A,$A119,Source_BS!E:E)</f>
        <v>755350.49</v>
      </c>
      <c r="F119" s="6">
        <f>SUMIF(Source_BS!$A:$A,$A119,Source_BS!F:F)</f>
        <v>755350.49</v>
      </c>
      <c r="G119" s="6">
        <f>SUMIF(Source_BS!$A:$A,$A119,Source_BS!G:G)</f>
        <v>755350.49</v>
      </c>
      <c r="H119" s="6">
        <f>SUMIF(Source_BS!$A:$A,$A119,Source_BS!H:H)</f>
        <v>755350.49</v>
      </c>
      <c r="I119" s="6">
        <f>SUMIF(Source_BS!$A:$A,$A119,Source_BS!I:I)</f>
        <v>755350.49</v>
      </c>
      <c r="J119" s="6">
        <f>SUMIF(Source_BS!$A:$A,$A119,Source_BS!J:J)</f>
        <v>755350.49</v>
      </c>
      <c r="K119" s="6">
        <f>SUMIF(Source_BS!$A:$A,$A119,Source_BS!K:K)</f>
        <v>755350.49</v>
      </c>
      <c r="L119" s="6">
        <f>SUMIF(Source_BS!$A:$A,$A119,Source_BS!L:L)</f>
        <v>755350.49</v>
      </c>
      <c r="M119" s="6">
        <f>SUMIF(Source_BS!$A:$A,$A119,Source_BS!M:M)</f>
        <v>755350.49</v>
      </c>
    </row>
    <row r="120" spans="1:13" x14ac:dyDescent="0.25">
      <c r="A120" s="7" t="s">
        <v>5</v>
      </c>
      <c r="B120" s="9">
        <f>SUMIF(Source_BS!$A:$A,$A120,Source_BS!B:B)</f>
        <v>-540469.18000000005</v>
      </c>
      <c r="C120" s="9">
        <f>SUMIF(Source_BS!$A:$A,$A120,Source_BS!C:C)</f>
        <v>-714187.62000000011</v>
      </c>
      <c r="D120" s="9">
        <f>SUMIF(Source_BS!$A:$A,$A120,Source_BS!D:D)</f>
        <v>-474424.37</v>
      </c>
      <c r="E120" s="9">
        <f>SUMIF(Source_BS!$A:$A,$A120,Source_BS!E:E)</f>
        <v>-518185.62</v>
      </c>
      <c r="F120" s="9">
        <f>SUMIF(Source_BS!$A:$A,$A120,Source_BS!F:F)</f>
        <v>-443669.89</v>
      </c>
      <c r="G120" s="9">
        <f>SUMIF(Source_BS!$A:$A,$A120,Source_BS!G:G)</f>
        <v>-430183.3</v>
      </c>
      <c r="H120" s="9">
        <f>SUMIF(Source_BS!$A:$A,$A120,Source_BS!H:H)</f>
        <v>-434905.2</v>
      </c>
      <c r="I120" s="9">
        <f>SUMIF(Source_BS!$A:$A,$A120,Source_BS!I:I)</f>
        <v>-517527.4800000001</v>
      </c>
      <c r="J120" s="9">
        <f>SUMIF(Source_BS!$A:$A,$A120,Source_BS!J:J)</f>
        <v>-461917.6100000001</v>
      </c>
      <c r="K120" s="9">
        <f>SUMIF(Source_BS!$A:$A,$A120,Source_BS!K:K)</f>
        <v>-521313.14000000007</v>
      </c>
      <c r="L120" s="9">
        <f>SUMIF(Source_BS!$A:$A,$A120,Source_BS!L:L)</f>
        <v>-434447.85000000033</v>
      </c>
      <c r="M120" s="9">
        <f>SUMIF(Source_BS!$A:$A,$A120,Source_BS!M:M)</f>
        <v>-624629.74000000046</v>
      </c>
    </row>
    <row r="121" spans="1:13" x14ac:dyDescent="0.25">
      <c r="A121" s="7" t="s">
        <v>288</v>
      </c>
      <c r="B121" s="9">
        <f>SUMIF(Source_BS!$A:$A,$A121,Source_BS!B:B)</f>
        <v>-65932.73000000004</v>
      </c>
      <c r="C121" s="9">
        <f>SUMIF(Source_BS!$A:$A,$A121,Source_BS!C:C)</f>
        <v>-239651.1700000001</v>
      </c>
      <c r="D121" s="9">
        <f>SUMIF(Source_BS!$A:$A,$A121,Source_BS!D:D)</f>
        <v>156</v>
      </c>
      <c r="E121" s="9">
        <f>SUMIF(Source_BS!$A:$A,$A121,Source_BS!E:E)</f>
        <v>-43605.25</v>
      </c>
      <c r="F121" s="9">
        <f>SUMIF(Source_BS!$A:$A,$A121,Source_BS!F:F)</f>
        <v>29910.479999999981</v>
      </c>
      <c r="G121" s="9">
        <f>SUMIF(Source_BS!$A:$A,$A121,Source_BS!G:G)</f>
        <v>56491.499999999942</v>
      </c>
      <c r="H121" s="9">
        <f>SUMIF(Source_BS!$A:$A,$A121,Source_BS!H:H)</f>
        <v>65769.600000000035</v>
      </c>
      <c r="I121" s="9">
        <f>SUMIF(Source_BS!$A:$A,$A121,Source_BS!I:I)</f>
        <v>-16852.680000000109</v>
      </c>
      <c r="J121" s="9">
        <f>SUMIF(Source_BS!$A:$A,$A121,Source_BS!J:J)</f>
        <v>38757.189999999893</v>
      </c>
      <c r="K121" s="9">
        <f>SUMIF(Source_BS!$A:$A,$A121,Source_BS!K:K)</f>
        <v>-20638.340000000138</v>
      </c>
      <c r="L121" s="9">
        <f>SUMIF(Source_BS!$A:$A,$A121,Source_BS!L:L)</f>
        <v>66226.949999999721</v>
      </c>
      <c r="M121" s="9">
        <f>SUMIF(Source_BS!$A:$A,$A121,Source_BS!M:M)</f>
        <v>-92622.270000000484</v>
      </c>
    </row>
    <row r="122" spans="1:13" x14ac:dyDescent="0.25">
      <c r="A122" s="7" t="s">
        <v>289</v>
      </c>
      <c r="B122" s="9">
        <f>SUMIF(Source_BS!$A:$A,$A122,Source_BS!B:B)</f>
        <v>1269404.22</v>
      </c>
      <c r="C122" s="9">
        <f>SUMIF(Source_BS!$A:$A,$A122,Source_BS!C:C)</f>
        <v>1221380.3600000001</v>
      </c>
      <c r="D122" s="9">
        <f>SUMIF(Source_BS!$A:$A,$A122,Source_BS!D:D)</f>
        <v>1435953.02</v>
      </c>
      <c r="E122" s="9">
        <f>SUMIF(Source_BS!$A:$A,$A122,Source_BS!E:E)</f>
        <v>1347040.37</v>
      </c>
      <c r="F122" s="9">
        <f>SUMIF(Source_BS!$A:$A,$A122,Source_BS!F:F)</f>
        <v>1435527.81</v>
      </c>
      <c r="G122" s="9">
        <f>SUMIF(Source_BS!$A:$A,$A122,Source_BS!G:G)</f>
        <v>1436280.72</v>
      </c>
      <c r="H122" s="9">
        <f>SUMIF(Source_BS!$A:$A,$A122,Source_BS!H:H)</f>
        <v>1499351.36</v>
      </c>
      <c r="I122" s="9">
        <f>SUMIF(Source_BS!$A:$A,$A122,Source_BS!I:I)</f>
        <v>1466013.7</v>
      </c>
      <c r="J122" s="9">
        <f>SUMIF(Source_BS!$A:$A,$A122,Source_BS!J:J)</f>
        <v>1645827.56</v>
      </c>
      <c r="K122" s="9">
        <f>SUMIF(Source_BS!$A:$A,$A122,Source_BS!K:K)</f>
        <v>1581071.48</v>
      </c>
      <c r="L122" s="9">
        <f>SUMIF(Source_BS!$A:$A,$A122,Source_BS!L:L)</f>
        <v>1663488.27</v>
      </c>
      <c r="M122" s="9">
        <f>SUMIF(Source_BS!$A:$A,$A122,Source_BS!M:M)</f>
        <v>1545972.159999999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O24"/>
  <sheetViews>
    <sheetView workbookViewId="0"/>
  </sheetViews>
  <sheetFormatPr defaultRowHeight="15" x14ac:dyDescent="0.25"/>
  <cols>
    <col min="1" max="1" width="33.42578125" bestFit="1" customWidth="1"/>
    <col min="2" max="3" width="8.28515625" bestFit="1" customWidth="1"/>
    <col min="4" max="4" width="7.5703125" bestFit="1" customWidth="1"/>
    <col min="5" max="6" width="7.28515625" bestFit="1" customWidth="1"/>
    <col min="7" max="7" width="6.7109375" bestFit="1" customWidth="1"/>
    <col min="8" max="8" width="6.28515625" bestFit="1" customWidth="1"/>
    <col min="9" max="9" width="7.28515625" bestFit="1" customWidth="1"/>
    <col min="10" max="10" width="7.140625" bestFit="1" customWidth="1"/>
    <col min="11" max="12" width="7.28515625" bestFit="1" customWidth="1"/>
    <col min="13" max="13" width="8.28515625" bestFit="1" customWidth="1"/>
    <col min="15" max="15" width="8.28515625" bestFit="1" customWidth="1"/>
  </cols>
  <sheetData>
    <row r="1" spans="1:15" ht="18.75" customHeight="1" x14ac:dyDescent="0.3">
      <c r="A1" s="3" t="s">
        <v>0</v>
      </c>
    </row>
    <row r="2" spans="1:15" x14ac:dyDescent="0.25">
      <c r="A2" s="4" t="s">
        <v>292</v>
      </c>
    </row>
    <row r="4" spans="1:15" x14ac:dyDescent="0.25">
      <c r="A4" s="4" t="s">
        <v>293</v>
      </c>
      <c r="B4" s="5">
        <v>45292</v>
      </c>
      <c r="C4" s="5">
        <v>45323</v>
      </c>
      <c r="D4" s="5">
        <v>45352</v>
      </c>
      <c r="E4" s="5">
        <v>45383</v>
      </c>
      <c r="F4" s="5">
        <v>45413</v>
      </c>
      <c r="G4" s="5">
        <v>45444</v>
      </c>
      <c r="H4" s="5">
        <v>45474</v>
      </c>
      <c r="I4" s="5">
        <v>45505</v>
      </c>
      <c r="J4" s="5">
        <v>45536</v>
      </c>
      <c r="K4" s="5">
        <v>45566</v>
      </c>
      <c r="L4" s="5">
        <v>45597</v>
      </c>
      <c r="M4" s="5">
        <v>45627</v>
      </c>
      <c r="O4" t="s">
        <v>19</v>
      </c>
    </row>
    <row r="5" spans="1:15" x14ac:dyDescent="0.25">
      <c r="A5" s="4" t="s">
        <v>294</v>
      </c>
    </row>
    <row r="6" spans="1:15" x14ac:dyDescent="0.25">
      <c r="A6" t="s">
        <v>5</v>
      </c>
      <c r="B6" s="6">
        <f>SUMIF(Source_PL!$A:$A,"Net Income",Source_PL!B:B)</f>
        <v>-540469.17999999993</v>
      </c>
      <c r="C6" s="6">
        <f>SUMIF(Source_PL!$A:$A,"Net Income",Source_PL!C:C)</f>
        <v>-173718.43999999989</v>
      </c>
      <c r="D6" s="6">
        <f>SUMIF(Source_PL!$A:$A,"Net Income",Source_PL!D:D)</f>
        <v>239763.25000000009</v>
      </c>
      <c r="E6" s="6">
        <f>SUMIF(Source_PL!$A:$A,"Net Income",Source_PL!E:E)</f>
        <v>-43761.250000000087</v>
      </c>
      <c r="F6" s="6">
        <f>SUMIF(Source_PL!$A:$A,"Net Income",Source_PL!F:F)</f>
        <v>74515.73000000004</v>
      </c>
      <c r="G6" s="6">
        <f>SUMIF(Source_PL!$A:$A,"Net Income",Source_PL!G:G)</f>
        <v>13486.59000000008</v>
      </c>
      <c r="H6" s="6">
        <f>SUMIF(Source_PL!$A:$A,"Net Income",Source_PL!H:H)</f>
        <v>-4721.8999999999069</v>
      </c>
      <c r="I6" s="6">
        <f>SUMIF(Source_PL!$A:$A,"Net Income",Source_PL!I:I)</f>
        <v>-82622.280000000144</v>
      </c>
      <c r="J6" s="6">
        <f>SUMIF(Source_PL!$A:$A,"Net Income",Source_PL!J:J)</f>
        <v>55609.870000000054</v>
      </c>
      <c r="K6" s="6">
        <f>SUMIF(Source_PL!$A:$A,"Net Income",Source_PL!K:K)</f>
        <v>-59395.530000000028</v>
      </c>
      <c r="L6" s="6">
        <f>SUMIF(Source_PL!$A:$A,"Net Income",Source_PL!L:L)</f>
        <v>86865.290000000037</v>
      </c>
      <c r="M6" s="6">
        <f>SUMIF(Source_PL!$A:$A,"Net Income",Source_PL!M:M)</f>
        <v>-190181.89000000019</v>
      </c>
      <c r="O6" s="6">
        <f>SUM(B6:M6)</f>
        <v>-624629.74</v>
      </c>
    </row>
    <row r="7" spans="1:15" x14ac:dyDescent="0.25">
      <c r="A7" t="s">
        <v>295</v>
      </c>
      <c r="B7" s="6">
        <v>0</v>
      </c>
      <c r="C7" s="6">
        <v>0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O7" s="6">
        <f>SUM(B7:M7)</f>
        <v>0</v>
      </c>
    </row>
    <row r="8" spans="1:15" x14ac:dyDescent="0.25">
      <c r="A8" s="4" t="s">
        <v>296</v>
      </c>
    </row>
    <row r="9" spans="1:15" x14ac:dyDescent="0.25">
      <c r="A9" t="s">
        <v>297</v>
      </c>
      <c r="B9" s="6">
        <v>0</v>
      </c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O9" s="6">
        <f>SUM(B9:M9)</f>
        <v>0</v>
      </c>
    </row>
    <row r="10" spans="1:15" x14ac:dyDescent="0.25">
      <c r="A10" t="s">
        <v>298</v>
      </c>
      <c r="B10" s="6">
        <v>0</v>
      </c>
      <c r="C10" s="6">
        <v>0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O10" s="6">
        <f>SUM(B10:M10)</f>
        <v>0</v>
      </c>
    </row>
    <row r="11" spans="1:15" x14ac:dyDescent="0.25">
      <c r="A11" s="7" t="s">
        <v>299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8"/>
      <c r="O11" s="9">
        <f>SUM(B11:M11)</f>
        <v>0</v>
      </c>
    </row>
    <row r="13" spans="1:15" x14ac:dyDescent="0.25">
      <c r="A13" s="4" t="s">
        <v>300</v>
      </c>
    </row>
    <row r="14" spans="1:15" x14ac:dyDescent="0.25">
      <c r="A14" t="s">
        <v>301</v>
      </c>
      <c r="B14" s="6">
        <v>0</v>
      </c>
      <c r="C14" s="6">
        <v>0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O14" s="6">
        <f>SUM(B14:M14)</f>
        <v>0</v>
      </c>
    </row>
    <row r="15" spans="1:15" x14ac:dyDescent="0.25">
      <c r="A15" s="7" t="s">
        <v>302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8"/>
      <c r="O15" s="9">
        <f>SUM(B15:M15)</f>
        <v>0</v>
      </c>
    </row>
    <row r="17" spans="1:15" x14ac:dyDescent="0.25">
      <c r="A17" s="4" t="s">
        <v>303</v>
      </c>
    </row>
    <row r="18" spans="1:15" x14ac:dyDescent="0.25">
      <c r="A18" t="s">
        <v>304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O18" s="6">
        <f>SUM(B18:M18)</f>
        <v>0</v>
      </c>
    </row>
    <row r="19" spans="1:15" x14ac:dyDescent="0.25">
      <c r="A19" t="s">
        <v>305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O19" s="6">
        <f>SUM(B19:M19)</f>
        <v>0</v>
      </c>
    </row>
    <row r="20" spans="1:15" x14ac:dyDescent="0.25">
      <c r="A20" s="7" t="s">
        <v>306</v>
      </c>
      <c r="B20" s="9">
        <v>0</v>
      </c>
      <c r="C20" s="9">
        <v>0</v>
      </c>
      <c r="D20" s="9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>
        <v>0</v>
      </c>
      <c r="N20" s="8"/>
      <c r="O20" s="9">
        <f>SUM(B20:M20)</f>
        <v>0</v>
      </c>
    </row>
    <row r="22" spans="1:15" x14ac:dyDescent="0.25">
      <c r="A22" s="7" t="s">
        <v>307</v>
      </c>
      <c r="B22" s="9">
        <v>0</v>
      </c>
      <c r="C22" s="9">
        <v>0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>
        <v>0</v>
      </c>
      <c r="N22" s="8"/>
      <c r="O22" s="9">
        <f>SUM(B22:M22)</f>
        <v>0</v>
      </c>
    </row>
    <row r="23" spans="1:15" x14ac:dyDescent="0.25">
      <c r="A23" t="s">
        <v>308</v>
      </c>
      <c r="B23" s="6">
        <v>0</v>
      </c>
      <c r="C23" s="6">
        <v>0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O23" s="6">
        <f>SUM(B23:M23)</f>
        <v>0</v>
      </c>
    </row>
    <row r="24" spans="1:15" x14ac:dyDescent="0.25">
      <c r="A24" s="7" t="s">
        <v>309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8"/>
      <c r="O24" s="9">
        <f>SUM(B24:M24)</f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3498DB"/>
    <pageSetUpPr fitToPage="1"/>
  </sheetPr>
  <dimension ref="B2:I43"/>
  <sheetViews>
    <sheetView showGridLines="0" workbookViewId="0"/>
  </sheetViews>
  <sheetFormatPr defaultRowHeight="15" x14ac:dyDescent="0.25"/>
  <cols>
    <col min="1" max="1" width="3" customWidth="1"/>
    <col min="2" max="2" width="14" customWidth="1"/>
    <col min="3" max="3" width="22" customWidth="1"/>
    <col min="4" max="4" width="45" customWidth="1"/>
    <col min="5" max="5" width="14" customWidth="1"/>
    <col min="6" max="8" width="10" customWidth="1"/>
    <col min="9" max="9" width="16" customWidth="1"/>
  </cols>
  <sheetData>
    <row r="2" spans="2:9" ht="31.5" x14ac:dyDescent="0.5">
      <c r="B2" s="78" t="s">
        <v>310</v>
      </c>
      <c r="C2" s="69"/>
      <c r="D2" s="69"/>
      <c r="E2" s="69"/>
      <c r="F2" s="69"/>
    </row>
    <row r="3" spans="2:9" x14ac:dyDescent="0.25">
      <c r="B3" s="79" t="s">
        <v>311</v>
      </c>
      <c r="C3" s="69"/>
      <c r="D3" s="69"/>
      <c r="E3" s="69"/>
      <c r="F3" s="69"/>
    </row>
    <row r="5" spans="2:9" ht="18.75" x14ac:dyDescent="0.3">
      <c r="B5" s="12" t="s">
        <v>312</v>
      </c>
      <c r="C5" s="13"/>
      <c r="D5" s="13"/>
      <c r="E5" s="13"/>
      <c r="F5" s="13"/>
    </row>
    <row r="7" spans="2:9" x14ac:dyDescent="0.25">
      <c r="B7" s="50" t="s">
        <v>313</v>
      </c>
    </row>
    <row r="8" spans="2:9" x14ac:dyDescent="0.25">
      <c r="B8" s="50" t="s">
        <v>314</v>
      </c>
    </row>
    <row r="9" spans="2:9" x14ac:dyDescent="0.25">
      <c r="B9" s="50" t="s">
        <v>315</v>
      </c>
    </row>
    <row r="10" spans="2:9" x14ac:dyDescent="0.25">
      <c r="B10" s="50" t="s">
        <v>316</v>
      </c>
    </row>
    <row r="11" spans="2:9" x14ac:dyDescent="0.25">
      <c r="B11" s="50" t="s">
        <v>317</v>
      </c>
    </row>
    <row r="14" spans="2:9" ht="18.75" x14ac:dyDescent="0.3">
      <c r="B14" s="12" t="s">
        <v>318</v>
      </c>
      <c r="C14" s="13"/>
      <c r="D14" s="13"/>
      <c r="E14" s="13"/>
      <c r="F14" s="13"/>
      <c r="G14" s="13"/>
      <c r="H14" s="13"/>
    </row>
    <row r="16" spans="2:9" x14ac:dyDescent="0.25">
      <c r="B16" s="14" t="s">
        <v>319</v>
      </c>
      <c r="C16" s="14" t="s">
        <v>320</v>
      </c>
      <c r="D16" s="14" t="s">
        <v>293</v>
      </c>
      <c r="E16" s="14" t="s">
        <v>17</v>
      </c>
      <c r="F16" s="14" t="s">
        <v>321</v>
      </c>
      <c r="G16" s="14" t="s">
        <v>322</v>
      </c>
      <c r="H16" s="14" t="s">
        <v>323</v>
      </c>
      <c r="I16" s="14" t="s">
        <v>324</v>
      </c>
    </row>
    <row r="17" spans="2:9" ht="18.75" x14ac:dyDescent="0.25">
      <c r="B17" s="52" t="s">
        <v>325</v>
      </c>
      <c r="C17" s="53" t="s">
        <v>4</v>
      </c>
      <c r="D17" s="54" t="s">
        <v>326</v>
      </c>
      <c r="E17" s="55">
        <v>0</v>
      </c>
      <c r="F17" s="56">
        <v>0.8</v>
      </c>
      <c r="G17" s="56">
        <v>0.6</v>
      </c>
      <c r="H17" s="57" t="s">
        <v>327</v>
      </c>
      <c r="I17" s="58">
        <f>Dashboard!E3</f>
        <v>0</v>
      </c>
    </row>
    <row r="18" spans="2:9" ht="18.75" x14ac:dyDescent="0.25">
      <c r="B18" s="59" t="s">
        <v>325</v>
      </c>
      <c r="C18" s="60" t="s">
        <v>25</v>
      </c>
      <c r="D18" s="61" t="s">
        <v>328</v>
      </c>
      <c r="E18" s="55">
        <v>0</v>
      </c>
      <c r="F18" s="56">
        <v>0.8</v>
      </c>
      <c r="G18" s="56">
        <v>0.6</v>
      </c>
      <c r="H18" s="62" t="s">
        <v>327</v>
      </c>
      <c r="I18" s="63">
        <f>Dashboard!E4</f>
        <v>0</v>
      </c>
    </row>
    <row r="19" spans="2:9" ht="18.75" x14ac:dyDescent="0.25">
      <c r="B19" s="52" t="s">
        <v>325</v>
      </c>
      <c r="C19" s="53" t="s">
        <v>26</v>
      </c>
      <c r="D19" s="54" t="s">
        <v>329</v>
      </c>
      <c r="E19" s="64">
        <v>0.4</v>
      </c>
      <c r="F19" s="56">
        <v>0.8</v>
      </c>
      <c r="G19" s="56">
        <v>0.6</v>
      </c>
      <c r="H19" s="57" t="s">
        <v>327</v>
      </c>
      <c r="I19" s="58">
        <f>Dashboard!E5</f>
        <v>0</v>
      </c>
    </row>
    <row r="20" spans="2:9" ht="18.75" x14ac:dyDescent="0.25">
      <c r="B20" s="59" t="s">
        <v>325</v>
      </c>
      <c r="C20" s="60" t="s">
        <v>5</v>
      </c>
      <c r="D20" s="61" t="s">
        <v>330</v>
      </c>
      <c r="E20" s="55">
        <v>0</v>
      </c>
      <c r="F20" s="56">
        <v>0.8</v>
      </c>
      <c r="G20" s="56">
        <v>0.6</v>
      </c>
      <c r="H20" s="62" t="s">
        <v>327</v>
      </c>
      <c r="I20" s="63">
        <f>Dashboard!E6</f>
        <v>0</v>
      </c>
    </row>
    <row r="21" spans="2:9" ht="18.75" x14ac:dyDescent="0.25">
      <c r="B21" s="52" t="s">
        <v>325</v>
      </c>
      <c r="C21" s="53" t="s">
        <v>27</v>
      </c>
      <c r="D21" s="54" t="s">
        <v>331</v>
      </c>
      <c r="E21" s="64">
        <v>0.1</v>
      </c>
      <c r="F21" s="56">
        <v>0.8</v>
      </c>
      <c r="G21" s="56">
        <v>0.6</v>
      </c>
      <c r="H21" s="57" t="s">
        <v>327</v>
      </c>
      <c r="I21" s="58">
        <f>Dashboard!E7</f>
        <v>0</v>
      </c>
    </row>
    <row r="22" spans="2:9" ht="18.75" x14ac:dyDescent="0.25">
      <c r="B22" s="59" t="s">
        <v>325</v>
      </c>
      <c r="C22" s="60" t="s">
        <v>28</v>
      </c>
      <c r="D22" s="61" t="s">
        <v>332</v>
      </c>
      <c r="E22" s="55">
        <v>0</v>
      </c>
      <c r="F22" s="56">
        <v>0.8</v>
      </c>
      <c r="G22" s="56">
        <v>0.6</v>
      </c>
      <c r="H22" s="62" t="s">
        <v>327</v>
      </c>
      <c r="I22" s="63">
        <f>Dashboard!E8</f>
        <v>0</v>
      </c>
    </row>
    <row r="23" spans="2:9" ht="18.75" x14ac:dyDescent="0.25">
      <c r="B23" s="52" t="s">
        <v>325</v>
      </c>
      <c r="C23" s="53" t="s">
        <v>29</v>
      </c>
      <c r="D23" s="54" t="s">
        <v>333</v>
      </c>
      <c r="E23" s="64">
        <v>0.15</v>
      </c>
      <c r="F23" s="56">
        <v>0.8</v>
      </c>
      <c r="G23" s="56">
        <v>0.6</v>
      </c>
      <c r="H23" s="57" t="s">
        <v>327</v>
      </c>
      <c r="I23" s="58">
        <f>Dashboard!E9</f>
        <v>0</v>
      </c>
    </row>
    <row r="24" spans="2:9" ht="18.75" x14ac:dyDescent="0.25">
      <c r="B24" s="59" t="s">
        <v>325</v>
      </c>
      <c r="C24" s="60" t="s">
        <v>30</v>
      </c>
      <c r="D24" s="61" t="s">
        <v>334</v>
      </c>
      <c r="E24" s="55">
        <v>0</v>
      </c>
      <c r="F24" s="56">
        <v>0.8</v>
      </c>
      <c r="G24" s="56">
        <v>0.6</v>
      </c>
      <c r="H24" s="62" t="s">
        <v>327</v>
      </c>
      <c r="I24" s="63">
        <f>Dashboard!E10</f>
        <v>0</v>
      </c>
    </row>
    <row r="25" spans="2:9" ht="18.75" x14ac:dyDescent="0.25">
      <c r="B25" s="52" t="s">
        <v>325</v>
      </c>
      <c r="C25" s="53" t="s">
        <v>31</v>
      </c>
      <c r="D25" s="54" t="s">
        <v>335</v>
      </c>
      <c r="E25" s="64">
        <v>0.12</v>
      </c>
      <c r="F25" s="56">
        <v>0.8</v>
      </c>
      <c r="G25" s="56">
        <v>0.6</v>
      </c>
      <c r="H25" s="57" t="s">
        <v>327</v>
      </c>
      <c r="I25" s="58">
        <f>Dashboard!E11</f>
        <v>0</v>
      </c>
    </row>
    <row r="26" spans="2:9" ht="18.75" x14ac:dyDescent="0.25">
      <c r="B26" s="59" t="s">
        <v>325</v>
      </c>
      <c r="C26" s="60" t="s">
        <v>32</v>
      </c>
      <c r="D26" s="61" t="s">
        <v>336</v>
      </c>
      <c r="E26" s="64">
        <v>0.1</v>
      </c>
      <c r="F26" s="56">
        <v>0.8</v>
      </c>
      <c r="G26" s="56">
        <v>0.6</v>
      </c>
      <c r="H26" s="62" t="s">
        <v>327</v>
      </c>
      <c r="I26" s="63">
        <f>Dashboard!E12</f>
        <v>0</v>
      </c>
    </row>
    <row r="27" spans="2:9" ht="18.75" x14ac:dyDescent="0.25">
      <c r="B27" s="52" t="s">
        <v>337</v>
      </c>
      <c r="C27" s="53" t="s">
        <v>8</v>
      </c>
      <c r="D27" s="54" t="s">
        <v>338</v>
      </c>
      <c r="E27" s="65">
        <v>1.5</v>
      </c>
      <c r="F27" s="56">
        <v>0.8</v>
      </c>
      <c r="G27" s="56">
        <v>0.6</v>
      </c>
      <c r="H27" s="57" t="s">
        <v>327</v>
      </c>
      <c r="I27" s="58">
        <f>Dashboard!E13</f>
        <v>0</v>
      </c>
    </row>
    <row r="28" spans="2:9" ht="18.75" x14ac:dyDescent="0.25">
      <c r="B28" s="59" t="s">
        <v>337</v>
      </c>
      <c r="C28" s="60" t="s">
        <v>34</v>
      </c>
      <c r="D28" s="61" t="s">
        <v>339</v>
      </c>
      <c r="E28" s="65">
        <v>1</v>
      </c>
      <c r="F28" s="56">
        <v>0.8</v>
      </c>
      <c r="G28" s="56">
        <v>0.6</v>
      </c>
      <c r="H28" s="62" t="s">
        <v>327</v>
      </c>
      <c r="I28" s="63">
        <f>Dashboard!E14</f>
        <v>0</v>
      </c>
    </row>
    <row r="29" spans="2:9" ht="18.75" x14ac:dyDescent="0.25">
      <c r="B29" s="52" t="s">
        <v>337</v>
      </c>
      <c r="C29" s="53" t="s">
        <v>35</v>
      </c>
      <c r="D29" s="54" t="s">
        <v>340</v>
      </c>
      <c r="E29" s="65">
        <v>0.2</v>
      </c>
      <c r="F29" s="56">
        <v>0.8</v>
      </c>
      <c r="G29" s="56">
        <v>0.6</v>
      </c>
      <c r="H29" s="57" t="s">
        <v>327</v>
      </c>
      <c r="I29" s="58">
        <f>Dashboard!E15</f>
        <v>0</v>
      </c>
    </row>
    <row r="30" spans="2:9" ht="18.75" x14ac:dyDescent="0.25">
      <c r="B30" s="59" t="s">
        <v>337</v>
      </c>
      <c r="C30" s="60" t="s">
        <v>36</v>
      </c>
      <c r="D30" s="61" t="s">
        <v>341</v>
      </c>
      <c r="E30" s="55">
        <v>0</v>
      </c>
      <c r="F30" s="56">
        <v>0.8</v>
      </c>
      <c r="G30" s="56">
        <v>0.6</v>
      </c>
      <c r="H30" s="62" t="s">
        <v>327</v>
      </c>
      <c r="I30" s="63">
        <f>Dashboard!E16</f>
        <v>0</v>
      </c>
    </row>
    <row r="31" spans="2:9" ht="18.75" x14ac:dyDescent="0.25">
      <c r="B31" s="52" t="s">
        <v>337</v>
      </c>
      <c r="C31" s="53" t="s">
        <v>7</v>
      </c>
      <c r="D31" s="54" t="s">
        <v>342</v>
      </c>
      <c r="E31" s="55">
        <v>0</v>
      </c>
      <c r="F31" s="56">
        <v>0.8</v>
      </c>
      <c r="G31" s="56">
        <v>0.6</v>
      </c>
      <c r="H31" s="57" t="s">
        <v>327</v>
      </c>
      <c r="I31" s="58">
        <f>Dashboard!E17</f>
        <v>0</v>
      </c>
    </row>
    <row r="32" spans="2:9" ht="18.75" x14ac:dyDescent="0.25">
      <c r="B32" s="59" t="s">
        <v>343</v>
      </c>
      <c r="C32" s="60" t="s">
        <v>38</v>
      </c>
      <c r="D32" s="61" t="s">
        <v>344</v>
      </c>
      <c r="E32" s="55">
        <v>45</v>
      </c>
      <c r="F32" s="56">
        <v>0.8</v>
      </c>
      <c r="G32" s="56">
        <v>0.6</v>
      </c>
      <c r="H32" s="62" t="s">
        <v>345</v>
      </c>
      <c r="I32" s="63" t="str">
        <f>Dashboard!E18</f>
        <v>Status</v>
      </c>
    </row>
    <row r="33" spans="2:9" ht="18.75" x14ac:dyDescent="0.25">
      <c r="B33" s="52" t="s">
        <v>343</v>
      </c>
      <c r="C33" s="53" t="s">
        <v>39</v>
      </c>
      <c r="D33" s="54" t="s">
        <v>346</v>
      </c>
      <c r="E33" s="55">
        <v>30</v>
      </c>
      <c r="F33" s="56">
        <v>0.8</v>
      </c>
      <c r="G33" s="56">
        <v>0.6</v>
      </c>
      <c r="H33" s="57" t="s">
        <v>327</v>
      </c>
      <c r="I33" s="58" t="str">
        <f>Dashboard!E19</f>
        <v>G</v>
      </c>
    </row>
    <row r="34" spans="2:9" ht="18.75" x14ac:dyDescent="0.25">
      <c r="B34" s="59" t="s">
        <v>343</v>
      </c>
      <c r="C34" s="60" t="s">
        <v>40</v>
      </c>
      <c r="D34" s="61" t="s">
        <v>347</v>
      </c>
      <c r="E34" s="65">
        <v>1</v>
      </c>
      <c r="F34" s="56">
        <v>0.8</v>
      </c>
      <c r="G34" s="56">
        <v>0.6</v>
      </c>
      <c r="H34" s="62" t="s">
        <v>327</v>
      </c>
      <c r="I34" s="63" t="str">
        <f>Dashboard!E20</f>
        <v>G</v>
      </c>
    </row>
    <row r="35" spans="2:9" ht="18.75" x14ac:dyDescent="0.25">
      <c r="B35" s="52" t="s">
        <v>343</v>
      </c>
      <c r="C35" s="53" t="s">
        <v>41</v>
      </c>
      <c r="D35" s="54" t="s">
        <v>348</v>
      </c>
      <c r="E35" s="55">
        <v>30</v>
      </c>
      <c r="F35" s="56">
        <v>0.8</v>
      </c>
      <c r="G35" s="56">
        <v>0.6</v>
      </c>
      <c r="H35" s="57" t="s">
        <v>345</v>
      </c>
      <c r="I35" s="58" t="str">
        <f>Dashboard!E21</f>
        <v>G</v>
      </c>
    </row>
    <row r="36" spans="2:9" ht="18.75" x14ac:dyDescent="0.25">
      <c r="B36" s="59" t="s">
        <v>349</v>
      </c>
      <c r="C36" s="60" t="s">
        <v>43</v>
      </c>
      <c r="D36" s="61" t="s">
        <v>350</v>
      </c>
      <c r="E36" s="65">
        <v>1</v>
      </c>
      <c r="F36" s="56">
        <v>0.8</v>
      </c>
      <c r="G36" s="56">
        <v>0.6</v>
      </c>
      <c r="H36" s="62" t="s">
        <v>345</v>
      </c>
      <c r="I36" s="63" t="str">
        <f>Dashboard!E22</f>
        <v>R</v>
      </c>
    </row>
    <row r="37" spans="2:9" ht="18.75" x14ac:dyDescent="0.25">
      <c r="B37" s="52" t="s">
        <v>349</v>
      </c>
      <c r="C37" s="53" t="s">
        <v>44</v>
      </c>
      <c r="D37" s="54" t="s">
        <v>351</v>
      </c>
      <c r="E37" s="64">
        <v>0.5</v>
      </c>
      <c r="F37" s="56">
        <v>0.8</v>
      </c>
      <c r="G37" s="56">
        <v>0.6</v>
      </c>
      <c r="H37" s="57" t="s">
        <v>345</v>
      </c>
      <c r="I37" s="58" t="str">
        <f>Dashboard!E23</f>
        <v>R</v>
      </c>
    </row>
    <row r="38" spans="2:9" ht="18.75" x14ac:dyDescent="0.25">
      <c r="B38" s="59" t="s">
        <v>349</v>
      </c>
      <c r="C38" s="60" t="s">
        <v>45</v>
      </c>
      <c r="D38" s="61" t="s">
        <v>352</v>
      </c>
      <c r="E38" s="64">
        <v>0.5</v>
      </c>
      <c r="F38" s="56">
        <v>0.8</v>
      </c>
      <c r="G38" s="56">
        <v>0.6</v>
      </c>
      <c r="H38" s="62" t="s">
        <v>327</v>
      </c>
      <c r="I38" s="63" t="str">
        <f>Dashboard!E24</f>
        <v>G</v>
      </c>
    </row>
    <row r="39" spans="2:9" ht="18.75" x14ac:dyDescent="0.25">
      <c r="B39" s="52" t="s">
        <v>349</v>
      </c>
      <c r="C39" s="53" t="s">
        <v>46</v>
      </c>
      <c r="D39" s="54" t="s">
        <v>353</v>
      </c>
      <c r="E39" s="65">
        <v>3</v>
      </c>
      <c r="F39" s="56">
        <v>0.8</v>
      </c>
      <c r="G39" s="56">
        <v>0.6</v>
      </c>
      <c r="H39" s="57" t="s">
        <v>327</v>
      </c>
      <c r="I39" s="58" t="str">
        <f>Dashboard!E25</f>
        <v>R</v>
      </c>
    </row>
    <row r="40" spans="2:9" ht="18.75" x14ac:dyDescent="0.25">
      <c r="B40" s="59" t="s">
        <v>354</v>
      </c>
      <c r="C40" s="60" t="s">
        <v>48</v>
      </c>
      <c r="D40" s="61" t="s">
        <v>355</v>
      </c>
      <c r="E40" s="55">
        <v>0</v>
      </c>
      <c r="F40" s="56">
        <v>0.8</v>
      </c>
      <c r="G40" s="56">
        <v>0.6</v>
      </c>
      <c r="H40" s="62" t="s">
        <v>327</v>
      </c>
      <c r="I40" s="63" t="str">
        <f>Dashboard!E26</f>
        <v>R</v>
      </c>
    </row>
    <row r="41" spans="2:9" ht="18.75" x14ac:dyDescent="0.25">
      <c r="B41" s="52" t="s">
        <v>354</v>
      </c>
      <c r="C41" s="53" t="s">
        <v>49</v>
      </c>
      <c r="D41" s="54" t="s">
        <v>356</v>
      </c>
      <c r="E41" s="55">
        <v>0</v>
      </c>
      <c r="F41" s="56">
        <v>0.8</v>
      </c>
      <c r="G41" s="56">
        <v>0.6</v>
      </c>
      <c r="H41" s="57" t="s">
        <v>327</v>
      </c>
      <c r="I41" s="58" t="str">
        <f>Dashboard!E27</f>
        <v>R</v>
      </c>
    </row>
    <row r="42" spans="2:9" ht="18.75" x14ac:dyDescent="0.25">
      <c r="B42" s="59" t="s">
        <v>354</v>
      </c>
      <c r="C42" s="60" t="s">
        <v>50</v>
      </c>
      <c r="D42" s="61" t="s">
        <v>357</v>
      </c>
      <c r="E42" s="55">
        <v>0</v>
      </c>
      <c r="F42" s="56">
        <v>0.8</v>
      </c>
      <c r="G42" s="56">
        <v>0.6</v>
      </c>
      <c r="H42" s="62" t="s">
        <v>345</v>
      </c>
      <c r="I42" s="63" t="str">
        <f>Dashboard!E28</f>
        <v>G</v>
      </c>
    </row>
    <row r="43" spans="2:9" ht="18.75" x14ac:dyDescent="0.25">
      <c r="B43" s="52" t="s">
        <v>354</v>
      </c>
      <c r="C43" s="53" t="s">
        <v>51</v>
      </c>
      <c r="D43" s="54" t="s">
        <v>358</v>
      </c>
      <c r="E43" s="65">
        <v>12</v>
      </c>
      <c r="F43" s="56">
        <v>0.8</v>
      </c>
      <c r="G43" s="56">
        <v>0.6</v>
      </c>
      <c r="H43" s="57" t="s">
        <v>327</v>
      </c>
      <c r="I43" s="58">
        <f>Dashboard!E29</f>
        <v>0</v>
      </c>
    </row>
  </sheetData>
  <mergeCells count="2">
    <mergeCell ref="B2:F2"/>
    <mergeCell ref="B3:F3"/>
  </mergeCells>
  <dataValidations count="1">
    <dataValidation type="decimal" allowBlank="1" errorTitle="Invalid Percentage" error="Please enter a percentage between 0% and 100%" sqref="F17:G43" xr:uid="{00000000-0002-0000-0700-000000000000}">
      <formula1>0</formula1>
      <formula2>1</formula2>
    </dataValidation>
  </dataValidations>
  <pageMargins left="0.75" right="0.75" top="1" bottom="1" header="0.5" footer="0.5"/>
  <pageSetup fitToHeight="0"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Dashboard</vt:lpstr>
      <vt:lpstr>Menu</vt:lpstr>
      <vt:lpstr>Source_PL</vt:lpstr>
      <vt:lpstr>Source_BS</vt:lpstr>
      <vt:lpstr>PL</vt:lpstr>
      <vt:lpstr>Balance_Sheet</vt:lpstr>
      <vt:lpstr>Cash_Flow</vt:lpstr>
      <vt:lpstr>Dashboard_Control</vt:lpstr>
      <vt:lpstr>KPI_Targets</vt:lpstr>
      <vt:lpstr>Dashboard_Control!Print_Titles</vt:lpstr>
      <vt:lpstr>SourceBS</vt:lpstr>
      <vt:lpstr>SourcePL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Smith</dc:creator>
  <cp:lastModifiedBy>J Smith</cp:lastModifiedBy>
  <dcterms:created xsi:type="dcterms:W3CDTF">2025-12-04T17:21:26Z</dcterms:created>
  <dcterms:modified xsi:type="dcterms:W3CDTF">2025-12-05T20:48:39Z</dcterms:modified>
</cp:coreProperties>
</file>