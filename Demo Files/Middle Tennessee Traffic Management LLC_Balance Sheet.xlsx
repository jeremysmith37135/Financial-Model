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168" i="1" l="1"/>
</calcChain>
</file>

<file path=xl/sharedStrings.xml><?xml version="1.0" encoding="utf-8"?>
<sst xmlns="http://schemas.openxmlformats.org/spreadsheetml/2006/main" count="220" uniqueCount="220">
  <si>
    <t>Balance Sheet</t>
  </si>
  <si>
    <t>Middle Tennessee Traffic Management LLC</t>
  </si>
  <si>
    <t>As of November 30, 2025</t>
  </si>
  <si>
    <t>Assets</t>
  </si>
  <si>
    <t>Current Assets</t>
  </si>
  <si>
    <t>Bank Accounts</t>
  </si>
  <si>
    <t>1020 Checking 5892</t>
  </si>
  <si>
    <t>1030 Petty Cash</t>
  </si>
  <si>
    <t>Fifth Third Bank (7942)</t>
  </si>
  <si>
    <t>Fifth Third Business Checking (5745) - 5</t>
  </si>
  <si>
    <t>First National Bank Checking 6756</t>
  </si>
  <si>
    <t>First National Bank MM 6764</t>
  </si>
  <si>
    <t>MM Vols State 6699</t>
  </si>
  <si>
    <t>Truist Business Checking (5364)</t>
  </si>
  <si>
    <t>Truist MM 9427</t>
  </si>
  <si>
    <t>Total for Bank Accounts</t>
  </si>
  <si>
    <t>Accounts Receivable</t>
  </si>
  <si>
    <t>1200 Accounts Receivable (A/R)</t>
  </si>
  <si>
    <t>Total for Accounts Receivable</t>
  </si>
  <si>
    <t>Other Current Assets</t>
  </si>
  <si>
    <t>1400 Deposit on Fleet Vehicles</t>
  </si>
  <si>
    <t>1401 Other Current Assets</t>
  </si>
  <si>
    <t>1402 Undeposited Funds</t>
  </si>
  <si>
    <t>Inventory Asset</t>
  </si>
  <si>
    <t>Total for Other Current Assets</t>
  </si>
  <si>
    <t>Total for Current Assets</t>
  </si>
  <si>
    <t>Fixed Assets</t>
  </si>
  <si>
    <t>1500 Fleet Vehicles</t>
  </si>
  <si>
    <t>1501 2001 Subaru Outback VIN #9249</t>
  </si>
  <si>
    <t>1502 2009 Chevrolet Silverado VIN #3015</t>
  </si>
  <si>
    <t>1503 Acura Vehicle</t>
  </si>
  <si>
    <t>1504 2022 Ram 2500 VIN #5178</t>
  </si>
  <si>
    <t>1505 2022 Chevy Silverado</t>
  </si>
  <si>
    <t>1506 2022 Toyota Tacoma VIN #4500</t>
  </si>
  <si>
    <t>1507 2022 Toyota Tacoma VIN #2404</t>
  </si>
  <si>
    <t>1508 2022 Toyota Tacoma VIN #2850</t>
  </si>
  <si>
    <t>1509 2022 Toyota Tacoma VIN #4282</t>
  </si>
  <si>
    <t>1510 2022 Toyota Tundra VIN #3326</t>
  </si>
  <si>
    <t>1511 2023 Toyota Tacoma VIN #4887</t>
  </si>
  <si>
    <t>1512 2023 Toyota Tacoma VIN #0823</t>
  </si>
  <si>
    <t>1513 2023 Jeep Grand Wagoneer VIN#7536</t>
  </si>
  <si>
    <t>1514 2006 Ford F350 XL Pickup</t>
  </si>
  <si>
    <t>1515 2022 Dodge Durango VIN #9823</t>
  </si>
  <si>
    <t>1517 2020 Chevrolet Silverado</t>
  </si>
  <si>
    <t>1556 2023 Toyota Tacoma VIN #8370</t>
  </si>
  <si>
    <t>1600 Fleet Vehicles Accumulated Depreciation</t>
  </si>
  <si>
    <t>2026 Hyundai Palisade</t>
  </si>
  <si>
    <t>Total for 1500 Fleet Vehicles</t>
  </si>
  <si>
    <t>1550 Enterprise Fleet Vehicles</t>
  </si>
  <si>
    <t>1551 2024 Chevrolet Silverado 2500 HD VIN #0149</t>
  </si>
  <si>
    <t>1552 2024 RAM 2500</t>
  </si>
  <si>
    <t>1553 2023 Toyota Tacoma VIN #4369</t>
  </si>
  <si>
    <t>1554 2023 Toyota Tacoma VIN #8380</t>
  </si>
  <si>
    <t>1555 2023 Toyota Tacoma VIN #8304</t>
  </si>
  <si>
    <t>1557 2024 Nissan Frontier Vin #8873</t>
  </si>
  <si>
    <t>1558 2016 Ford F-150 Vin #7550</t>
  </si>
  <si>
    <t>1559 2024 Nissan Frontier Vin #0005</t>
  </si>
  <si>
    <t>1560 2018 Ford F-250 Vin #7123</t>
  </si>
  <si>
    <t>1599 Accumulated Depreciation Enterprise Fleet</t>
  </si>
  <si>
    <t>Total for 1550 Enterprise Fleet Vehicles</t>
  </si>
  <si>
    <t>1700 Equipment</t>
  </si>
  <si>
    <t>1701 2023 CFMOTO 1000 VIN #4496</t>
  </si>
  <si>
    <t>1702 2023 CFMOTO 600 VIN #8504</t>
  </si>
  <si>
    <t>1703 2023 CFMOTO 600 VIN #8515</t>
  </si>
  <si>
    <t>1705 2023 Triple Crown Utility Trailer</t>
  </si>
  <si>
    <t>1706 2023 Triple Crown Car Trailer</t>
  </si>
  <si>
    <t>1707 Plotter</t>
  </si>
  <si>
    <t>1708 Trailer 1T9BU1822SL799123</t>
  </si>
  <si>
    <t>1709 Trailer 1T9BU1825SL799195</t>
  </si>
  <si>
    <t>1710 Arrow Boards</t>
  </si>
  <si>
    <t>1711 Ram Barrier</t>
  </si>
  <si>
    <t>1799 Accumulated Depreciation Equipment</t>
  </si>
  <si>
    <t>Total for 1700 Equipment</t>
  </si>
  <si>
    <t>Total for Fixed Assets</t>
  </si>
  <si>
    <t>Total for Assets</t>
  </si>
  <si>
    <t>Liabilities and Equity</t>
  </si>
  <si>
    <t>Liabilities</t>
  </si>
  <si>
    <t>Current Liabilities</t>
  </si>
  <si>
    <t>Accounts Payable</t>
  </si>
  <si>
    <t>2001 Accounts Payable (A/P)</t>
  </si>
  <si>
    <t>Total for Accounts Payable</t>
  </si>
  <si>
    <t>Credit Cards</t>
  </si>
  <si>
    <t>2120 Personal Capital One Card (deleted)</t>
  </si>
  <si>
    <t>Chase Business Card (2030)</t>
  </si>
  <si>
    <t>Total for Credit Cards</t>
  </si>
  <si>
    <t>Other Current Liabilities</t>
  </si>
  <si>
    <t>2002 Accrued Expenses</t>
  </si>
  <si>
    <t>2200 Payroll Liabilities</t>
  </si>
  <si>
    <t>2202 Federal Taxes (941/944)</t>
  </si>
  <si>
    <t>2203 Federal Unemployment (940)</t>
  </si>
  <si>
    <t>2204 TN Quarterly Taxes</t>
  </si>
  <si>
    <t>2205 Uniform Polos, reimbursable</t>
  </si>
  <si>
    <t>2206 Vest/Hardhat</t>
  </si>
  <si>
    <t>2207 MS Quarterly Taxes</t>
  </si>
  <si>
    <t>2208 Garnishments</t>
  </si>
  <si>
    <t>2210 Medical &amp; Benefits Withholdings</t>
  </si>
  <si>
    <t>2213 401K Withholdings</t>
  </si>
  <si>
    <t>2214 Misc Payroll Deduction</t>
  </si>
  <si>
    <t>Total for 2200 Payroll Liabilities</t>
  </si>
  <si>
    <t>2301 Out Of Scope Agency Payable</t>
  </si>
  <si>
    <t>2302 Tennessee Department of Revenue Payable</t>
  </si>
  <si>
    <t>2303 Tennessee DOR Sales Tax Payable</t>
  </si>
  <si>
    <t>2304 Line of Credit - Fifth Third</t>
  </si>
  <si>
    <t>2305 Vol State LOC</t>
  </si>
  <si>
    <t>Equipment Loan (Barrier Purchase)</t>
  </si>
  <si>
    <t>Total for Other Current Liabilities</t>
  </si>
  <si>
    <t>Total for Current Liabilities</t>
  </si>
  <si>
    <t>Long-term Liabilities</t>
  </si>
  <si>
    <t>2500 Fleet Vehicle Payables</t>
  </si>
  <si>
    <t>2504 Ram 5178 Ally Payable</t>
  </si>
  <si>
    <t>2506 Tacoma 4500 Payable</t>
  </si>
  <si>
    <t>2507 Tacoma 2404 Payable</t>
  </si>
  <si>
    <t>2508 Tacoma 2850 Ally Payable</t>
  </si>
  <si>
    <t>2509 Tacoma 4282 Ally Payable</t>
  </si>
  <si>
    <t>2510 Tundra 3326 Ally Payable</t>
  </si>
  <si>
    <t>2511 Tacoma 4887 Payable</t>
  </si>
  <si>
    <t>2512 Tacoma 0823 Ally Payable</t>
  </si>
  <si>
    <t>2513 Wagoneer 7536 Ally Payable</t>
  </si>
  <si>
    <t>2514 Toyota Tacoma 8370 Ally Payable</t>
  </si>
  <si>
    <t>2515 Dodge Durango 9823 First South Payable</t>
  </si>
  <si>
    <t>2516 Chevy Silverado Capital One Payable</t>
  </si>
  <si>
    <t>Hyundai Palisade</t>
  </si>
  <si>
    <t>Total for 2500 Fleet Vehicle Payables</t>
  </si>
  <si>
    <t>2550 Enterprise Fleet Payable</t>
  </si>
  <si>
    <t>2551 2024 Chevrolet Silverado 0149 Payable</t>
  </si>
  <si>
    <t>2552 2024 RAM 2500 Payable</t>
  </si>
  <si>
    <t>2553 2023 Toyota Tacoma 4369 Payable</t>
  </si>
  <si>
    <t>2554 2023 Toyota Tacoma 8380 Payable</t>
  </si>
  <si>
    <t>2555 2023 Toyota Tacoma 8304 Payable</t>
  </si>
  <si>
    <t>2556 2024 Nissan Frontier 8873 Payable</t>
  </si>
  <si>
    <t>2557 2016 Ford F-150 7550 Payable</t>
  </si>
  <si>
    <t>2558 2024 Nissan Frontier 0005 Payable</t>
  </si>
  <si>
    <t>2559 2018 Ford F-250 7123 Payable</t>
  </si>
  <si>
    <t>Total for 2550 Enterprise Fleet Payable</t>
  </si>
  <si>
    <t>2600 Equipment Payable</t>
  </si>
  <si>
    <t>2601 Sheffield Financial (CFMOTO)</t>
  </si>
  <si>
    <t>2602 NCMIC (Plotter)</t>
  </si>
  <si>
    <t>Total for 2600 Equipment Payable</t>
  </si>
  <si>
    <t>Total for Long-term Liabilities</t>
  </si>
  <si>
    <t>Total for Liabilities</t>
  </si>
  <si>
    <t>Equity</t>
  </si>
  <si>
    <t>3100 Owner's Contribution</t>
  </si>
  <si>
    <t>3110 Jonathan</t>
  </si>
  <si>
    <t>3120 Justin</t>
  </si>
  <si>
    <t>Total for 3100 Owner's Contribution</t>
  </si>
  <si>
    <t>3200 Owners' Distributions</t>
  </si>
  <si>
    <t>3210 Jonathan</t>
  </si>
  <si>
    <t>3220 Justin</t>
  </si>
  <si>
    <t>3240 Ellie</t>
  </si>
  <si>
    <t>Total for 3200 Owners' Distributions</t>
  </si>
  <si>
    <t>3300 Partner Retained Earnings</t>
  </si>
  <si>
    <t>3310 Jonathan</t>
  </si>
  <si>
    <t>3320 Justin</t>
  </si>
  <si>
    <t>3330 Eleanora</t>
  </si>
  <si>
    <t>Total for 3300 Partner Retained Earnings</t>
  </si>
  <si>
    <t>3400 Common Stock</t>
  </si>
  <si>
    <t>3410 Common Stock - Jonathan</t>
  </si>
  <si>
    <t>3420 Common Stock - Justin</t>
  </si>
  <si>
    <t>3430 Common Stock - Eleanora</t>
  </si>
  <si>
    <t>Total for 3400 Common Stock</t>
  </si>
  <si>
    <t>Opening Balance Equity</t>
  </si>
  <si>
    <t>Treasury Stock</t>
  </si>
  <si>
    <t>3900 Retained Earnings</t>
  </si>
  <si>
    <t>Net Income</t>
  </si>
  <si>
    <t>Total for Equity</t>
  </si>
  <si>
    <t>Total for Liabilities and Equity</t>
  </si>
  <si>
    <t>Distribution account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</si>
  <si>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</si>
  <si>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</si>
  <si>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</si>
  <si>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</si>
  <si>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</si>
  <si>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</si>
  <si>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</si>
  <si>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</si>
  <si>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</si>
  <si>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</si>
  <si>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</si>
  <si>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</si>
  <si>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</si>
  <si>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</si>
  <si>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</si>
  <si>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</si>
  <si>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</si>
  <si>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</si>
  <si>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</si>
  <si>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</si>
  <si>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</si>
  <si>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</si>
  <si>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</si>
  <si>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</si>
  <si>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</si>
  <si>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</si>
  <si>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</si>
  <si>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</si>
  <si>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</si>
  <si>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</si>
  <si>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</si>
  <si>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</si>
  <si>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</si>
  <si>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</si>
  <si>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</si>
  <si>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</si>
  <si>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</si>
  <si>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</si>
  <si>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</si>
  <si>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</si>
  <si>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</si>
  <si>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</si>
  <si>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</si>
  <si>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</si>
  <si>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</si>
  <si>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</si>
  <si>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</si>
  <si>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</si>
  <si>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</si>
  <si>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</si>
  <si>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</si>
  <si>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</si>
  <si>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Accrual Basis Saturday, December 13, 2025 01:00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</si>
</sst>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7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7" fontId="0" fillId="0" borderId="0" xfId="0" applyNumberFormat="1"/>
    <xf numFmtId="177" fontId="3" fillId="0" borderId="0" xfId="0" applyNumberFormat="1" applyFont="1"/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left" indent="4"/>
    </xf>
    <xf numFmtId="0" fontId="4" fillId="0" borderId="0" xfId="0" applyFont="1" applyAlignment="1">
      <alignment horizontal="left" indent="4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5"/>
    </xf>
    <xf numFmtId="0" fontId="4" fillId="0" borderId="0" xfId="0" applyFont="1" applyAlignment="1">
      <alignment horizontal="left" wrapText="1" indent="4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A172"/>
  <sheetViews>
    <sheetView tabSelected="1" workbookViewId="0" topLeftCell="A1"/>
  </sheetViews>
  <sheetFormatPr defaultColWidth="11.255" defaultRowHeight="16" outlineLevelRow="5"/>
  <cols>
    <col min="1" max="1" width="41" style="50" customWidth="1"/>
    <col min="2" max="2" width="10.125" style="50" customWidth="1"/>
    <col min="3" max="13" width="16.125" style="50" customWidth="1"/>
    <col min="14" max="14" width="15.25" style="50" customWidth="1"/>
    <col min="15" max="15" width="16.125" style="50" customWidth="1"/>
    <col min="16" max="17" width="17" style="50" customWidth="1"/>
    <col min="18" max="33" width="19.5" style="50" customWidth="1"/>
    <col min="34" max="41" width="20.375" style="50" customWidth="1"/>
    <col min="42" max="44" width="19.5" style="50" customWidth="1"/>
    <col min="45" max="53" width="20.375" style="50" customWidth="1"/>
  </cols>
  <sheetData>
    <row r="1" spans="1:1" ht="16">
      <c r="A1" s="35" t="s">
        <v>0</v>
      </c>
    </row>
    <row r="2" spans="1:1" ht="16">
      <c r="A2" s="36" t="s">
        <v>1</v>
      </c>
    </row>
    <row r="3" spans="1:1" ht="16">
      <c r="A3" s="37" t="s">
        <v>2</v>
      </c>
    </row>
    <row r="5" spans="1:53" ht="16">
      <c r="A5" s="52" t="s">
        <v>166</v>
      </c>
      <c r="B5" s="52" t="s">
        <v>167</v>
      </c>
      <c r="C5" s="52" t="s">
        <v>168</v>
      </c>
      <c r="D5" s="52" t="s">
        <v>169</v>
      </c>
      <c r="E5" s="52" t="s">
        <v>170</v>
      </c>
      <c r="F5" s="52" t="s">
        <v>171</v>
      </c>
      <c r="G5" s="52" t="s">
        <v>172</v>
      </c>
      <c r="H5" s="52" t="s">
        <v>173</v>
      </c>
      <c r="I5" s="52" t="s">
        <v>174</v>
      </c>
      <c r="J5" s="52" t="s">
        <v>175</v>
      </c>
      <c r="K5" s="52" t="s">
        <v>176</v>
      </c>
      <c r="L5" s="52" t="s">
        <v>177</v>
      </c>
      <c r="M5" s="52" t="s">
        <v>178</v>
      </c>
      <c r="N5" s="52" t="s">
        <v>179</v>
      </c>
      <c r="O5" s="52" t="s">
        <v>180</v>
      </c>
      <c r="P5" s="52" t="s">
        <v>181</v>
      </c>
      <c r="Q5" s="52" t="s">
        <v>182</v>
      </c>
      <c r="R5" s="52" t="s">
        <v>183</v>
      </c>
      <c r="S5" s="52" t="s">
        <v>184</v>
      </c>
      <c r="T5" s="52" t="s">
        <v>185</v>
      </c>
      <c r="U5" s="52" t="s">
        <v>186</v>
      </c>
      <c r="V5" s="52" t="s">
        <v>187</v>
      </c>
      <c r="W5" s="52" t="s">
        <v>188</v>
      </c>
      <c r="X5" s="52" t="s">
        <v>189</v>
      </c>
      <c r="Y5" s="52" t="s">
        <v>190</v>
      </c>
      <c r="Z5" s="52" t="s">
        <v>191</v>
      </c>
      <c r="AA5" s="52" t="s">
        <v>192</v>
      </c>
      <c r="AB5" s="52" t="s">
        <v>193</v>
      </c>
      <c r="AC5" s="52" t="s">
        <v>194</v>
      </c>
      <c r="AD5" s="52" t="s">
        <v>195</v>
      </c>
      <c r="AE5" s="52" t="s">
        <v>196</v>
      </c>
      <c r="AF5" s="52" t="s">
        <v>197</v>
      </c>
      <c r="AG5" s="52" t="s">
        <v>198</v>
      </c>
      <c r="AH5" s="52" t="s">
        <v>199</v>
      </c>
      <c r="AI5" s="52" t="s">
        <v>200</v>
      </c>
      <c r="AJ5" s="52" t="s">
        <v>201</v>
      </c>
      <c r="AK5" s="52" t="s">
        <v>202</v>
      </c>
      <c r="AL5" s="52" t="s">
        <v>203</v>
      </c>
      <c r="AM5" s="52" t="s">
        <v>204</v>
      </c>
      <c r="AN5" s="52" t="s">
        <v>205</v>
      </c>
      <c r="AO5" s="52" t="s">
        <v>206</v>
      </c>
      <c r="AP5" s="52" t="s">
        <v>207</v>
      </c>
      <c r="AQ5" s="52" t="s">
        <v>208</v>
      </c>
      <c r="AR5" s="52" t="s">
        <v>209</v>
      </c>
      <c r="AS5" s="52" t="s">
        <v>210</v>
      </c>
      <c r="AT5" s="52" t="s">
        <v>211</v>
      </c>
      <c r="AU5" s="52" t="s">
        <v>212</v>
      </c>
      <c r="AV5" s="52" t="s">
        <v>213</v>
      </c>
      <c r="AW5" s="52" t="s">
        <v>214</v>
      </c>
      <c r="AX5" s="52" t="s">
        <v>215</v>
      </c>
      <c r="AY5" s="52" t="s">
        <v>216</v>
      </c>
      <c r="AZ5" s="52" t="s">
        <v>217</v>
      </c>
      <c r="BA5" s="52" t="s">
        <v>218</v>
      </c>
    </row>
    <row r="6" spans="1:53" ht="16">
      <c r="A6" s="39" t="s">
        <v>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</row>
    <row r="7" spans="1:53" ht="16" outlineLevel="1">
      <c r="A7" s="40" t="s">
        <v>4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</row>
    <row r="8" spans="1:53" ht="16" outlineLevel="2">
      <c r="A8" s="41" t="s">
        <v>5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</row>
    <row r="9" spans="1:53" ht="16" outlineLevel="3">
      <c r="A9" s="42" t="s">
        <v>6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4">
        <v>100.0</v>
      </c>
      <c r="O9" s="54">
        <v>100.0</v>
      </c>
      <c r="P9" s="54">
        <v>100.0</v>
      </c>
      <c r="Q9" s="54">
        <v>100.0</v>
      </c>
      <c r="R9" s="54">
        <v>100.0</v>
      </c>
      <c r="S9" s="54">
        <v>100.0</v>
      </c>
      <c r="T9" s="54">
        <v>100.0</v>
      </c>
      <c r="U9" s="54">
        <v>100.0</v>
      </c>
      <c r="V9" s="54">
        <v>100.0</v>
      </c>
      <c r="W9" s="54">
        <v>100.0</v>
      </c>
      <c r="X9" s="54">
        <v>60100.0</v>
      </c>
      <c r="Y9" s="54">
        <v>65100.0</v>
      </c>
      <c r="Z9" s="54">
        <v>50100.0</v>
      </c>
      <c r="AA9" s="54">
        <v>80100.0</v>
      </c>
      <c r="AB9" s="54">
        <v>40100.0</v>
      </c>
      <c r="AC9" s="54">
        <v>40100.0</v>
      </c>
      <c r="AD9" s="54">
        <v>10100.0</v>
      </c>
      <c r="AE9" s="54">
        <v>10100.0</v>
      </c>
      <c r="AF9" s="54">
        <v>10100.0</v>
      </c>
      <c r="AG9" s="54">
        <v>10100.0</v>
      </c>
      <c r="AH9" s="54">
        <v>10100.0</v>
      </c>
      <c r="AI9" s="54">
        <v>10100.0</v>
      </c>
      <c r="AJ9" s="54">
        <v>10100.0</v>
      </c>
      <c r="AK9" s="54">
        <v>10100.0</v>
      </c>
      <c r="AL9" s="54">
        <v>0</v>
      </c>
      <c r="AM9" s="54">
        <v>0</v>
      </c>
      <c r="AN9" s="54">
        <v>0</v>
      </c>
      <c r="AO9" s="54">
        <v>0</v>
      </c>
      <c r="AP9" s="54">
        <v>0</v>
      </c>
      <c r="AQ9" s="54">
        <v>0</v>
      </c>
      <c r="AR9" s="54">
        <v>0</v>
      </c>
      <c r="AS9" s="54">
        <v>0</v>
      </c>
      <c r="AT9" s="54">
        <v>0</v>
      </c>
      <c r="AU9" s="54">
        <v>0</v>
      </c>
      <c r="AV9" s="54">
        <v>0</v>
      </c>
      <c r="AW9" s="54">
        <v>0</v>
      </c>
      <c r="AX9" s="54">
        <v>0</v>
      </c>
      <c r="AY9" s="54">
        <v>0</v>
      </c>
      <c r="AZ9" s="54">
        <v>0</v>
      </c>
      <c r="BA9" s="54">
        <v>0</v>
      </c>
    </row>
    <row r="10" spans="1:53" ht="16" outlineLevel="3">
      <c r="A10" s="42" t="s">
        <v>7</v>
      </c>
      <c r="B10" s="53"/>
      <c r="C10" s="53"/>
      <c r="D10" s="54">
        <v>-20.0</v>
      </c>
      <c r="E10" s="54">
        <v>-20.0</v>
      </c>
      <c r="F10" s="54">
        <v>-20.0</v>
      </c>
      <c r="G10" s="54">
        <v>-20.0</v>
      </c>
      <c r="H10" s="54">
        <v>-20.0</v>
      </c>
      <c r="I10" s="54">
        <v>-20.0</v>
      </c>
      <c r="J10" s="54">
        <v>-20.0</v>
      </c>
      <c r="K10" s="54">
        <v>-20.0</v>
      </c>
      <c r="L10" s="54">
        <v>-20.0</v>
      </c>
      <c r="M10" s="54">
        <v>-20.0</v>
      </c>
      <c r="N10" s="54">
        <v>-20.0</v>
      </c>
      <c r="O10" s="54">
        <v>-20.0</v>
      </c>
      <c r="P10" s="54">
        <v>-20.0</v>
      </c>
      <c r="Q10" s="54">
        <v>-20.0</v>
      </c>
      <c r="R10" s="54">
        <v>-20.0</v>
      </c>
      <c r="S10" s="54">
        <v>-20.0</v>
      </c>
      <c r="T10" s="54">
        <v>-20.0</v>
      </c>
      <c r="U10" s="54">
        <v>-20.0</v>
      </c>
      <c r="V10" s="54">
        <v>-20.0</v>
      </c>
      <c r="W10" s="54">
        <v>-20.0</v>
      </c>
      <c r="X10" s="54">
        <v>-20.0</v>
      </c>
      <c r="Y10" s="54">
        <v>-20.0</v>
      </c>
      <c r="Z10" s="54">
        <v>-20.0</v>
      </c>
      <c r="AA10" s="54">
        <v>-35.0</v>
      </c>
      <c r="AB10" s="54">
        <v>-35.0</v>
      </c>
      <c r="AC10" s="54">
        <v>-35.0</v>
      </c>
      <c r="AD10" s="54">
        <v>-35.0</v>
      </c>
      <c r="AE10" s="54">
        <v>0</v>
      </c>
      <c r="AF10" s="54">
        <v>0</v>
      </c>
      <c r="AG10" s="54">
        <v>0</v>
      </c>
      <c r="AH10" s="54">
        <v>0</v>
      </c>
      <c r="AI10" s="54">
        <v>0</v>
      </c>
      <c r="AJ10" s="54">
        <v>0</v>
      </c>
      <c r="AK10" s="54">
        <v>0</v>
      </c>
      <c r="AL10" s="54">
        <v>0</v>
      </c>
      <c r="AM10" s="54">
        <v>0</v>
      </c>
      <c r="AN10" s="54">
        <v>0</v>
      </c>
      <c r="AO10" s="54">
        <v>0</v>
      </c>
      <c r="AP10" s="54">
        <v>0</v>
      </c>
      <c r="AQ10" s="54">
        <v>0</v>
      </c>
      <c r="AR10" s="54">
        <v>0</v>
      </c>
      <c r="AS10" s="54">
        <v>0</v>
      </c>
      <c r="AT10" s="54">
        <v>0</v>
      </c>
      <c r="AU10" s="54">
        <v>0</v>
      </c>
      <c r="AV10" s="54">
        <v>0</v>
      </c>
      <c r="AW10" s="54">
        <v>0</v>
      </c>
      <c r="AX10" s="54">
        <v>0</v>
      </c>
      <c r="AY10" s="54">
        <v>0</v>
      </c>
      <c r="AZ10" s="54">
        <v>0</v>
      </c>
      <c r="BA10" s="54">
        <v>0</v>
      </c>
    </row>
    <row r="11" spans="1:53" ht="16" outlineLevel="3">
      <c r="A11" s="42" t="s">
        <v>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4">
        <v>50772.05</v>
      </c>
      <c r="AL11" s="54">
        <v>50901.590000000004</v>
      </c>
      <c r="AM11" s="54">
        <v>51027.270000000004</v>
      </c>
      <c r="AN11" s="54">
        <v>51133.490000000005</v>
      </c>
      <c r="AO11" s="54">
        <v>51389.93000000001</v>
      </c>
      <c r="AP11" s="54">
        <v>51519.630000000005</v>
      </c>
      <c r="AQ11" s="54">
        <v>50716.71000000001</v>
      </c>
      <c r="AR11" s="54">
        <v>49341.090000000004</v>
      </c>
      <c r="AS11" s="54">
        <v>37662.530000000006</v>
      </c>
      <c r="AT11" s="54">
        <v>35635.060000000005</v>
      </c>
      <c r="AU11" s="54">
        <v>37815.520000000004</v>
      </c>
      <c r="AV11" s="54">
        <v>37861.82000000001</v>
      </c>
      <c r="AW11" s="54">
        <v>34454.810000000005</v>
      </c>
      <c r="AX11" s="54">
        <v>7.275957614183426E-12</v>
      </c>
      <c r="AY11" s="54">
        <v>7.275957614183426E-12</v>
      </c>
      <c r="AZ11" s="54">
        <v>7.275957614183426E-12</v>
      </c>
      <c r="BA11" s="54">
        <v>7.275957614183426E-12</v>
      </c>
    </row>
    <row r="12" spans="1:53" ht="16" outlineLevel="3">
      <c r="A12" s="42" t="s">
        <v>9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4">
        <v>45825.0</v>
      </c>
      <c r="AG12" s="54">
        <v>717.8099999999977</v>
      </c>
      <c r="AH12" s="54">
        <v>10717.809999999998</v>
      </c>
      <c r="AI12" s="54">
        <v>10717.809999999998</v>
      </c>
      <c r="AJ12" s="54">
        <v>10717.809999999998</v>
      </c>
      <c r="AK12" s="54">
        <v>999.9999999999982</v>
      </c>
      <c r="AL12" s="54">
        <v>999.9999999999982</v>
      </c>
      <c r="AM12" s="54">
        <v>999.9999999999982</v>
      </c>
      <c r="AN12" s="54">
        <v>999.9999999999982</v>
      </c>
      <c r="AO12" s="54">
        <v>999.9999999999982</v>
      </c>
      <c r="AP12" s="54">
        <v>824.9999999999982</v>
      </c>
      <c r="AQ12" s="54">
        <v>824.9999999999982</v>
      </c>
      <c r="AR12" s="54">
        <v>824.9999999999982</v>
      </c>
      <c r="AS12" s="54">
        <v>824.9999999999982</v>
      </c>
      <c r="AT12" s="54">
        <v>774.9999999999982</v>
      </c>
      <c r="AU12" s="54">
        <v>724.9999999999982</v>
      </c>
      <c r="AV12" s="54">
        <v>724.9999999999982</v>
      </c>
      <c r="AW12" s="54">
        <v>724.9999999999982</v>
      </c>
      <c r="AX12" s="54">
        <v>-1.8189894035458565E-12</v>
      </c>
      <c r="AY12" s="54">
        <v>-1.8189894035458565E-12</v>
      </c>
      <c r="AZ12" s="54">
        <v>-1.8189894035458565E-12</v>
      </c>
      <c r="BA12" s="54">
        <v>-1.8189894035458565E-12</v>
      </c>
    </row>
    <row r="13" spans="1:53" ht="16" outlineLevel="3">
      <c r="A13" s="42" t="s">
        <v>10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4">
        <v>3215.43</v>
      </c>
      <c r="AY13" s="54">
        <v>3220.43</v>
      </c>
      <c r="AZ13" s="54">
        <v>3220.43</v>
      </c>
      <c r="BA13" s="54">
        <v>3220.43</v>
      </c>
    </row>
    <row r="14" spans="1:53" ht="16" outlineLevel="3">
      <c r="A14" s="42" t="s">
        <v>11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4">
        <v>100036.78</v>
      </c>
      <c r="AY14" s="54">
        <v>98330.65</v>
      </c>
      <c r="AZ14" s="54">
        <v>96707.15999999999</v>
      </c>
      <c r="BA14" s="54">
        <v>95048.44999999998</v>
      </c>
    </row>
    <row r="15" spans="1:53" ht="16" outlineLevel="3">
      <c r="A15" s="42" t="s">
        <v>12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4">
        <v>50086.3</v>
      </c>
      <c r="AL15" s="54">
        <v>50277.73</v>
      </c>
      <c r="AM15" s="54">
        <v>50463.69</v>
      </c>
      <c r="AN15" s="54">
        <v>50656.560000000005</v>
      </c>
      <c r="AO15" s="54">
        <v>48412.04000000001</v>
      </c>
      <c r="AP15" s="54">
        <v>48597.07000000001</v>
      </c>
      <c r="AQ15" s="54">
        <v>48748.520000000004</v>
      </c>
      <c r="AR15" s="54">
        <v>48160.450000000004</v>
      </c>
      <c r="AS15" s="54">
        <v>47672.240000000005</v>
      </c>
      <c r="AT15" s="54">
        <v>197342.56</v>
      </c>
      <c r="AU15" s="54">
        <v>197231.58</v>
      </c>
      <c r="AV15" s="54">
        <v>197107.81999999998</v>
      </c>
      <c r="AW15" s="54">
        <v>197050.99</v>
      </c>
      <c r="AX15" s="54">
        <v>96846.56999999999</v>
      </c>
      <c r="AY15" s="54">
        <v>96513.48999999999</v>
      </c>
      <c r="AZ15" s="54">
        <v>96220.82999999999</v>
      </c>
      <c r="BA15" s="54">
        <v>95924.31999999999</v>
      </c>
    </row>
    <row r="16" spans="1:53" ht="16" outlineLevel="3">
      <c r="A16" s="42" t="s">
        <v>13</v>
      </c>
      <c r="B16" s="54">
        <v>300.0</v>
      </c>
      <c r="C16" s="54">
        <v>13531.92</v>
      </c>
      <c r="D16" s="54">
        <v>8406.76</v>
      </c>
      <c r="E16" s="54">
        <v>83479.51999999999</v>
      </c>
      <c r="F16" s="54">
        <v>169728.94999999998</v>
      </c>
      <c r="G16" s="54">
        <v>182033.37999999998</v>
      </c>
      <c r="H16" s="54">
        <v>225241.52999999997</v>
      </c>
      <c r="I16" s="54">
        <v>122697.18999999997</v>
      </c>
      <c r="J16" s="54">
        <v>390012.85</v>
      </c>
      <c r="K16" s="54">
        <v>379294.58999999997</v>
      </c>
      <c r="L16" s="54">
        <v>469010.25</v>
      </c>
      <c r="M16" s="54">
        <v>484162.4</v>
      </c>
      <c r="N16" s="54">
        <v>536042.35</v>
      </c>
      <c r="O16" s="54">
        <v>450628.06</v>
      </c>
      <c r="P16" s="54">
        <v>306573.73</v>
      </c>
      <c r="Q16" s="54">
        <v>254920.36</v>
      </c>
      <c r="R16" s="54">
        <v>183031.46999999997</v>
      </c>
      <c r="S16" s="54">
        <v>94649.39999999997</v>
      </c>
      <c r="T16" s="54">
        <v>125624.60999999996</v>
      </c>
      <c r="U16" s="54">
        <v>239006.03999999995</v>
      </c>
      <c r="V16" s="54">
        <v>244029.67999999996</v>
      </c>
      <c r="W16" s="54">
        <v>335372.42</v>
      </c>
      <c r="X16" s="54">
        <v>206046.83999999997</v>
      </c>
      <c r="Y16" s="54">
        <v>229929.47999999998</v>
      </c>
      <c r="Z16" s="54">
        <v>112494.80999999998</v>
      </c>
      <c r="AA16" s="54">
        <v>230280.83999999997</v>
      </c>
      <c r="AB16" s="54">
        <v>166777.85999999996</v>
      </c>
      <c r="AC16" s="54">
        <v>226309.27999999997</v>
      </c>
      <c r="AD16" s="54">
        <v>194287.39999999997</v>
      </c>
      <c r="AE16" s="54">
        <v>231581.17999999996</v>
      </c>
      <c r="AF16" s="54">
        <v>149537.30999999997</v>
      </c>
      <c r="AG16" s="54">
        <v>212880.00999999995</v>
      </c>
      <c r="AH16" s="54">
        <v>403706.85</v>
      </c>
      <c r="AI16" s="54">
        <v>382932.44</v>
      </c>
      <c r="AJ16" s="54">
        <v>443860.93</v>
      </c>
      <c r="AK16" s="54">
        <v>463401.33999999997</v>
      </c>
      <c r="AL16" s="54">
        <v>393988.42</v>
      </c>
      <c r="AM16" s="54">
        <v>437276.85</v>
      </c>
      <c r="AN16" s="54">
        <v>469057.72</v>
      </c>
      <c r="AO16" s="54">
        <v>341359.85</v>
      </c>
      <c r="AP16" s="54">
        <v>338763.24</v>
      </c>
      <c r="AQ16" s="54">
        <v>370871.92</v>
      </c>
      <c r="AR16" s="54">
        <v>687224.6499999999</v>
      </c>
      <c r="AS16" s="54">
        <v>620053.0199999999</v>
      </c>
      <c r="AT16" s="54">
        <v>459849.7199999999</v>
      </c>
      <c r="AU16" s="54">
        <v>559857.6499999999</v>
      </c>
      <c r="AV16" s="54">
        <v>386508.35999999987</v>
      </c>
      <c r="AW16" s="54">
        <v>362826.03999999986</v>
      </c>
      <c r="AX16" s="54">
        <v>336362.6199999999</v>
      </c>
      <c r="AY16" s="54">
        <v>282806.33999999985</v>
      </c>
      <c r="AZ16" s="54">
        <v>193203.85999999987</v>
      </c>
      <c r="BA16" s="54">
        <v>267551.14999999985</v>
      </c>
    </row>
    <row r="17" spans="1:53" ht="16" outlineLevel="3">
      <c r="A17" s="42" t="s">
        <v>14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4">
        <v>25072.85</v>
      </c>
      <c r="AQ17" s="54">
        <v>25141.109999999997</v>
      </c>
      <c r="AR17" s="54">
        <v>25211.809999999998</v>
      </c>
      <c r="AS17" s="54">
        <v>25289.44</v>
      </c>
      <c r="AT17" s="54">
        <v>25364.789999999997</v>
      </c>
      <c r="AU17" s="54">
        <v>25442.889999999996</v>
      </c>
      <c r="AV17" s="54">
        <v>203836.72999999998</v>
      </c>
      <c r="AW17" s="54">
        <v>204464.36</v>
      </c>
      <c r="AX17" s="54">
        <v>205071.68</v>
      </c>
      <c r="AY17" s="54">
        <v>205627.22</v>
      </c>
      <c r="AZ17" s="54">
        <v>206175.23</v>
      </c>
      <c r="BA17" s="54">
        <v>206667.23</v>
      </c>
    </row>
    <row r="18" spans="1:53" ht="16" outlineLevel="2">
      <c r="A18" s="43" t="s">
        <v>15</v>
      </c>
      <c r="B18" s="55">
        <f>B8+B9+B10+B11+B12+B13+B14+B15+B16+B17</f>
        <v>300.0</v>
      </c>
      <c r="C18" s="55">
        <f>C8+C9+C10+C11+C12+C13+C14+C15+C16+C17</f>
        <v>13531.92</v>
      </c>
      <c r="D18" s="55">
        <f>D8+D9+D10+D11+D12+D13+D14+D15+D16+D17</f>
        <v>8386.76</v>
      </c>
      <c r="E18" s="55">
        <f>E8+E9+E10+E11+E12+E13+E14+E15+E16+E17</f>
        <v>83459.51999999999</v>
      </c>
      <c r="F18" s="55">
        <f>F8+F9+F10+F11+F12+F13+F14+F15+F16+F17</f>
        <v>169708.94999999998</v>
      </c>
      <c r="G18" s="55">
        <f>G8+G9+G10+G11+G12+G13+G14+G15+G16+G17</f>
        <v>182013.37999999998</v>
      </c>
      <c r="H18" s="55">
        <f>H8+H9+H10+H11+H12+H13+H14+H15+H16+H17</f>
        <v>225221.52999999997</v>
      </c>
      <c r="I18" s="55">
        <f>I8+I9+I10+I11+I12+I13+I14+I15+I16+I17</f>
        <v>122677.18999999997</v>
      </c>
      <c r="J18" s="55">
        <f>J8+J9+J10+J11+J12+J13+J14+J15+J16+J17</f>
        <v>389992.85</v>
      </c>
      <c r="K18" s="55">
        <f>K8+K9+K10+K11+K12+K13+K14+K15+K16+K17</f>
        <v>379274.58999999997</v>
      </c>
      <c r="L18" s="55">
        <f>L8+L9+L10+L11+L12+L13+L14+L15+L16+L17</f>
        <v>468990.25</v>
      </c>
      <c r="M18" s="55">
        <f>M8+M9+M10+M11+M12+M13+M14+M15+M16+M17</f>
        <v>484142.4</v>
      </c>
      <c r="N18" s="55">
        <f>N8+N9+N10+N11+N12+N13+N14+N15+N16+N17</f>
        <v>536122.35</v>
      </c>
      <c r="O18" s="55">
        <f>O8+O9+O10+O11+O12+O13+O14+O15+O16+O17</f>
        <v>450708.06</v>
      </c>
      <c r="P18" s="55">
        <f>P8+P9+P10+P11+P12+P13+P14+P15+P16+P17</f>
        <v>306653.73</v>
      </c>
      <c r="Q18" s="55">
        <f>Q8+Q9+Q10+Q11+Q12+Q13+Q14+Q15+Q16+Q17</f>
        <v>255000.36</v>
      </c>
      <c r="R18" s="55">
        <f>R8+R9+R10+R11+R12+R13+R14+R15+R16+R17</f>
        <v>183111.46999999997</v>
      </c>
      <c r="S18" s="55">
        <f>S8+S9+S10+S11+S12+S13+S14+S15+S16+S17</f>
        <v>94729.39999999997</v>
      </c>
      <c r="T18" s="55">
        <f>T8+T9+T10+T11+T12+T13+T14+T15+T16+T17</f>
        <v>125704.60999999996</v>
      </c>
      <c r="U18" s="55">
        <f>U8+U9+U10+U11+U12+U13+U14+U15+U16+U17</f>
        <v>239086.03999999995</v>
      </c>
      <c r="V18" s="55">
        <f>V8+V9+V10+V11+V12+V13+V14+V15+V16+V17</f>
        <v>244109.67999999996</v>
      </c>
      <c r="W18" s="55">
        <f>W8+W9+W10+W11+W12+W13+W14+W15+W16+W17</f>
        <v>335452.42</v>
      </c>
      <c r="X18" s="55">
        <f>X8+X9+X10+X11+X12+X13+X14+X15+X16+X17</f>
        <v>266126.83999999997</v>
      </c>
      <c r="Y18" s="55">
        <f>Y8+Y9+Y10+Y11+Y12+Y13+Y14+Y15+Y16+Y17</f>
        <v>295009.48</v>
      </c>
      <c r="Z18" s="55">
        <f>Z8+Z9+Z10+Z11+Z12+Z13+Z14+Z15+Z16+Z17</f>
        <v>162574.81</v>
      </c>
      <c r="AA18" s="55">
        <f>AA8+AA9+AA10+AA11+AA12+AA13+AA14+AA15+AA16+AA17</f>
        <v>310345.83999999997</v>
      </c>
      <c r="AB18" s="55">
        <f>AB8+AB9+AB10+AB11+AB12+AB13+AB14+AB15+AB16+AB17</f>
        <v>206842.85999999996</v>
      </c>
      <c r="AC18" s="55">
        <f>AC8+AC9+AC10+AC11+AC12+AC13+AC14+AC15+AC16+AC17</f>
        <v>266374.27999999997</v>
      </c>
      <c r="AD18" s="55">
        <f>AD8+AD9+AD10+AD11+AD12+AD13+AD14+AD15+AD16+AD17</f>
        <v>204352.39999999997</v>
      </c>
      <c r="AE18" s="55">
        <f>AE8+AE9+AE10+AE11+AE12+AE13+AE14+AE15+AE16+AE17</f>
        <v>241681.17999999996</v>
      </c>
      <c r="AF18" s="55">
        <f>AF8+AF9+AF10+AF11+AF12+AF13+AF14+AF15+AF16+AF17</f>
        <v>205462.30999999997</v>
      </c>
      <c r="AG18" s="55">
        <f>AG8+AG9+AG10+AG11+AG12+AG13+AG14+AG15+AG16+AG17</f>
        <v>223697.81999999995</v>
      </c>
      <c r="AH18" s="55">
        <f>AH8+AH9+AH10+AH11+AH12+AH13+AH14+AH15+AH16+AH17</f>
        <v>424524.66</v>
      </c>
      <c r="AI18" s="55">
        <f>AI8+AI9+AI10+AI11+AI12+AI13+AI14+AI15+AI16+AI17</f>
        <v>403750.25</v>
      </c>
      <c r="AJ18" s="55">
        <f>AJ8+AJ9+AJ10+AJ11+AJ12+AJ13+AJ14+AJ15+AJ16+AJ17</f>
        <v>464678.74</v>
      </c>
      <c r="AK18" s="55">
        <f>AK8+AK9+AK10+AK11+AK12+AK13+AK14+AK15+AK16+AK17</f>
        <v>575359.69</v>
      </c>
      <c r="AL18" s="55">
        <f>AL8+AL9+AL10+AL11+AL12+AL13+AL14+AL15+AL16+AL17</f>
        <v>496167.74</v>
      </c>
      <c r="AM18" s="55">
        <f>AM8+AM9+AM10+AM11+AM12+AM13+AM14+AM15+AM16+AM17</f>
        <v>539767.8099999999</v>
      </c>
      <c r="AN18" s="55">
        <f>AN8+AN9+AN10+AN11+AN12+AN13+AN14+AN15+AN16+AN17</f>
        <v>571847.77</v>
      </c>
      <c r="AO18" s="55">
        <f>AO8+AO9+AO10+AO11+AO12+AO13+AO14+AO15+AO16+AO17</f>
        <v>442161.82</v>
      </c>
      <c r="AP18" s="55">
        <f>AP8+AP9+AP10+AP11+AP12+AP13+AP14+AP15+AP16+AP17</f>
        <v>464777.79</v>
      </c>
      <c r="AQ18" s="55">
        <f>AQ8+AQ9+AQ10+AQ11+AQ12+AQ13+AQ14+AQ15+AQ16+AQ17</f>
        <v>496303.26</v>
      </c>
      <c r="AR18" s="55">
        <f>AR8+AR9+AR10+AR11+AR12+AR13+AR14+AR15+AR16+AR17</f>
        <v>810763.0</v>
      </c>
      <c r="AS18" s="55">
        <f>AS8+AS9+AS10+AS11+AS12+AS13+AS14+AS15+AS16+AS17</f>
        <v>731502.2299999999</v>
      </c>
      <c r="AT18" s="55">
        <f>AT8+AT9+AT10+AT11+AT12+AT13+AT14+AT15+AT16+AT17</f>
        <v>718967.1299999999</v>
      </c>
      <c r="AU18" s="55">
        <f>AU8+AU9+AU10+AU11+AU12+AU13+AU14+AU15+AU16+AU17</f>
        <v>821072.6399999999</v>
      </c>
      <c r="AV18" s="55">
        <f>AV8+AV9+AV10+AV11+AV12+AV13+AV14+AV15+AV16+AV17</f>
        <v>826039.7299999999</v>
      </c>
      <c r="AW18" s="55">
        <f>AW8+AW9+AW10+AW11+AW12+AW13+AW14+AW15+AW16+AW17</f>
        <v>799521.1999999998</v>
      </c>
      <c r="AX18" s="55">
        <f>AX8+AX9+AX10+AX11+AX12+AX13+AX14+AX15+AX16+AX17</f>
        <v>741533.0799999998</v>
      </c>
      <c r="AY18" s="55">
        <f>AY8+AY9+AY10+AY11+AY12+AY13+AY14+AY15+AY16+AY17</f>
        <v>686498.1299999999</v>
      </c>
      <c r="AZ18" s="55">
        <f>AZ8+AZ9+AZ10+AZ11+AZ12+AZ13+AZ14+AZ15+AZ16+AZ17</f>
        <v>595527.5099999999</v>
      </c>
      <c r="BA18" s="55">
        <f>BA8+BA9+BA10+BA11+BA12+BA13+BA14+BA15+BA16+BA17</f>
        <v>668411.5799999998</v>
      </c>
    </row>
    <row r="19" spans="1:53" ht="16" outlineLevel="2">
      <c r="A19" s="41" t="s">
        <v>16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</row>
    <row r="20" spans="1:53" ht="16" outlineLevel="3">
      <c r="A20" s="42" t="s">
        <v>17</v>
      </c>
      <c r="B20" s="54">
        <v>465.0</v>
      </c>
      <c r="C20" s="54">
        <v>28774.38</v>
      </c>
      <c r="D20" s="54">
        <v>72019.96</v>
      </c>
      <c r="E20" s="54">
        <v>79313.0</v>
      </c>
      <c r="F20" s="54">
        <v>85907.5</v>
      </c>
      <c r="G20" s="54">
        <v>164278.25</v>
      </c>
      <c r="H20" s="54">
        <v>164550.75</v>
      </c>
      <c r="I20" s="54">
        <v>342289.0</v>
      </c>
      <c r="J20" s="54">
        <v>251192.25</v>
      </c>
      <c r="K20" s="54">
        <v>232788.25</v>
      </c>
      <c r="L20" s="54">
        <v>199211.75</v>
      </c>
      <c r="M20" s="54">
        <v>270159.25</v>
      </c>
      <c r="N20" s="54">
        <v>214575.0</v>
      </c>
      <c r="O20" s="54">
        <v>164447.25</v>
      </c>
      <c r="P20" s="54">
        <v>325028.75</v>
      </c>
      <c r="Q20" s="54">
        <v>368858.0</v>
      </c>
      <c r="R20" s="54">
        <v>274911.75</v>
      </c>
      <c r="S20" s="54">
        <v>496396.69</v>
      </c>
      <c r="T20" s="54">
        <v>549259.19</v>
      </c>
      <c r="U20" s="54">
        <v>417977.23999999993</v>
      </c>
      <c r="V20" s="54">
        <v>375811.13999999996</v>
      </c>
      <c r="W20" s="54">
        <v>395866.39999999997</v>
      </c>
      <c r="X20" s="54">
        <v>425772.37999999995</v>
      </c>
      <c r="Y20" s="54">
        <v>487165.93999999994</v>
      </c>
      <c r="Z20" s="54">
        <v>543545.0399999999</v>
      </c>
      <c r="AA20" s="54">
        <v>506354.4799999999</v>
      </c>
      <c r="AB20" s="54">
        <v>587247.2699999999</v>
      </c>
      <c r="AC20" s="54">
        <v>470407.60999999987</v>
      </c>
      <c r="AD20" s="54">
        <v>454173.51999999984</v>
      </c>
      <c r="AE20" s="54">
        <v>363042.27999999985</v>
      </c>
      <c r="AF20" s="54">
        <v>483691.08999999985</v>
      </c>
      <c r="AG20" s="54">
        <v>566251.1299999999</v>
      </c>
      <c r="AH20" s="54">
        <v>460036.5299999999</v>
      </c>
      <c r="AI20" s="54">
        <v>488873.8899999999</v>
      </c>
      <c r="AJ20" s="54">
        <v>496636.6499999999</v>
      </c>
      <c r="AK20" s="54">
        <v>514699.3599999999</v>
      </c>
      <c r="AL20" s="54">
        <v>620364.8099999999</v>
      </c>
      <c r="AM20" s="54">
        <v>603068.96</v>
      </c>
      <c r="AN20" s="54">
        <v>491642.02999999997</v>
      </c>
      <c r="AO20" s="54">
        <v>796457.3</v>
      </c>
      <c r="AP20" s="54">
        <v>694207.1200000001</v>
      </c>
      <c r="AQ20" s="54">
        <v>712190.5900000001</v>
      </c>
      <c r="AR20" s="54">
        <v>447167.44000000006</v>
      </c>
      <c r="AS20" s="54">
        <v>487241.41000000003</v>
      </c>
      <c r="AT20" s="54">
        <v>456018.51</v>
      </c>
      <c r="AU20" s="54">
        <v>327044.36</v>
      </c>
      <c r="AV20" s="54">
        <v>375590.11</v>
      </c>
      <c r="AW20" s="54">
        <v>370452.98</v>
      </c>
      <c r="AX20" s="54">
        <v>375780.29</v>
      </c>
      <c r="AY20" s="54">
        <v>551365.04</v>
      </c>
      <c r="AZ20" s="54">
        <v>714524.74</v>
      </c>
      <c r="BA20" s="54">
        <v>739120.0599999999</v>
      </c>
    </row>
    <row r="21" spans="1:53" ht="16" outlineLevel="2">
      <c r="A21" s="43" t="s">
        <v>18</v>
      </c>
      <c r="B21" s="55">
        <f>B19+B20</f>
        <v>465.0</v>
      </c>
      <c r="C21" s="55">
        <f>C19+C20</f>
        <v>28774.38</v>
      </c>
      <c r="D21" s="55">
        <f>D19+D20</f>
        <v>72019.96</v>
      </c>
      <c r="E21" s="55">
        <f>E19+E20</f>
        <v>79313.0</v>
      </c>
      <c r="F21" s="55">
        <f>F19+F20</f>
        <v>85907.5</v>
      </c>
      <c r="G21" s="55">
        <f>G19+G20</f>
        <v>164278.25</v>
      </c>
      <c r="H21" s="55">
        <f>H19+H20</f>
        <v>164550.75</v>
      </c>
      <c r="I21" s="55">
        <f>I19+I20</f>
        <v>342289.0</v>
      </c>
      <c r="J21" s="55">
        <f>J19+J20</f>
        <v>251192.25</v>
      </c>
      <c r="K21" s="55">
        <f>K19+K20</f>
        <v>232788.25</v>
      </c>
      <c r="L21" s="55">
        <f>L19+L20</f>
        <v>199211.75</v>
      </c>
      <c r="M21" s="55">
        <f>M19+M20</f>
        <v>270159.25</v>
      </c>
      <c r="N21" s="55">
        <f>N19+N20</f>
        <v>214575.0</v>
      </c>
      <c r="O21" s="55">
        <f>O19+O20</f>
        <v>164447.25</v>
      </c>
      <c r="P21" s="55">
        <f>P19+P20</f>
        <v>325028.75</v>
      </c>
      <c r="Q21" s="55">
        <f>Q19+Q20</f>
        <v>368858.0</v>
      </c>
      <c r="R21" s="55">
        <f>R19+R20</f>
        <v>274911.75</v>
      </c>
      <c r="S21" s="55">
        <f>S19+S20</f>
        <v>496396.69</v>
      </c>
      <c r="T21" s="55">
        <f>T19+T20</f>
        <v>549259.19</v>
      </c>
      <c r="U21" s="55">
        <f>U19+U20</f>
        <v>417977.23999999993</v>
      </c>
      <c r="V21" s="55">
        <f>V19+V20</f>
        <v>375811.13999999996</v>
      </c>
      <c r="W21" s="55">
        <f>W19+W20</f>
        <v>395866.39999999997</v>
      </c>
      <c r="X21" s="55">
        <f>X19+X20</f>
        <v>425772.37999999995</v>
      </c>
      <c r="Y21" s="55">
        <f>Y19+Y20</f>
        <v>487165.93999999994</v>
      </c>
      <c r="Z21" s="55">
        <f>Z19+Z20</f>
        <v>543545.0399999999</v>
      </c>
      <c r="AA21" s="55">
        <f>AA19+AA20</f>
        <v>506354.4799999999</v>
      </c>
      <c r="AB21" s="55">
        <f>AB19+AB20</f>
        <v>587247.2699999999</v>
      </c>
      <c r="AC21" s="55">
        <f>AC19+AC20</f>
        <v>470407.60999999987</v>
      </c>
      <c r="AD21" s="55">
        <f>AD19+AD20</f>
        <v>454173.51999999984</v>
      </c>
      <c r="AE21" s="55">
        <f>AE19+AE20</f>
        <v>363042.27999999985</v>
      </c>
      <c r="AF21" s="55">
        <f>AF19+AF20</f>
        <v>483691.08999999985</v>
      </c>
      <c r="AG21" s="55">
        <f>AG19+AG20</f>
        <v>566251.1299999999</v>
      </c>
      <c r="AH21" s="55">
        <f>AH19+AH20</f>
        <v>460036.5299999999</v>
      </c>
      <c r="AI21" s="55">
        <f>AI19+AI20</f>
        <v>488873.8899999999</v>
      </c>
      <c r="AJ21" s="55">
        <f>AJ19+AJ20</f>
        <v>496636.6499999999</v>
      </c>
      <c r="AK21" s="55">
        <f>AK19+AK20</f>
        <v>514699.3599999999</v>
      </c>
      <c r="AL21" s="55">
        <f>AL19+AL20</f>
        <v>620364.8099999999</v>
      </c>
      <c r="AM21" s="55">
        <f>AM19+AM20</f>
        <v>603068.96</v>
      </c>
      <c r="AN21" s="55">
        <f>AN19+AN20</f>
        <v>491642.02999999997</v>
      </c>
      <c r="AO21" s="55">
        <f>AO19+AO20</f>
        <v>796457.3</v>
      </c>
      <c r="AP21" s="55">
        <f>AP19+AP20</f>
        <v>694207.1200000001</v>
      </c>
      <c r="AQ21" s="55">
        <f>AQ19+AQ20</f>
        <v>712190.5900000001</v>
      </c>
      <c r="AR21" s="55">
        <f>AR19+AR20</f>
        <v>447167.44000000006</v>
      </c>
      <c r="AS21" s="55">
        <f>AS19+AS20</f>
        <v>487241.41000000003</v>
      </c>
      <c r="AT21" s="55">
        <f>AT19+AT20</f>
        <v>456018.51</v>
      </c>
      <c r="AU21" s="55">
        <f>AU19+AU20</f>
        <v>327044.36</v>
      </c>
      <c r="AV21" s="55">
        <f>AV19+AV20</f>
        <v>375590.11</v>
      </c>
      <c r="AW21" s="55">
        <f>AW19+AW20</f>
        <v>370452.98</v>
      </c>
      <c r="AX21" s="55">
        <f>AX19+AX20</f>
        <v>375780.29</v>
      </c>
      <c r="AY21" s="55">
        <f>AY19+AY20</f>
        <v>551365.04</v>
      </c>
      <c r="AZ21" s="55">
        <f>AZ19+AZ20</f>
        <v>714524.74</v>
      </c>
      <c r="BA21" s="55">
        <f>BA19+BA20</f>
        <v>739120.0599999999</v>
      </c>
    </row>
    <row r="22" spans="1:53" ht="16" outlineLevel="2">
      <c r="A22" s="41" t="s">
        <v>19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</row>
    <row r="23" spans="1:53" ht="16" outlineLevel="3">
      <c r="A23" s="42" t="s">
        <v>20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>
        <v>500.0</v>
      </c>
      <c r="R23" s="54">
        <v>1000.0</v>
      </c>
      <c r="S23" s="54">
        <v>1000.0</v>
      </c>
      <c r="T23" s="54">
        <v>1000.0</v>
      </c>
      <c r="U23" s="54">
        <v>1000.0</v>
      </c>
      <c r="V23" s="54">
        <v>1000.0</v>
      </c>
      <c r="W23" s="54">
        <v>1000.0</v>
      </c>
      <c r="X23" s="54">
        <v>1500.0</v>
      </c>
      <c r="Y23" s="54">
        <v>1000.0</v>
      </c>
      <c r="Z23" s="54">
        <v>999.03</v>
      </c>
      <c r="AA23" s="54">
        <v>999.03</v>
      </c>
      <c r="AB23" s="54">
        <v>999.03</v>
      </c>
      <c r="AC23" s="54">
        <v>999.03</v>
      </c>
      <c r="AD23" s="54">
        <v>999.03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54">
        <v>0</v>
      </c>
      <c r="AN23" s="54">
        <v>0</v>
      </c>
      <c r="AO23" s="54">
        <v>0</v>
      </c>
      <c r="AP23" s="54">
        <v>0</v>
      </c>
      <c r="AQ23" s="54">
        <v>0</v>
      </c>
      <c r="AR23" s="54">
        <v>0</v>
      </c>
      <c r="AS23" s="54">
        <v>0</v>
      </c>
      <c r="AT23" s="54">
        <v>0</v>
      </c>
      <c r="AU23" s="54">
        <v>0</v>
      </c>
      <c r="AV23" s="54">
        <v>0</v>
      </c>
      <c r="AW23" s="54">
        <v>0</v>
      </c>
      <c r="AX23" s="54">
        <v>0</v>
      </c>
      <c r="AY23" s="54">
        <v>0</v>
      </c>
      <c r="AZ23" s="54">
        <v>0</v>
      </c>
      <c r="BA23" s="54">
        <v>0</v>
      </c>
    </row>
    <row r="24" spans="1:53" ht="16" outlineLevel="3">
      <c r="A24" s="42" t="s">
        <v>21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4">
        <v>18949.93</v>
      </c>
      <c r="AI24" s="54">
        <v>15982.62</v>
      </c>
      <c r="AJ24" s="54">
        <v>15982.62</v>
      </c>
      <c r="AK24" s="54">
        <v>1000.0</v>
      </c>
      <c r="AL24" s="54">
        <v>25230.36</v>
      </c>
      <c r="AM24" s="54">
        <v>48219.380000000005</v>
      </c>
      <c r="AN24" s="54">
        <v>42837.82000000001</v>
      </c>
      <c r="AO24" s="54">
        <v>33399.33000000001</v>
      </c>
      <c r="AP24" s="54">
        <v>22255.110000000008</v>
      </c>
      <c r="AQ24" s="54">
        <v>10964.050000000008</v>
      </c>
      <c r="AR24" s="54">
        <v>6079.590000000008</v>
      </c>
      <c r="AS24" s="54">
        <v>5613.050000000008</v>
      </c>
      <c r="AT24" s="54">
        <v>5146.510000000008</v>
      </c>
      <c r="AU24" s="54">
        <v>5146.510000000008</v>
      </c>
      <c r="AV24" s="54">
        <v>5146.510000000008</v>
      </c>
      <c r="AW24" s="54">
        <v>5146.510000000008</v>
      </c>
      <c r="AX24" s="54">
        <v>5146.510000000008</v>
      </c>
      <c r="AY24" s="54">
        <v>5146.510000000008</v>
      </c>
      <c r="AZ24" s="54">
        <v>5146.510000000008</v>
      </c>
      <c r="BA24" s="54">
        <v>5146.510000000008</v>
      </c>
    </row>
    <row r="25" spans="1:53" ht="16" outlineLevel="3">
      <c r="A25" s="42" t="s">
        <v>22</v>
      </c>
      <c r="B25" s="53"/>
      <c r="C25" s="53"/>
      <c r="D25" s="53"/>
      <c r="E25" s="53"/>
      <c r="F25" s="53"/>
      <c r="G25" s="53"/>
      <c r="H25" s="53"/>
      <c r="I25" s="53"/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0</v>
      </c>
      <c r="P25" s="54">
        <v>0</v>
      </c>
      <c r="Q25" s="54">
        <v>0</v>
      </c>
      <c r="R25" s="54">
        <v>0</v>
      </c>
      <c r="S25" s="54">
        <v>0</v>
      </c>
      <c r="T25" s="54">
        <v>0</v>
      </c>
      <c r="U25" s="54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4">
        <v>0</v>
      </c>
      <c r="AE25" s="54">
        <v>0</v>
      </c>
      <c r="AF25" s="54">
        <v>0</v>
      </c>
      <c r="AG25" s="54">
        <v>-1003.5</v>
      </c>
      <c r="AH25" s="54">
        <v>-16805.75</v>
      </c>
      <c r="AI25" s="54">
        <v>0</v>
      </c>
      <c r="AJ25" s="54">
        <v>0</v>
      </c>
      <c r="AK25" s="54">
        <v>0</v>
      </c>
      <c r="AL25" s="54">
        <v>0</v>
      </c>
      <c r="AM25" s="54">
        <v>0</v>
      </c>
      <c r="AN25" s="54">
        <v>-617.5</v>
      </c>
      <c r="AO25" s="54">
        <v>0</v>
      </c>
      <c r="AP25" s="54">
        <v>0</v>
      </c>
      <c r="AQ25" s="54">
        <v>0</v>
      </c>
      <c r="AR25" s="54">
        <v>0</v>
      </c>
      <c r="AS25" s="54">
        <v>0</v>
      </c>
      <c r="AT25" s="54">
        <v>0</v>
      </c>
      <c r="AU25" s="54">
        <v>0</v>
      </c>
      <c r="AV25" s="54">
        <v>0</v>
      </c>
      <c r="AW25" s="54">
        <v>0</v>
      </c>
      <c r="AX25" s="54">
        <v>0</v>
      </c>
      <c r="AY25" s="54">
        <v>0</v>
      </c>
      <c r="AZ25" s="54">
        <v>0</v>
      </c>
      <c r="BA25" s="54">
        <v>0</v>
      </c>
    </row>
    <row r="26" spans="1:53" ht="16" outlineLevel="3">
      <c r="A26" s="42" t="s">
        <v>23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4">
        <v>0</v>
      </c>
      <c r="AP26" s="54">
        <v>0</v>
      </c>
      <c r="AQ26" s="54">
        <v>0</v>
      </c>
      <c r="AR26" s="54">
        <v>0</v>
      </c>
      <c r="AS26" s="54">
        <v>0</v>
      </c>
      <c r="AT26" s="54">
        <v>0</v>
      </c>
      <c r="AU26" s="54">
        <v>0</v>
      </c>
      <c r="AV26" s="54">
        <v>0</v>
      </c>
      <c r="AW26" s="54">
        <v>0</v>
      </c>
      <c r="AX26" s="54">
        <v>0</v>
      </c>
      <c r="AY26" s="54">
        <v>0</v>
      </c>
      <c r="AZ26" s="54">
        <v>0</v>
      </c>
      <c r="BA26" s="54">
        <v>0</v>
      </c>
    </row>
    <row r="27" spans="1:53" ht="16" outlineLevel="2">
      <c r="A27" s="43" t="s">
        <v>24</v>
      </c>
      <c r="B27" s="55"/>
      <c r="C27" s="55"/>
      <c r="D27" s="55"/>
      <c r="E27" s="55"/>
      <c r="F27" s="55"/>
      <c r="G27" s="55"/>
      <c r="H27" s="55"/>
      <c r="I27" s="55"/>
      <c r="J27" s="55">
        <f>J22+J23+J24+J25+J26</f>
        <v>0.0</v>
      </c>
      <c r="K27" s="55">
        <f>K22+K23+K24+K25+K26</f>
        <v>0.0</v>
      </c>
      <c r="L27" s="55">
        <f>L22+L23+L24+L25+L26</f>
        <v>0.0</v>
      </c>
      <c r="M27" s="55">
        <f>M22+M23+M24+M25+M26</f>
        <v>0.0</v>
      </c>
      <c r="N27" s="55">
        <f>N22+N23+N24+N25+N26</f>
        <v>0.0</v>
      </c>
      <c r="O27" s="55">
        <f>O22+O23+O24+O25+O26</f>
        <v>0.0</v>
      </c>
      <c r="P27" s="55">
        <f>P22+P23+P24+P25+P26</f>
        <v>0.0</v>
      </c>
      <c r="Q27" s="55">
        <f>Q22+Q23+Q24+Q25+Q26</f>
        <v>500.0</v>
      </c>
      <c r="R27" s="55">
        <f>R22+R23+R24+R25+R26</f>
        <v>1000.0</v>
      </c>
      <c r="S27" s="55">
        <f>S22+S23+S24+S25+S26</f>
        <v>1000.0</v>
      </c>
      <c r="T27" s="55">
        <f>T22+T23+T24+T25+T26</f>
        <v>1000.0</v>
      </c>
      <c r="U27" s="55">
        <f>U22+U23+U24+U25+U26</f>
        <v>1000.0</v>
      </c>
      <c r="V27" s="55">
        <f>V22+V23+V24+V25+V26</f>
        <v>1000.0</v>
      </c>
      <c r="W27" s="55">
        <f>W22+W23+W24+W25+W26</f>
        <v>1000.0</v>
      </c>
      <c r="X27" s="55">
        <f>X22+X23+X24+X25+X26</f>
        <v>1500.0</v>
      </c>
      <c r="Y27" s="55">
        <f>Y22+Y23+Y24+Y25+Y26</f>
        <v>1000.0</v>
      </c>
      <c r="Z27" s="55">
        <f>Z22+Z23+Z24+Z25+Z26</f>
        <v>999.03</v>
      </c>
      <c r="AA27" s="55">
        <f>AA22+AA23+AA24+AA25+AA26</f>
        <v>999.03</v>
      </c>
      <c r="AB27" s="55">
        <f>AB22+AB23+AB24+AB25+AB26</f>
        <v>999.03</v>
      </c>
      <c r="AC27" s="55">
        <f>AC22+AC23+AC24+AC25+AC26</f>
        <v>999.03</v>
      </c>
      <c r="AD27" s="55">
        <f>AD22+AD23+AD24+AD25+AD26</f>
        <v>999.03</v>
      </c>
      <c r="AE27" s="55">
        <f>AE22+AE23+AE24+AE25+AE26</f>
        <v>0.0</v>
      </c>
      <c r="AF27" s="55">
        <f>AF22+AF23+AF24+AF25+AF26</f>
        <v>0.0</v>
      </c>
      <c r="AG27" s="55">
        <f>AG22+AG23+AG24+AG25+AG26</f>
        <v>-1003.5</v>
      </c>
      <c r="AH27" s="55">
        <f>AH22+AH23+AH24+AH25+AH26</f>
        <v>2144.1800000000003</v>
      </c>
      <c r="AI27" s="55">
        <f>AI22+AI23+AI24+AI25+AI26</f>
        <v>15982.62</v>
      </c>
      <c r="AJ27" s="55">
        <f>AJ22+AJ23+AJ24+AJ25+AJ26</f>
        <v>15982.62</v>
      </c>
      <c r="AK27" s="55">
        <f>AK22+AK23+AK24+AK25+AK26</f>
        <v>1000.0</v>
      </c>
      <c r="AL27" s="55">
        <f>AL22+AL23+AL24+AL25+AL26</f>
        <v>25230.36</v>
      </c>
      <c r="AM27" s="55">
        <f>AM22+AM23+AM24+AM25+AM26</f>
        <v>48219.380000000005</v>
      </c>
      <c r="AN27" s="55">
        <f>AN22+AN23+AN24+AN25+AN26</f>
        <v>42220.32000000001</v>
      </c>
      <c r="AO27" s="55">
        <f>AO22+AO23+AO24+AO25+AO26</f>
        <v>33399.33000000001</v>
      </c>
      <c r="AP27" s="55">
        <f>AP22+AP23+AP24+AP25+AP26</f>
        <v>22255.110000000008</v>
      </c>
      <c r="AQ27" s="55">
        <f>AQ22+AQ23+AQ24+AQ25+AQ26</f>
        <v>10964.050000000008</v>
      </c>
      <c r="AR27" s="55">
        <f>AR22+AR23+AR24+AR25+AR26</f>
        <v>6079.590000000008</v>
      </c>
      <c r="AS27" s="55">
        <f>AS22+AS23+AS24+AS25+AS26</f>
        <v>5613.050000000008</v>
      </c>
      <c r="AT27" s="55">
        <f>AT22+AT23+AT24+AT25+AT26</f>
        <v>5146.510000000008</v>
      </c>
      <c r="AU27" s="55">
        <f>AU22+AU23+AU24+AU25+AU26</f>
        <v>5146.510000000008</v>
      </c>
      <c r="AV27" s="55">
        <f>AV22+AV23+AV24+AV25+AV26</f>
        <v>5146.510000000008</v>
      </c>
      <c r="AW27" s="55">
        <f>AW22+AW23+AW24+AW25+AW26</f>
        <v>5146.510000000008</v>
      </c>
      <c r="AX27" s="55">
        <f>AX22+AX23+AX24+AX25+AX26</f>
        <v>5146.510000000008</v>
      </c>
      <c r="AY27" s="55">
        <f>AY22+AY23+AY24+AY25+AY26</f>
        <v>5146.510000000008</v>
      </c>
      <c r="AZ27" s="55">
        <f>AZ22+AZ23+AZ24+AZ25+AZ26</f>
        <v>5146.510000000008</v>
      </c>
      <c r="BA27" s="55">
        <f>BA22+BA23+BA24+BA25+BA26</f>
        <v>5146.510000000008</v>
      </c>
    </row>
    <row r="28" spans="1:53" ht="16" outlineLevel="1">
      <c r="A28" s="44" t="s">
        <v>25</v>
      </c>
      <c r="B28" s="55">
        <f>B7+B18+B21+B27</f>
        <v>765.0</v>
      </c>
      <c r="C28" s="55">
        <f>C7+C18+C21+C27</f>
        <v>42306.3</v>
      </c>
      <c r="D28" s="55">
        <f>D7+D18+D21+D27</f>
        <v>80406.72</v>
      </c>
      <c r="E28" s="55">
        <f>E7+E18+E21+E27</f>
        <v>162772.52</v>
      </c>
      <c r="F28" s="55">
        <f>F7+F18+F21+F27</f>
        <v>255616.44999999998</v>
      </c>
      <c r="G28" s="55">
        <f>G7+G18+G21+G27</f>
        <v>346291.63</v>
      </c>
      <c r="H28" s="55">
        <f>H7+H18+H21+H27</f>
        <v>389772.27999999997</v>
      </c>
      <c r="I28" s="55">
        <f>I7+I18+I21+I27</f>
        <v>464966.18999999994</v>
      </c>
      <c r="J28" s="55">
        <f>J7+J18+J21+J27</f>
        <v>641185.1</v>
      </c>
      <c r="K28" s="55">
        <f>K7+K18+K21+K27</f>
        <v>612062.84</v>
      </c>
      <c r="L28" s="55">
        <f>L7+L18+L21+L27</f>
        <v>668202.0</v>
      </c>
      <c r="M28" s="55">
        <f>M7+M18+M21+M27</f>
        <v>754301.65</v>
      </c>
      <c r="N28" s="55">
        <f>N7+N18+N21+N27</f>
        <v>750697.35</v>
      </c>
      <c r="O28" s="55">
        <f>O7+O18+O21+O27</f>
        <v>615155.31</v>
      </c>
      <c r="P28" s="55">
        <f>P7+P18+P21+P27</f>
        <v>631682.48</v>
      </c>
      <c r="Q28" s="55">
        <f>Q7+Q18+Q21+Q27</f>
        <v>624358.36</v>
      </c>
      <c r="R28" s="55">
        <f>R7+R18+R21+R27</f>
        <v>459023.22</v>
      </c>
      <c r="S28" s="55">
        <f>S7+S18+S21+S27</f>
        <v>592126.09</v>
      </c>
      <c r="T28" s="55">
        <f>T7+T18+T21+T27</f>
        <v>675963.7999999999</v>
      </c>
      <c r="U28" s="55">
        <f>U7+U18+U21+U27</f>
        <v>658063.2799999999</v>
      </c>
      <c r="V28" s="55">
        <f>V7+V18+V21+V27</f>
        <v>620920.82</v>
      </c>
      <c r="W28" s="55">
        <f>W7+W18+W21+W27</f>
        <v>732318.82</v>
      </c>
      <c r="X28" s="55">
        <f>X7+X18+X21+X27</f>
        <v>693399.22</v>
      </c>
      <c r="Y28" s="55">
        <f>Y7+Y18+Y21+Y27</f>
        <v>783175.4199999999</v>
      </c>
      <c r="Z28" s="55">
        <f>Z7+Z18+Z21+Z27</f>
        <v>707118.8799999999</v>
      </c>
      <c r="AA28" s="55">
        <f>AA7+AA18+AA21+AA27</f>
        <v>817699.3499999999</v>
      </c>
      <c r="AB28" s="55">
        <f>AB7+AB18+AB21+AB27</f>
        <v>795089.1599999999</v>
      </c>
      <c r="AC28" s="55">
        <f>AC7+AC18+AC21+AC27</f>
        <v>737780.9199999999</v>
      </c>
      <c r="AD28" s="55">
        <f>AD7+AD18+AD21+AD27</f>
        <v>659524.9499999998</v>
      </c>
      <c r="AE28" s="55">
        <f>AE7+AE18+AE21+AE27</f>
        <v>604723.4599999998</v>
      </c>
      <c r="AF28" s="55">
        <f>AF7+AF18+AF21+AF27</f>
        <v>689153.3999999998</v>
      </c>
      <c r="AG28" s="55">
        <f>AG7+AG18+AG21+AG27</f>
        <v>788945.4499999998</v>
      </c>
      <c r="AH28" s="55">
        <f>AH7+AH18+AH21+AH27</f>
        <v>886705.37</v>
      </c>
      <c r="AI28" s="55">
        <f>AI7+AI18+AI21+AI27</f>
        <v>908606.7599999999</v>
      </c>
      <c r="AJ28" s="55">
        <f>AJ7+AJ18+AJ21+AJ27</f>
        <v>977298.0099999999</v>
      </c>
      <c r="AK28" s="55">
        <f>AK7+AK18+AK21+AK27</f>
        <v>1091059.0499999998</v>
      </c>
      <c r="AL28" s="55">
        <f>AL7+AL18+AL21+AL27</f>
        <v>1141762.91</v>
      </c>
      <c r="AM28" s="55">
        <f>AM7+AM18+AM21+AM27</f>
        <v>1191056.15</v>
      </c>
      <c r="AN28" s="55">
        <f>AN7+AN18+AN21+AN27</f>
        <v>1105710.12</v>
      </c>
      <c r="AO28" s="55">
        <f>AO7+AO18+AO21+AO27</f>
        <v>1272018.4500000002</v>
      </c>
      <c r="AP28" s="55">
        <f>AP7+AP18+AP21+AP27</f>
        <v>1181240.0200000003</v>
      </c>
      <c r="AQ28" s="55">
        <f>AQ7+AQ18+AQ21+AQ27</f>
        <v>1219457.9000000001</v>
      </c>
      <c r="AR28" s="55">
        <f>AR7+AR18+AR21+AR27</f>
        <v>1264010.03</v>
      </c>
      <c r="AS28" s="55">
        <f>AS7+AS18+AS21+AS27</f>
        <v>1224356.69</v>
      </c>
      <c r="AT28" s="55">
        <f>AT7+AT18+AT21+AT27</f>
        <v>1180132.15</v>
      </c>
      <c r="AU28" s="55">
        <f>AU7+AU18+AU21+AU27</f>
        <v>1153263.51</v>
      </c>
      <c r="AV28" s="55">
        <f>AV7+AV18+AV21+AV27</f>
        <v>1206776.3499999999</v>
      </c>
      <c r="AW28" s="55">
        <f>AW7+AW18+AW21+AW27</f>
        <v>1175120.6899999997</v>
      </c>
      <c r="AX28" s="55">
        <f>AX7+AX18+AX21+AX27</f>
        <v>1122459.88</v>
      </c>
      <c r="AY28" s="55">
        <f>AY7+AY18+AY21+AY27</f>
        <v>1243009.68</v>
      </c>
      <c r="AZ28" s="55">
        <f>AZ7+AZ18+AZ21+AZ27</f>
        <v>1315198.76</v>
      </c>
      <c r="BA28" s="55">
        <f>BA7+BA18+BA21+BA27</f>
        <v>1412678.1499999997</v>
      </c>
    </row>
    <row r="29" spans="1:53" ht="16" outlineLevel="1">
      <c r="A29" s="40" t="s">
        <v>26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</row>
    <row r="30" spans="1:53" ht="16" outlineLevel="2">
      <c r="A30" s="41" t="s">
        <v>27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</row>
    <row r="31" spans="1:53" ht="16" outlineLevel="3">
      <c r="A31" s="42" t="s">
        <v>28</v>
      </c>
      <c r="B31" s="53"/>
      <c r="C31" s="53"/>
      <c r="D31" s="53"/>
      <c r="E31" s="53"/>
      <c r="F31" s="53"/>
      <c r="G31" s="53"/>
      <c r="H31" s="54">
        <v>2700.0</v>
      </c>
      <c r="I31" s="54">
        <v>2700.0</v>
      </c>
      <c r="J31" s="54">
        <v>2700.0</v>
      </c>
      <c r="K31" s="54">
        <v>2700.0</v>
      </c>
      <c r="L31" s="54">
        <v>2700.0</v>
      </c>
      <c r="M31" s="54">
        <v>2700.0</v>
      </c>
      <c r="N31" s="54">
        <v>2700.0</v>
      </c>
      <c r="O31" s="54">
        <v>2700.0</v>
      </c>
      <c r="P31" s="54">
        <v>2700.0</v>
      </c>
      <c r="Q31" s="54">
        <v>2700.0</v>
      </c>
      <c r="R31" s="54">
        <v>2700.0</v>
      </c>
      <c r="S31" s="54">
        <v>2700.0</v>
      </c>
      <c r="T31" s="54">
        <v>2700.0</v>
      </c>
      <c r="U31" s="54">
        <v>2700.0</v>
      </c>
      <c r="V31" s="54">
        <v>2700.0</v>
      </c>
      <c r="W31" s="54">
        <v>2700.0</v>
      </c>
      <c r="X31" s="54">
        <v>2700.0</v>
      </c>
      <c r="Y31" s="54">
        <v>2700.0</v>
      </c>
      <c r="Z31" s="54">
        <v>2700.0</v>
      </c>
      <c r="AA31" s="54">
        <v>0</v>
      </c>
      <c r="AB31" s="54">
        <v>0</v>
      </c>
      <c r="AC31" s="54">
        <v>0</v>
      </c>
      <c r="AD31" s="54">
        <v>0</v>
      </c>
      <c r="AE31" s="54">
        <v>0</v>
      </c>
      <c r="AF31" s="54">
        <v>0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54">
        <v>0</v>
      </c>
      <c r="AN31" s="54">
        <v>0</v>
      </c>
      <c r="AO31" s="54">
        <v>0</v>
      </c>
      <c r="AP31" s="54">
        <v>0</v>
      </c>
      <c r="AQ31" s="54">
        <v>0</v>
      </c>
      <c r="AR31" s="54">
        <v>0</v>
      </c>
      <c r="AS31" s="54">
        <v>0</v>
      </c>
      <c r="AT31" s="54">
        <v>0</v>
      </c>
      <c r="AU31" s="54">
        <v>0</v>
      </c>
      <c r="AV31" s="54">
        <v>0</v>
      </c>
      <c r="AW31" s="54">
        <v>0</v>
      </c>
      <c r="AX31" s="54">
        <v>0</v>
      </c>
      <c r="AY31" s="54">
        <v>0</v>
      </c>
      <c r="AZ31" s="54">
        <v>0</v>
      </c>
      <c r="BA31" s="54">
        <v>0</v>
      </c>
    </row>
    <row r="32" spans="1:53" ht="16" outlineLevel="3">
      <c r="A32" s="42" t="s">
        <v>29</v>
      </c>
      <c r="B32" s="53"/>
      <c r="C32" s="53"/>
      <c r="D32" s="53"/>
      <c r="E32" s="53"/>
      <c r="F32" s="53"/>
      <c r="G32" s="53"/>
      <c r="H32" s="54">
        <v>13000.0</v>
      </c>
      <c r="I32" s="54">
        <v>13000.0</v>
      </c>
      <c r="J32" s="54">
        <v>13000.0</v>
      </c>
      <c r="K32" s="54">
        <v>13000.0</v>
      </c>
      <c r="L32" s="54">
        <v>13000.0</v>
      </c>
      <c r="M32" s="54">
        <v>13000.0</v>
      </c>
      <c r="N32" s="54">
        <v>13000.0</v>
      </c>
      <c r="O32" s="54">
        <v>13000.0</v>
      </c>
      <c r="P32" s="54">
        <v>13000.0</v>
      </c>
      <c r="Q32" s="54">
        <v>13000.0</v>
      </c>
      <c r="R32" s="54">
        <v>13000.0</v>
      </c>
      <c r="S32" s="54">
        <v>13000.0</v>
      </c>
      <c r="T32" s="54">
        <v>13000.0</v>
      </c>
      <c r="U32" s="54">
        <v>13000.0</v>
      </c>
      <c r="V32" s="54">
        <v>13000.0</v>
      </c>
      <c r="W32" s="54">
        <v>13000.0</v>
      </c>
      <c r="X32" s="54">
        <v>13000.0</v>
      </c>
      <c r="Y32" s="54">
        <v>13000.0</v>
      </c>
      <c r="Z32" s="54">
        <v>13000.0</v>
      </c>
      <c r="AA32" s="54">
        <v>13000.0</v>
      </c>
      <c r="AB32" s="54">
        <v>13000.0</v>
      </c>
      <c r="AC32" s="54">
        <v>13000.0</v>
      </c>
      <c r="AD32" s="54">
        <v>13000.0</v>
      </c>
      <c r="AE32" s="54">
        <v>13000.0</v>
      </c>
      <c r="AF32" s="54">
        <v>13000.0</v>
      </c>
      <c r="AG32" s="54">
        <v>13000.0</v>
      </c>
      <c r="AH32" s="54">
        <v>13000.0</v>
      </c>
      <c r="AI32" s="54">
        <v>13000.0</v>
      </c>
      <c r="AJ32" s="54">
        <v>13000.0</v>
      </c>
      <c r="AK32" s="54">
        <v>13000.0</v>
      </c>
      <c r="AL32" s="54">
        <v>13000.0</v>
      </c>
      <c r="AM32" s="54">
        <v>13000.0</v>
      </c>
      <c r="AN32" s="54">
        <v>13000.0</v>
      </c>
      <c r="AO32" s="54">
        <v>13000.0</v>
      </c>
      <c r="AP32" s="54">
        <v>13000.0</v>
      </c>
      <c r="AQ32" s="54">
        <v>13000.0</v>
      </c>
      <c r="AR32" s="54">
        <v>13000.0</v>
      </c>
      <c r="AS32" s="54">
        <v>13000.0</v>
      </c>
      <c r="AT32" s="54">
        <v>13000.0</v>
      </c>
      <c r="AU32" s="54">
        <v>13000.0</v>
      </c>
      <c r="AV32" s="54">
        <v>13000.0</v>
      </c>
      <c r="AW32" s="54">
        <v>13000.0</v>
      </c>
      <c r="AX32" s="54">
        <v>13000.0</v>
      </c>
      <c r="AY32" s="54">
        <v>13000.0</v>
      </c>
      <c r="AZ32" s="54">
        <v>13000.0</v>
      </c>
      <c r="BA32" s="54">
        <v>13000.0</v>
      </c>
    </row>
    <row r="33" spans="1:53" ht="16" outlineLevel="3">
      <c r="A33" s="42" t="s">
        <v>30</v>
      </c>
      <c r="B33" s="53"/>
      <c r="C33" s="53"/>
      <c r="D33" s="53"/>
      <c r="E33" s="53"/>
      <c r="F33" s="53"/>
      <c r="G33" s="53"/>
      <c r="H33" s="53"/>
      <c r="I33" s="53"/>
      <c r="J33" s="53"/>
      <c r="K33" s="54">
        <v>4000.0</v>
      </c>
      <c r="L33" s="54">
        <v>4000.0</v>
      </c>
      <c r="M33" s="54">
        <v>4000.0</v>
      </c>
      <c r="N33" s="54">
        <v>4000.0</v>
      </c>
      <c r="O33" s="54">
        <v>4000.0</v>
      </c>
      <c r="P33" s="54">
        <v>4000.0</v>
      </c>
      <c r="Q33" s="54">
        <v>4000.0</v>
      </c>
      <c r="R33" s="54">
        <v>4000.0</v>
      </c>
      <c r="S33" s="54">
        <v>4000.0</v>
      </c>
      <c r="T33" s="54">
        <v>4000.0</v>
      </c>
      <c r="U33" s="54">
        <v>4000.0</v>
      </c>
      <c r="V33" s="54">
        <v>4000.0</v>
      </c>
      <c r="W33" s="54">
        <v>4000.0</v>
      </c>
      <c r="X33" s="54">
        <v>4000.0</v>
      </c>
      <c r="Y33" s="54">
        <v>4000.0</v>
      </c>
      <c r="Z33" s="54">
        <v>4000.0</v>
      </c>
      <c r="AA33" s="54">
        <v>4000.0</v>
      </c>
      <c r="AB33" s="54">
        <v>4000.0</v>
      </c>
      <c r="AC33" s="54">
        <v>4000.0</v>
      </c>
      <c r="AD33" s="54">
        <v>4000.0</v>
      </c>
      <c r="AE33" s="54">
        <v>4000.0</v>
      </c>
      <c r="AF33" s="54">
        <v>4000.0</v>
      </c>
      <c r="AG33" s="54">
        <v>4000.0</v>
      </c>
      <c r="AH33" s="54">
        <v>4000.0</v>
      </c>
      <c r="AI33" s="54">
        <v>4000.0</v>
      </c>
      <c r="AJ33" s="54">
        <v>4000.0</v>
      </c>
      <c r="AK33" s="54">
        <v>4000.0</v>
      </c>
      <c r="AL33" s="54">
        <v>4000.0</v>
      </c>
      <c r="AM33" s="54">
        <v>4000.0</v>
      </c>
      <c r="AN33" s="54">
        <v>4000.0</v>
      </c>
      <c r="AO33" s="54">
        <v>4000.0</v>
      </c>
      <c r="AP33" s="54">
        <v>0</v>
      </c>
      <c r="AQ33" s="54">
        <v>0</v>
      </c>
      <c r="AR33" s="54">
        <v>0</v>
      </c>
      <c r="AS33" s="54">
        <v>0</v>
      </c>
      <c r="AT33" s="54">
        <v>0</v>
      </c>
      <c r="AU33" s="54">
        <v>0</v>
      </c>
      <c r="AV33" s="54">
        <v>0</v>
      </c>
      <c r="AW33" s="54">
        <v>0</v>
      </c>
      <c r="AX33" s="54">
        <v>0</v>
      </c>
      <c r="AY33" s="54">
        <v>0</v>
      </c>
      <c r="AZ33" s="54">
        <v>0</v>
      </c>
      <c r="BA33" s="54">
        <v>0</v>
      </c>
    </row>
    <row r="34" spans="1:53" ht="16" outlineLevel="3">
      <c r="A34" s="42" t="s">
        <v>31</v>
      </c>
      <c r="B34" s="53"/>
      <c r="C34" s="53"/>
      <c r="D34" s="53"/>
      <c r="E34" s="53"/>
      <c r="F34" s="53"/>
      <c r="G34" s="53"/>
      <c r="H34" s="53"/>
      <c r="I34" s="54">
        <v>91105.91</v>
      </c>
      <c r="J34" s="54">
        <v>91105.91</v>
      </c>
      <c r="K34" s="54">
        <v>91105.91</v>
      </c>
      <c r="L34" s="54">
        <v>91105.91</v>
      </c>
      <c r="M34" s="54">
        <v>91105.91</v>
      </c>
      <c r="N34" s="54">
        <v>91105.91</v>
      </c>
      <c r="O34" s="54">
        <v>91105.91</v>
      </c>
      <c r="P34" s="54">
        <v>91105.91</v>
      </c>
      <c r="Q34" s="54">
        <v>91105.91</v>
      </c>
      <c r="R34" s="54">
        <v>91105.91</v>
      </c>
      <c r="S34" s="54">
        <v>91105.91</v>
      </c>
      <c r="T34" s="54">
        <v>91105.91</v>
      </c>
      <c r="U34" s="54">
        <v>91105.91</v>
      </c>
      <c r="V34" s="54">
        <v>91105.91</v>
      </c>
      <c r="W34" s="54">
        <v>91105.91</v>
      </c>
      <c r="X34" s="54">
        <v>91105.91</v>
      </c>
      <c r="Y34" s="54">
        <v>91105.91</v>
      </c>
      <c r="Z34" s="54">
        <v>91105.91</v>
      </c>
      <c r="AA34" s="54">
        <v>91105.91</v>
      </c>
      <c r="AB34" s="54">
        <v>91105.91</v>
      </c>
      <c r="AC34" s="54">
        <v>91105.91</v>
      </c>
      <c r="AD34" s="54">
        <v>91105.91</v>
      </c>
      <c r="AE34" s="54">
        <v>91105.91</v>
      </c>
      <c r="AF34" s="54">
        <v>91105.91</v>
      </c>
      <c r="AG34" s="54">
        <v>91105.91</v>
      </c>
      <c r="AH34" s="54">
        <v>91105.91</v>
      </c>
      <c r="AI34" s="54">
        <v>91105.91</v>
      </c>
      <c r="AJ34" s="54">
        <v>91105.91</v>
      </c>
      <c r="AK34" s="54">
        <v>91105.91</v>
      </c>
      <c r="AL34" s="54">
        <v>91105.91</v>
      </c>
      <c r="AM34" s="54">
        <v>91105.91</v>
      </c>
      <c r="AN34" s="54">
        <v>91105.91</v>
      </c>
      <c r="AO34" s="54">
        <v>91105.91</v>
      </c>
      <c r="AP34" s="54">
        <v>91105.91</v>
      </c>
      <c r="AQ34" s="54">
        <v>91105.91</v>
      </c>
      <c r="AR34" s="54">
        <v>91105.91</v>
      </c>
      <c r="AS34" s="54">
        <v>0</v>
      </c>
      <c r="AT34" s="54">
        <v>0</v>
      </c>
      <c r="AU34" s="54">
        <v>0</v>
      </c>
      <c r="AV34" s="54">
        <v>0</v>
      </c>
      <c r="AW34" s="54">
        <v>0</v>
      </c>
      <c r="AX34" s="54">
        <v>0</v>
      </c>
      <c r="AY34" s="54">
        <v>0</v>
      </c>
      <c r="AZ34" s="54">
        <v>0</v>
      </c>
      <c r="BA34" s="54">
        <v>0</v>
      </c>
    </row>
    <row r="35" spans="1:53" ht="16" outlineLevel="3">
      <c r="A35" s="42" t="s">
        <v>32</v>
      </c>
      <c r="B35" s="53"/>
      <c r="C35" s="53"/>
      <c r="D35" s="53"/>
      <c r="E35" s="53"/>
      <c r="F35" s="53"/>
      <c r="G35" s="53"/>
      <c r="H35" s="53"/>
      <c r="I35" s="53"/>
      <c r="J35" s="54">
        <v>500.0</v>
      </c>
      <c r="K35" s="54">
        <v>500.0</v>
      </c>
      <c r="L35" s="54">
        <v>500.0</v>
      </c>
      <c r="M35" s="54">
        <v>500.0</v>
      </c>
      <c r="N35" s="54">
        <v>500.0</v>
      </c>
      <c r="O35" s="54">
        <v>500.0</v>
      </c>
      <c r="P35" s="54">
        <v>500.0</v>
      </c>
      <c r="Q35" s="54">
        <v>500.0</v>
      </c>
      <c r="R35" s="54">
        <v>0</v>
      </c>
      <c r="S35" s="54">
        <v>0</v>
      </c>
      <c r="T35" s="54">
        <v>0</v>
      </c>
      <c r="U35" s="54">
        <v>0</v>
      </c>
      <c r="V35" s="54">
        <v>0</v>
      </c>
      <c r="W35" s="54">
        <v>0</v>
      </c>
      <c r="X35" s="54">
        <v>0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54">
        <v>0</v>
      </c>
      <c r="AN35" s="54">
        <v>0</v>
      </c>
      <c r="AO35" s="54">
        <v>0</v>
      </c>
      <c r="AP35" s="54">
        <v>0</v>
      </c>
      <c r="AQ35" s="54">
        <v>0</v>
      </c>
      <c r="AR35" s="54">
        <v>0</v>
      </c>
      <c r="AS35" s="54">
        <v>0</v>
      </c>
      <c r="AT35" s="54">
        <v>0</v>
      </c>
      <c r="AU35" s="54">
        <v>0</v>
      </c>
      <c r="AV35" s="54">
        <v>0</v>
      </c>
      <c r="AW35" s="54">
        <v>0</v>
      </c>
      <c r="AX35" s="54">
        <v>0</v>
      </c>
      <c r="AY35" s="54">
        <v>0</v>
      </c>
      <c r="AZ35" s="54">
        <v>0</v>
      </c>
      <c r="BA35" s="54">
        <v>0</v>
      </c>
    </row>
    <row r="36" spans="1:53" ht="16" outlineLevel="3">
      <c r="A36" s="42" t="s">
        <v>33</v>
      </c>
      <c r="B36" s="53"/>
      <c r="C36" s="53"/>
      <c r="D36" s="53"/>
      <c r="E36" s="53"/>
      <c r="F36" s="53"/>
      <c r="G36" s="53"/>
      <c r="H36" s="53"/>
      <c r="I36" s="53"/>
      <c r="J36" s="54">
        <v>500.0</v>
      </c>
      <c r="K36" s="54">
        <v>31976.74</v>
      </c>
      <c r="L36" s="54">
        <v>31976.74</v>
      </c>
      <c r="M36" s="54">
        <v>31976.74</v>
      </c>
      <c r="N36" s="54">
        <v>31976.74</v>
      </c>
      <c r="O36" s="54">
        <v>31976.74</v>
      </c>
      <c r="P36" s="54">
        <v>31976.74</v>
      </c>
      <c r="Q36" s="54">
        <v>31976.74</v>
      </c>
      <c r="R36" s="54">
        <v>31976.74</v>
      </c>
      <c r="S36" s="54">
        <v>31976.74</v>
      </c>
      <c r="T36" s="54">
        <v>31976.74</v>
      </c>
      <c r="U36" s="54">
        <v>31976.74</v>
      </c>
      <c r="V36" s="54">
        <v>31976.74</v>
      </c>
      <c r="W36" s="54">
        <v>31976.74</v>
      </c>
      <c r="X36" s="54">
        <v>31976.74</v>
      </c>
      <c r="Y36" s="54">
        <v>31976.74</v>
      </c>
      <c r="Z36" s="54">
        <v>31976.74</v>
      </c>
      <c r="AA36" s="54">
        <v>31976.74</v>
      </c>
      <c r="AB36" s="54">
        <v>31976.74</v>
      </c>
      <c r="AC36" s="54">
        <v>31976.74</v>
      </c>
      <c r="AD36" s="54">
        <v>31976.74</v>
      </c>
      <c r="AE36" s="54">
        <v>31976.74</v>
      </c>
      <c r="AF36" s="54">
        <v>31976.74</v>
      </c>
      <c r="AG36" s="54">
        <v>31976.74</v>
      </c>
      <c r="AH36" s="54">
        <v>31976.74</v>
      </c>
      <c r="AI36" s="54">
        <v>31976.74</v>
      </c>
      <c r="AJ36" s="54">
        <v>31976.74</v>
      </c>
      <c r="AK36" s="54">
        <v>31976.74</v>
      </c>
      <c r="AL36" s="54">
        <v>31976.74</v>
      </c>
      <c r="AM36" s="54">
        <v>31976.74</v>
      </c>
      <c r="AN36" s="54">
        <v>31976.74</v>
      </c>
      <c r="AO36" s="54">
        <v>31976.74</v>
      </c>
      <c r="AP36" s="54">
        <v>31976.74</v>
      </c>
      <c r="AQ36" s="54">
        <v>31976.74</v>
      </c>
      <c r="AR36" s="54">
        <v>31976.74</v>
      </c>
      <c r="AS36" s="54">
        <v>31976.74</v>
      </c>
      <c r="AT36" s="54">
        <v>31976.74</v>
      </c>
      <c r="AU36" s="54">
        <v>31976.74</v>
      </c>
      <c r="AV36" s="54">
        <v>31976.74</v>
      </c>
      <c r="AW36" s="54">
        <v>31976.74</v>
      </c>
      <c r="AX36" s="54">
        <v>31976.74</v>
      </c>
      <c r="AY36" s="54">
        <v>31976.74</v>
      </c>
      <c r="AZ36" s="54">
        <v>31976.74</v>
      </c>
      <c r="BA36" s="54">
        <v>31976.74</v>
      </c>
    </row>
    <row r="37" spans="1:53" ht="16" outlineLevel="3">
      <c r="A37" s="42" t="s">
        <v>34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4">
        <v>33081.59</v>
      </c>
      <c r="P37" s="54">
        <v>33081.59</v>
      </c>
      <c r="Q37" s="54">
        <v>33081.59</v>
      </c>
      <c r="R37" s="54">
        <v>33081.59</v>
      </c>
      <c r="S37" s="54">
        <v>33081.59</v>
      </c>
      <c r="T37" s="54">
        <v>33081.59</v>
      </c>
      <c r="U37" s="54">
        <v>33081.59</v>
      </c>
      <c r="V37" s="54">
        <v>33081.59</v>
      </c>
      <c r="W37" s="54">
        <v>33081.59</v>
      </c>
      <c r="X37" s="54">
        <v>33081.59</v>
      </c>
      <c r="Y37" s="54">
        <v>33081.59</v>
      </c>
      <c r="Z37" s="54">
        <v>33081.59</v>
      </c>
      <c r="AA37" s="54">
        <v>33081.59</v>
      </c>
      <c r="AB37" s="54">
        <v>33081.59</v>
      </c>
      <c r="AC37" s="54">
        <v>33081.59</v>
      </c>
      <c r="AD37" s="54">
        <v>33081.59</v>
      </c>
      <c r="AE37" s="54">
        <v>33081.59</v>
      </c>
      <c r="AF37" s="54">
        <v>33081.59</v>
      </c>
      <c r="AG37" s="54">
        <v>33081.59</v>
      </c>
      <c r="AH37" s="54">
        <v>33081.59</v>
      </c>
      <c r="AI37" s="54">
        <v>33081.59</v>
      </c>
      <c r="AJ37" s="54">
        <v>33081.59</v>
      </c>
      <c r="AK37" s="54">
        <v>33081.59</v>
      </c>
      <c r="AL37" s="54">
        <v>33081.59</v>
      </c>
      <c r="AM37" s="54">
        <v>33081.59</v>
      </c>
      <c r="AN37" s="54">
        <v>33081.59</v>
      </c>
      <c r="AO37" s="54">
        <v>33081.59</v>
      </c>
      <c r="AP37" s="54">
        <v>33081.59</v>
      </c>
      <c r="AQ37" s="54">
        <v>33081.59</v>
      </c>
      <c r="AR37" s="54">
        <v>33081.59</v>
      </c>
      <c r="AS37" s="54">
        <v>33081.59</v>
      </c>
      <c r="AT37" s="54">
        <v>33081.59</v>
      </c>
      <c r="AU37" s="54">
        <v>33081.59</v>
      </c>
      <c r="AV37" s="54">
        <v>33081.59</v>
      </c>
      <c r="AW37" s="54">
        <v>33081.59</v>
      </c>
      <c r="AX37" s="54">
        <v>33081.59</v>
      </c>
      <c r="AY37" s="54">
        <v>33081.59</v>
      </c>
      <c r="AZ37" s="54">
        <v>33081.59</v>
      </c>
      <c r="BA37" s="54">
        <v>33081.59</v>
      </c>
    </row>
    <row r="38" spans="1:53" ht="16" outlineLevel="3">
      <c r="A38" s="42" t="s">
        <v>35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4">
        <v>33263.02</v>
      </c>
      <c r="P38" s="54">
        <v>33263.02</v>
      </c>
      <c r="Q38" s="54">
        <v>33263.02</v>
      </c>
      <c r="R38" s="54">
        <v>33263.02</v>
      </c>
      <c r="S38" s="54">
        <v>33263.02</v>
      </c>
      <c r="T38" s="54">
        <v>33263.02</v>
      </c>
      <c r="U38" s="54">
        <v>33263.02</v>
      </c>
      <c r="V38" s="54">
        <v>33263.02</v>
      </c>
      <c r="W38" s="54">
        <v>33263.02</v>
      </c>
      <c r="X38" s="54">
        <v>33263.02</v>
      </c>
      <c r="Y38" s="54">
        <v>33263.02</v>
      </c>
      <c r="Z38" s="54">
        <v>33263.02</v>
      </c>
      <c r="AA38" s="54">
        <v>33263.02</v>
      </c>
      <c r="AB38" s="54">
        <v>33263.02</v>
      </c>
      <c r="AC38" s="54">
        <v>33263.02</v>
      </c>
      <c r="AD38" s="54">
        <v>33263.02</v>
      </c>
      <c r="AE38" s="54">
        <v>33263.02</v>
      </c>
      <c r="AF38" s="54">
        <v>33263.02</v>
      </c>
      <c r="AG38" s="54">
        <v>33263.02</v>
      </c>
      <c r="AH38" s="54">
        <v>33263.02</v>
      </c>
      <c r="AI38" s="54">
        <v>33263.02</v>
      </c>
      <c r="AJ38" s="54">
        <v>33263.02</v>
      </c>
      <c r="AK38" s="54">
        <v>33263.02</v>
      </c>
      <c r="AL38" s="54">
        <v>33263.02</v>
      </c>
      <c r="AM38" s="54">
        <v>33263.02</v>
      </c>
      <c r="AN38" s="54">
        <v>33263.02</v>
      </c>
      <c r="AO38" s="54">
        <v>33263.02</v>
      </c>
      <c r="AP38" s="54">
        <v>33263.02</v>
      </c>
      <c r="AQ38" s="54">
        <v>33263.02</v>
      </c>
      <c r="AR38" s="54">
        <v>33263.02</v>
      </c>
      <c r="AS38" s="54">
        <v>33263.02</v>
      </c>
      <c r="AT38" s="54">
        <v>33263.02</v>
      </c>
      <c r="AU38" s="54">
        <v>33263.02</v>
      </c>
      <c r="AV38" s="54">
        <v>33263.02</v>
      </c>
      <c r="AW38" s="54">
        <v>33263.02</v>
      </c>
      <c r="AX38" s="54">
        <v>33263.02</v>
      </c>
      <c r="AY38" s="54">
        <v>33263.02</v>
      </c>
      <c r="AZ38" s="54">
        <v>33263.02</v>
      </c>
      <c r="BA38" s="54">
        <v>33263.02</v>
      </c>
    </row>
    <row r="39" spans="1:53" ht="16" outlineLevel="3">
      <c r="A39" s="42" t="s">
        <v>36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4">
        <v>30413.99</v>
      </c>
      <c r="Q39" s="54">
        <v>30413.99</v>
      </c>
      <c r="R39" s="54">
        <v>30413.99</v>
      </c>
      <c r="S39" s="54">
        <v>30413.99</v>
      </c>
      <c r="T39" s="54">
        <v>30413.99</v>
      </c>
      <c r="U39" s="54">
        <v>30413.99</v>
      </c>
      <c r="V39" s="54">
        <v>30413.99</v>
      </c>
      <c r="W39" s="54">
        <v>30413.99</v>
      </c>
      <c r="X39" s="54">
        <v>30413.99</v>
      </c>
      <c r="Y39" s="54">
        <v>30413.99</v>
      </c>
      <c r="Z39" s="54">
        <v>30413.99</v>
      </c>
      <c r="AA39" s="54">
        <v>30413.99</v>
      </c>
      <c r="AB39" s="54">
        <v>30413.99</v>
      </c>
      <c r="AC39" s="54">
        <v>30413.99</v>
      </c>
      <c r="AD39" s="54">
        <v>30413.99</v>
      </c>
      <c r="AE39" s="54">
        <v>30413.99</v>
      </c>
      <c r="AF39" s="54">
        <v>30413.99</v>
      </c>
      <c r="AG39" s="54">
        <v>30413.99</v>
      </c>
      <c r="AH39" s="54">
        <v>30413.99</v>
      </c>
      <c r="AI39" s="54">
        <v>30413.99</v>
      </c>
      <c r="AJ39" s="54">
        <v>30413.99</v>
      </c>
      <c r="AK39" s="54">
        <v>30413.99</v>
      </c>
      <c r="AL39" s="54">
        <v>30413.99</v>
      </c>
      <c r="AM39" s="54">
        <v>30413.99</v>
      </c>
      <c r="AN39" s="54">
        <v>30413.99</v>
      </c>
      <c r="AO39" s="54">
        <v>30413.99</v>
      </c>
      <c r="AP39" s="54">
        <v>30413.99</v>
      </c>
      <c r="AQ39" s="54">
        <v>30413.99</v>
      </c>
      <c r="AR39" s="54">
        <v>30413.99</v>
      </c>
      <c r="AS39" s="54">
        <v>30413.99</v>
      </c>
      <c r="AT39" s="54">
        <v>30413.99</v>
      </c>
      <c r="AU39" s="54">
        <v>30413.99</v>
      </c>
      <c r="AV39" s="54">
        <v>30413.99</v>
      </c>
      <c r="AW39" s="54">
        <v>30413.99</v>
      </c>
      <c r="AX39" s="54">
        <v>30413.99</v>
      </c>
      <c r="AY39" s="54">
        <v>30413.99</v>
      </c>
      <c r="AZ39" s="54">
        <v>30413.99</v>
      </c>
      <c r="BA39" s="54">
        <v>30413.99</v>
      </c>
    </row>
    <row r="40" spans="1:53" ht="16" outlineLevel="3">
      <c r="A40" s="42" t="s">
        <v>37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4">
        <v>88647.01</v>
      </c>
      <c r="P40" s="54">
        <v>88647.01</v>
      </c>
      <c r="Q40" s="54">
        <v>88647.01</v>
      </c>
      <c r="R40" s="54">
        <v>88647.01</v>
      </c>
      <c r="S40" s="54">
        <v>88647.01</v>
      </c>
      <c r="T40" s="54">
        <v>88647.01</v>
      </c>
      <c r="U40" s="54">
        <v>88647.01</v>
      </c>
      <c r="V40" s="54">
        <v>88647.01</v>
      </c>
      <c r="W40" s="54">
        <v>88647.01</v>
      </c>
      <c r="X40" s="54">
        <v>88647.01</v>
      </c>
      <c r="Y40" s="54">
        <v>88647.01</v>
      </c>
      <c r="Z40" s="54">
        <v>88647.01</v>
      </c>
      <c r="AA40" s="54">
        <v>88647.01</v>
      </c>
      <c r="AB40" s="54">
        <v>88647.01</v>
      </c>
      <c r="AC40" s="54">
        <v>88647.01</v>
      </c>
      <c r="AD40" s="54">
        <v>88647.01</v>
      </c>
      <c r="AE40" s="54">
        <v>88647.01</v>
      </c>
      <c r="AF40" s="54">
        <v>88647.01</v>
      </c>
      <c r="AG40" s="54">
        <v>88647.01</v>
      </c>
      <c r="AH40" s="54">
        <v>88647.01</v>
      </c>
      <c r="AI40" s="54">
        <v>88647.01</v>
      </c>
      <c r="AJ40" s="54">
        <v>88647.01</v>
      </c>
      <c r="AK40" s="54">
        <v>88647.01</v>
      </c>
      <c r="AL40" s="54">
        <v>88647.01</v>
      </c>
      <c r="AM40" s="54">
        <v>88647.01</v>
      </c>
      <c r="AN40" s="54">
        <v>88647.01</v>
      </c>
      <c r="AO40" s="54">
        <v>88647.01</v>
      </c>
      <c r="AP40" s="54">
        <v>88647.01</v>
      </c>
      <c r="AQ40" s="54">
        <v>88647.01</v>
      </c>
      <c r="AR40" s="54">
        <v>88647.01</v>
      </c>
      <c r="AS40" s="54">
        <v>88647.01</v>
      </c>
      <c r="AT40" s="54">
        <v>88647.01</v>
      </c>
      <c r="AU40" s="54">
        <v>88647.01</v>
      </c>
      <c r="AV40" s="54">
        <v>88647.01</v>
      </c>
      <c r="AW40" s="54">
        <v>88647.01</v>
      </c>
      <c r="AX40" s="54">
        <v>88647.01</v>
      </c>
      <c r="AY40" s="54">
        <v>88647.01</v>
      </c>
      <c r="AZ40" s="54">
        <v>88647.01</v>
      </c>
      <c r="BA40" s="54">
        <v>88647.01</v>
      </c>
    </row>
    <row r="41" spans="1:53" ht="16" outlineLevel="3">
      <c r="A41" s="42" t="s">
        <v>38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4">
        <v>40414.77</v>
      </c>
      <c r="S41" s="54">
        <v>40414.77</v>
      </c>
      <c r="T41" s="54">
        <v>40414.77</v>
      </c>
      <c r="U41" s="54">
        <v>40414.77</v>
      </c>
      <c r="V41" s="54">
        <v>40414.77</v>
      </c>
      <c r="W41" s="54">
        <v>40414.77</v>
      </c>
      <c r="X41" s="54">
        <v>40414.77</v>
      </c>
      <c r="Y41" s="54">
        <v>40414.77</v>
      </c>
      <c r="Z41" s="54">
        <v>40414.77</v>
      </c>
      <c r="AA41" s="54">
        <v>40414.77</v>
      </c>
      <c r="AB41" s="54">
        <v>40414.77</v>
      </c>
      <c r="AC41" s="54">
        <v>40414.77</v>
      </c>
      <c r="AD41" s="54">
        <v>40414.77</v>
      </c>
      <c r="AE41" s="54">
        <v>40414.77</v>
      </c>
      <c r="AF41" s="54">
        <v>40414.77</v>
      </c>
      <c r="AG41" s="54">
        <v>40414.77</v>
      </c>
      <c r="AH41" s="54">
        <v>40414.77</v>
      </c>
      <c r="AI41" s="54">
        <v>40414.77</v>
      </c>
      <c r="AJ41" s="54">
        <v>40414.77</v>
      </c>
      <c r="AK41" s="54">
        <v>40414.77</v>
      </c>
      <c r="AL41" s="54">
        <v>40414.77</v>
      </c>
      <c r="AM41" s="54">
        <v>40414.77</v>
      </c>
      <c r="AN41" s="54">
        <v>40414.77</v>
      </c>
      <c r="AO41" s="54">
        <v>40414.77</v>
      </c>
      <c r="AP41" s="54">
        <v>40414.77</v>
      </c>
      <c r="AQ41" s="54">
        <v>40414.77</v>
      </c>
      <c r="AR41" s="54">
        <v>40414.77</v>
      </c>
      <c r="AS41" s="54">
        <v>40414.77</v>
      </c>
      <c r="AT41" s="54">
        <v>40414.77</v>
      </c>
      <c r="AU41" s="54">
        <v>40414.77</v>
      </c>
      <c r="AV41" s="54">
        <v>40414.77</v>
      </c>
      <c r="AW41" s="54">
        <v>40414.77</v>
      </c>
      <c r="AX41" s="54">
        <v>40414.77</v>
      </c>
      <c r="AY41" s="54">
        <v>40414.77</v>
      </c>
      <c r="AZ41" s="54">
        <v>40414.77</v>
      </c>
      <c r="BA41" s="54">
        <v>40414.77</v>
      </c>
    </row>
    <row r="42" spans="1:53" ht="16" outlineLevel="3">
      <c r="A42" s="42" t="s">
        <v>39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4">
        <v>37500.73</v>
      </c>
      <c r="T42" s="54">
        <v>37500.73</v>
      </c>
      <c r="U42" s="54">
        <v>37500.73</v>
      </c>
      <c r="V42" s="54">
        <v>37500.73</v>
      </c>
      <c r="W42" s="54">
        <v>37500.73</v>
      </c>
      <c r="X42" s="54">
        <v>37500.73</v>
      </c>
      <c r="Y42" s="54">
        <v>37500.73</v>
      </c>
      <c r="Z42" s="54">
        <v>37500.73</v>
      </c>
      <c r="AA42" s="54">
        <v>37500.73</v>
      </c>
      <c r="AB42" s="54">
        <v>37500.73</v>
      </c>
      <c r="AC42" s="54">
        <v>37500.73</v>
      </c>
      <c r="AD42" s="54">
        <v>37500.73</v>
      </c>
      <c r="AE42" s="54">
        <v>37500.73</v>
      </c>
      <c r="AF42" s="54">
        <v>37500.73</v>
      </c>
      <c r="AG42" s="54">
        <v>37500.73</v>
      </c>
      <c r="AH42" s="54">
        <v>37500.73</v>
      </c>
      <c r="AI42" s="54">
        <v>37500.73</v>
      </c>
      <c r="AJ42" s="54">
        <v>37500.73</v>
      </c>
      <c r="AK42" s="54">
        <v>37500.73</v>
      </c>
      <c r="AL42" s="54">
        <v>37500.73</v>
      </c>
      <c r="AM42" s="54">
        <v>37500.73</v>
      </c>
      <c r="AN42" s="54">
        <v>37500.73</v>
      </c>
      <c r="AO42" s="54">
        <v>37500.73</v>
      </c>
      <c r="AP42" s="54">
        <v>37500.73</v>
      </c>
      <c r="AQ42" s="54">
        <v>37500.73</v>
      </c>
      <c r="AR42" s="54">
        <v>37500.73</v>
      </c>
      <c r="AS42" s="54">
        <v>37500.73</v>
      </c>
      <c r="AT42" s="54">
        <v>37500.73</v>
      </c>
      <c r="AU42" s="54">
        <v>37500.73</v>
      </c>
      <c r="AV42" s="54">
        <v>37500.73</v>
      </c>
      <c r="AW42" s="54">
        <v>37500.73</v>
      </c>
      <c r="AX42" s="54">
        <v>37500.73</v>
      </c>
      <c r="AY42" s="54">
        <v>37500.73</v>
      </c>
      <c r="AZ42" s="54">
        <v>37500.73</v>
      </c>
      <c r="BA42" s="54">
        <v>37500.73</v>
      </c>
    </row>
    <row r="43" spans="1:53" ht="16" outlineLevel="3">
      <c r="A43" s="42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4">
        <v>134725.27</v>
      </c>
      <c r="X43" s="54">
        <v>134725.27</v>
      </c>
      <c r="Y43" s="54">
        <v>134725.27</v>
      </c>
      <c r="Z43" s="54">
        <v>134725.27</v>
      </c>
      <c r="AA43" s="54">
        <v>134725.27</v>
      </c>
      <c r="AB43" s="54">
        <v>134725.27</v>
      </c>
      <c r="AC43" s="54">
        <v>134725.27</v>
      </c>
      <c r="AD43" s="54">
        <v>134725.27</v>
      </c>
      <c r="AE43" s="54">
        <v>134725.27</v>
      </c>
      <c r="AF43" s="54">
        <v>134725.27</v>
      </c>
      <c r="AG43" s="54">
        <v>134725.27</v>
      </c>
      <c r="AH43" s="54">
        <v>134725.27</v>
      </c>
      <c r="AI43" s="54">
        <v>134725.27</v>
      </c>
      <c r="AJ43" s="54">
        <v>134725.27</v>
      </c>
      <c r="AK43" s="54">
        <v>134725.27</v>
      </c>
      <c r="AL43" s="54">
        <v>134725.27</v>
      </c>
      <c r="AM43" s="54">
        <v>134725.27</v>
      </c>
      <c r="AN43" s="54">
        <v>134725.27</v>
      </c>
      <c r="AO43" s="54">
        <v>134725.27</v>
      </c>
      <c r="AP43" s="54">
        <v>134725.27</v>
      </c>
      <c r="AQ43" s="54">
        <v>134725.27</v>
      </c>
      <c r="AR43" s="54">
        <v>134725.27</v>
      </c>
      <c r="AS43" s="54">
        <v>134725.27</v>
      </c>
      <c r="AT43" s="54">
        <v>134725.27</v>
      </c>
      <c r="AU43" s="54">
        <v>134725.27</v>
      </c>
      <c r="AV43" s="54">
        <v>134725.27</v>
      </c>
      <c r="AW43" s="54">
        <v>134725.27</v>
      </c>
      <c r="AX43" s="54">
        <v>0</v>
      </c>
      <c r="AY43" s="54">
        <v>0</v>
      </c>
      <c r="AZ43" s="54">
        <v>0</v>
      </c>
      <c r="BA43" s="54">
        <v>0</v>
      </c>
    </row>
    <row r="44" spans="1:53" ht="16" outlineLevel="3">
      <c r="A44" s="42" t="s">
        <v>41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4">
        <v>1810.11</v>
      </c>
      <c r="AB44" s="54">
        <v>1810.11</v>
      </c>
      <c r="AC44" s="54">
        <v>1810.11</v>
      </c>
      <c r="AD44" s="54">
        <v>1810.11</v>
      </c>
      <c r="AE44" s="54">
        <v>1810.11</v>
      </c>
      <c r="AF44" s="54">
        <v>1810.11</v>
      </c>
      <c r="AG44" s="54">
        <v>1810.11</v>
      </c>
      <c r="AH44" s="54">
        <v>1810.11</v>
      </c>
      <c r="AI44" s="54">
        <v>1810.11</v>
      </c>
      <c r="AJ44" s="54">
        <v>1810.11</v>
      </c>
      <c r="AK44" s="54">
        <v>1810.11</v>
      </c>
      <c r="AL44" s="54">
        <v>1810.11</v>
      </c>
      <c r="AM44" s="54">
        <v>1810.11</v>
      </c>
      <c r="AN44" s="54">
        <v>1810.11</v>
      </c>
      <c r="AO44" s="54">
        <v>1810.11</v>
      </c>
      <c r="AP44" s="54">
        <v>0</v>
      </c>
      <c r="AQ44" s="54">
        <v>0</v>
      </c>
      <c r="AR44" s="54">
        <v>0</v>
      </c>
      <c r="AS44" s="54">
        <v>0</v>
      </c>
      <c r="AT44" s="54">
        <v>0</v>
      </c>
      <c r="AU44" s="54">
        <v>0</v>
      </c>
      <c r="AV44" s="54">
        <v>0</v>
      </c>
      <c r="AW44" s="54">
        <v>0</v>
      </c>
      <c r="AX44" s="54">
        <v>0</v>
      </c>
      <c r="AY44" s="54">
        <v>0</v>
      </c>
      <c r="AZ44" s="54">
        <v>0</v>
      </c>
      <c r="BA44" s="54">
        <v>0</v>
      </c>
    </row>
    <row r="45" spans="1:53" ht="16" outlineLevel="3">
      <c r="A45" s="42" t="s">
        <v>42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4">
        <v>61291.8</v>
      </c>
      <c r="AH45" s="54">
        <v>61291.8</v>
      </c>
      <c r="AI45" s="54">
        <v>61291.8</v>
      </c>
      <c r="AJ45" s="54">
        <v>61291.8</v>
      </c>
      <c r="AK45" s="54">
        <v>61291.8</v>
      </c>
      <c r="AL45" s="54">
        <v>61291.8</v>
      </c>
      <c r="AM45" s="54">
        <v>61291.8</v>
      </c>
      <c r="AN45" s="54">
        <v>61291.8</v>
      </c>
      <c r="AO45" s="54">
        <v>61291.8</v>
      </c>
      <c r="AP45" s="54">
        <v>61291.8</v>
      </c>
      <c r="AQ45" s="54">
        <v>61291.8</v>
      </c>
      <c r="AR45" s="54">
        <v>0</v>
      </c>
      <c r="AS45" s="54">
        <v>0</v>
      </c>
      <c r="AT45" s="54">
        <v>0</v>
      </c>
      <c r="AU45" s="54">
        <v>0</v>
      </c>
      <c r="AV45" s="54">
        <v>0</v>
      </c>
      <c r="AW45" s="54">
        <v>0</v>
      </c>
      <c r="AX45" s="54">
        <v>0</v>
      </c>
      <c r="AY45" s="54">
        <v>0</v>
      </c>
      <c r="AZ45" s="54">
        <v>0</v>
      </c>
      <c r="BA45" s="54">
        <v>0</v>
      </c>
    </row>
    <row r="46" spans="1:53" ht="16" outlineLevel="3">
      <c r="A46" s="42" t="s">
        <v>43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4">
        <v>26387.26</v>
      </c>
      <c r="AF46" s="54">
        <v>26387.26</v>
      </c>
      <c r="AG46" s="54">
        <v>26387.26</v>
      </c>
      <c r="AH46" s="54">
        <v>26387.26</v>
      </c>
      <c r="AI46" s="54">
        <v>26387.26</v>
      </c>
      <c r="AJ46" s="54">
        <v>26387.26</v>
      </c>
      <c r="AK46" s="54">
        <v>26387.26</v>
      </c>
      <c r="AL46" s="54">
        <v>26890.76</v>
      </c>
      <c r="AM46" s="54">
        <v>26890.76</v>
      </c>
      <c r="AN46" s="54">
        <v>26890.76</v>
      </c>
      <c r="AO46" s="54">
        <v>26890.76</v>
      </c>
      <c r="AP46" s="54">
        <v>26387.26</v>
      </c>
      <c r="AQ46" s="54">
        <v>26387.26</v>
      </c>
      <c r="AR46" s="54">
        <v>26387.26</v>
      </c>
      <c r="AS46" s="54">
        <v>26387.26</v>
      </c>
      <c r="AT46" s="54">
        <v>26387.26</v>
      </c>
      <c r="AU46" s="54">
        <v>26387.26</v>
      </c>
      <c r="AV46" s="54">
        <v>26387.26</v>
      </c>
      <c r="AW46" s="54">
        <v>26387.26</v>
      </c>
      <c r="AX46" s="54">
        <v>26387.26</v>
      </c>
      <c r="AY46" s="54">
        <v>26387.26</v>
      </c>
      <c r="AZ46" s="54">
        <v>26387.26</v>
      </c>
      <c r="BA46" s="54">
        <v>26387.26</v>
      </c>
    </row>
    <row r="47" spans="1:53" ht="16" outlineLevel="3">
      <c r="A47" s="42" t="s">
        <v>44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4">
        <v>40000.0</v>
      </c>
      <c r="AE47" s="54">
        <v>40000.0</v>
      </c>
      <c r="AF47" s="54">
        <v>40000.0</v>
      </c>
      <c r="AG47" s="54">
        <v>40000.0</v>
      </c>
      <c r="AH47" s="54">
        <v>40000.0</v>
      </c>
      <c r="AI47" s="54">
        <v>40000.0</v>
      </c>
      <c r="AJ47" s="54">
        <v>40000.0</v>
      </c>
      <c r="AK47" s="54">
        <v>40000.0</v>
      </c>
      <c r="AL47" s="54">
        <v>40000.0</v>
      </c>
      <c r="AM47" s="54">
        <v>40000.0</v>
      </c>
      <c r="AN47" s="54">
        <v>40000.0</v>
      </c>
      <c r="AO47" s="54">
        <v>40000.0</v>
      </c>
      <c r="AP47" s="54">
        <v>40000.0</v>
      </c>
      <c r="AQ47" s="54">
        <v>40000.0</v>
      </c>
      <c r="AR47" s="54">
        <v>40000.0</v>
      </c>
      <c r="AS47" s="54">
        <v>40000.0</v>
      </c>
      <c r="AT47" s="54">
        <v>40000.0</v>
      </c>
      <c r="AU47" s="54">
        <v>40000.0</v>
      </c>
      <c r="AV47" s="54">
        <v>40000.0</v>
      </c>
      <c r="AW47" s="54">
        <v>40000.0</v>
      </c>
      <c r="AX47" s="54">
        <v>40000.0</v>
      </c>
      <c r="AY47" s="54">
        <v>40000.0</v>
      </c>
      <c r="AZ47" s="54">
        <v>40000.0</v>
      </c>
      <c r="BA47" s="54">
        <v>40000.0</v>
      </c>
    </row>
    <row r="48" spans="1:53" ht="16" outlineLevel="3">
      <c r="A48" s="42" t="s">
        <v>45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4">
        <v>-368603.03</v>
      </c>
      <c r="S48" s="54">
        <v>-388803.03</v>
      </c>
      <c r="T48" s="54">
        <v>-388803.03</v>
      </c>
      <c r="U48" s="54">
        <v>-388803.03</v>
      </c>
      <c r="V48" s="54">
        <v>-388803.03</v>
      </c>
      <c r="W48" s="54">
        <v>-523528.30000000005</v>
      </c>
      <c r="X48" s="54">
        <v>-523528.30000000005</v>
      </c>
      <c r="Y48" s="54">
        <v>-523528.30000000005</v>
      </c>
      <c r="Z48" s="54">
        <v>-523528.30000000005</v>
      </c>
      <c r="AA48" s="54">
        <v>-522638.41000000003</v>
      </c>
      <c r="AB48" s="54">
        <v>-522638.41000000003</v>
      </c>
      <c r="AC48" s="54">
        <v>-522638.41000000003</v>
      </c>
      <c r="AD48" s="54">
        <v>-469193.52</v>
      </c>
      <c r="AE48" s="54">
        <v>-469193.52</v>
      </c>
      <c r="AF48" s="54">
        <v>-469193.52</v>
      </c>
      <c r="AG48" s="54">
        <v>-469193.52</v>
      </c>
      <c r="AH48" s="54">
        <v>-469193.52</v>
      </c>
      <c r="AI48" s="54">
        <v>-469193.52</v>
      </c>
      <c r="AJ48" s="54">
        <v>-469193.52</v>
      </c>
      <c r="AK48" s="54">
        <v>-469193.52</v>
      </c>
      <c r="AL48" s="54">
        <v>-469193.52</v>
      </c>
      <c r="AM48" s="54">
        <v>-469193.52</v>
      </c>
      <c r="AN48" s="54">
        <v>-469193.52</v>
      </c>
      <c r="AO48" s="54">
        <v>-469193.52</v>
      </c>
      <c r="AP48" s="54">
        <v>-600798.9</v>
      </c>
      <c r="AQ48" s="54">
        <v>-600798.9</v>
      </c>
      <c r="AR48" s="54">
        <v>-580398.9</v>
      </c>
      <c r="AS48" s="54">
        <v>-489292.99</v>
      </c>
      <c r="AT48" s="54">
        <v>-489292.99</v>
      </c>
      <c r="AU48" s="54">
        <v>-489292.99</v>
      </c>
      <c r="AV48" s="54">
        <v>-489292.99</v>
      </c>
      <c r="AW48" s="54">
        <v>-489292.99</v>
      </c>
      <c r="AX48" s="54">
        <v>-449592.99</v>
      </c>
      <c r="AY48" s="54">
        <v>-449592.99</v>
      </c>
      <c r="AZ48" s="54">
        <v>-449592.99</v>
      </c>
      <c r="BA48" s="54">
        <v>-449592.99</v>
      </c>
    </row>
    <row r="49" spans="1:53" ht="16" outlineLevel="3">
      <c r="A49" s="42" t="s">
        <v>46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4">
        <v>5000.0</v>
      </c>
      <c r="AY49" s="54">
        <v>5000.0</v>
      </c>
      <c r="AZ49" s="54">
        <v>5000.0</v>
      </c>
      <c r="BA49" s="54">
        <v>5000.0</v>
      </c>
    </row>
    <row r="50" spans="1:53" ht="16" outlineLevel="2">
      <c r="A50" s="43" t="s">
        <v>47</v>
      </c>
      <c r="B50" s="55"/>
      <c r="C50" s="55"/>
      <c r="D50" s="55"/>
      <c r="E50" s="55"/>
      <c r="F50" s="55"/>
      <c r="G50" s="55"/>
      <c r="H50" s="55">
        <f>H30+H31+H32+H33+H34+H35+H36+H37+H38+H39+H40+H41+H42+H43+H44+H45+H46+H47+H48+H49</f>
        <v>15700.0</v>
      </c>
      <c r="I50" s="55">
        <f>I30+I31+I32+I33+I34+I35+I36+I37+I38+I39+I40+I41+I42+I43+I44+I45+I46+I47+I48+I49</f>
        <v>106805.91</v>
      </c>
      <c r="J50" s="55">
        <f>J30+J31+J32+J33+J34+J35+J36+J37+J38+J39+J40+J41+J42+J43+J44+J45+J46+J47+J48+J49</f>
        <v>107805.91</v>
      </c>
      <c r="K50" s="55">
        <f>K30+K31+K32+K33+K34+K35+K36+K37+K38+K39+K40+K41+K42+K43+K44+K45+K46+K47+K48+K49</f>
        <v>143282.65</v>
      </c>
      <c r="L50" s="55">
        <f>L30+L31+L32+L33+L34+L35+L36+L37+L38+L39+L40+L41+L42+L43+L44+L45+L46+L47+L48+L49</f>
        <v>143282.65</v>
      </c>
      <c r="M50" s="55">
        <f>M30+M31+M32+M33+M34+M35+M36+M37+M38+M39+M40+M41+M42+M43+M44+M45+M46+M47+M48+M49</f>
        <v>143282.65</v>
      </c>
      <c r="N50" s="55">
        <f>N30+N31+N32+N33+N34+N35+N36+N37+N38+N39+N40+N41+N42+N43+N44+N45+N46+N47+N48+N49</f>
        <v>143282.65</v>
      </c>
      <c r="O50" s="55">
        <f>O30+O31+O32+O33+O34+O35+O36+O37+O38+O39+O40+O41+O42+O43+O44+O45+O46+O47+O48+O49</f>
        <v>298274.26999999996</v>
      </c>
      <c r="P50" s="55">
        <f>P30+P31+P32+P33+P34+P35+P36+P37+P38+P39+P40+P41+P42+P43+P44+P45+P46+P47+P48+P49</f>
        <v>328688.25999999995</v>
      </c>
      <c r="Q50" s="55">
        <f>Q30+Q31+Q32+Q33+Q34+Q35+Q36+Q37+Q38+Q39+Q40+Q41+Q42+Q43+Q44+Q45+Q46+Q47+Q48+Q49</f>
        <v>328688.25999999995</v>
      </c>
      <c r="R50" s="55">
        <f>R30+R31+R32+R33+R34+R35+R36+R37+R38+R39+R40+R41+R42+R43+R44+R45+R46+R47+R48+R49</f>
        <v>-5.820766091346741E-11</v>
      </c>
      <c r="S50" s="55">
        <f>S30+S31+S32+S33+S34+S35+S36+S37+S38+S39+S40+S41+S42+S43+S44+S45+S46+S47+S48+S49</f>
        <v>17300.729999999923</v>
      </c>
      <c r="T50" s="55">
        <f>T30+T31+T32+T33+T34+T35+T36+T37+T38+T39+T40+T41+T42+T43+T44+T45+T46+T47+T48+T49</f>
        <v>17300.729999999923</v>
      </c>
      <c r="U50" s="55">
        <f>U30+U31+U32+U33+U34+U35+U36+U37+U38+U39+U40+U41+U42+U43+U44+U45+U46+U47+U48+U49</f>
        <v>17300.729999999923</v>
      </c>
      <c r="V50" s="55">
        <f>V30+V31+V32+V33+V34+V35+V36+V37+V38+V39+V40+V41+V42+V43+V44+V45+V46+V47+V48+V49</f>
        <v>17300.729999999923</v>
      </c>
      <c r="W50" s="55">
        <f>W30+W31+W32+W33+W34+W35+W36+W37+W38+W39+W40+W41+W42+W43+W44+W45+W46+W47+W48+W49</f>
        <v>17300.729999999865</v>
      </c>
      <c r="X50" s="55">
        <f>X30+X31+X32+X33+X34+X35+X36+X37+X38+X39+X40+X41+X42+X43+X44+X45+X46+X47+X48+X49</f>
        <v>17300.729999999865</v>
      </c>
      <c r="Y50" s="55">
        <f>Y30+Y31+Y32+Y33+Y34+Y35+Y36+Y37+Y38+Y39+Y40+Y41+Y42+Y43+Y44+Y45+Y46+Y47+Y48+Y49</f>
        <v>17300.729999999865</v>
      </c>
      <c r="Z50" s="55">
        <f>Z30+Z31+Z32+Z33+Z34+Z35+Z36+Z37+Z38+Z39+Z40+Z41+Z42+Z43+Z44+Z45+Z46+Z47+Z48+Z49</f>
        <v>17300.729999999865</v>
      </c>
      <c r="AA50" s="55">
        <f>AA30+AA31+AA32+AA33+AA34+AA35+AA36+AA37+AA38+AA39+AA40+AA41+AA42+AA43+AA44+AA45+AA46+AA47+AA48+AA49</f>
        <v>17300.729999999865</v>
      </c>
      <c r="AB50" s="55">
        <f>AB30+AB31+AB32+AB33+AB34+AB35+AB36+AB37+AB38+AB39+AB40+AB41+AB42+AB43+AB44+AB45+AB46+AB47+AB48+AB49</f>
        <v>17300.729999999865</v>
      </c>
      <c r="AC50" s="55">
        <f>AC30+AC31+AC32+AC33+AC34+AC35+AC36+AC37+AC38+AC39+AC40+AC41+AC42+AC43+AC44+AC45+AC46+AC47+AC48+AC49</f>
        <v>17300.729999999865</v>
      </c>
      <c r="AD50" s="55">
        <f>AD30+AD31+AD32+AD33+AD34+AD35+AD36+AD37+AD38+AD39+AD40+AD41+AD42+AD43+AD44+AD45+AD46+AD47+AD48+AD49</f>
        <v>110745.61999999988</v>
      </c>
      <c r="AE50" s="55">
        <f>AE30+AE31+AE32+AE33+AE34+AE35+AE36+AE37+AE38+AE39+AE40+AE41+AE42+AE43+AE44+AE45+AE46+AE47+AE48+AE49</f>
        <v>137132.8799999999</v>
      </c>
      <c r="AF50" s="55">
        <f>AF30+AF31+AF32+AF33+AF34+AF35+AF36+AF37+AF38+AF39+AF40+AF41+AF42+AF43+AF44+AF45+AF46+AF47+AF48+AF49</f>
        <v>137132.8799999999</v>
      </c>
      <c r="AG50" s="55">
        <f>AG30+AG31+AG32+AG33+AG34+AG35+AG36+AG37+AG38+AG39+AG40+AG41+AG42+AG43+AG44+AG45+AG46+AG47+AG48+AG49</f>
        <v>198424.67999999993</v>
      </c>
      <c r="AH50" s="55">
        <f>AH30+AH31+AH32+AH33+AH34+AH35+AH36+AH37+AH38+AH39+AH40+AH41+AH42+AH43+AH44+AH45+AH46+AH47+AH48+AH49</f>
        <v>198424.67999999993</v>
      </c>
      <c r="AI50" s="55">
        <f>AI30+AI31+AI32+AI33+AI34+AI35+AI36+AI37+AI38+AI39+AI40+AI41+AI42+AI43+AI44+AI45+AI46+AI47+AI48+AI49</f>
        <v>198424.67999999993</v>
      </c>
      <c r="AJ50" s="55">
        <f>AJ30+AJ31+AJ32+AJ33+AJ34+AJ35+AJ36+AJ37+AJ38+AJ39+AJ40+AJ41+AJ42+AJ43+AJ44+AJ45+AJ46+AJ47+AJ48+AJ49</f>
        <v>198424.67999999993</v>
      </c>
      <c r="AK50" s="55">
        <f>AK30+AK31+AK32+AK33+AK34+AK35+AK36+AK37+AK38+AK39+AK40+AK41+AK42+AK43+AK44+AK45+AK46+AK47+AK48+AK49</f>
        <v>198424.67999999993</v>
      </c>
      <c r="AL50" s="55">
        <f>AL30+AL31+AL32+AL33+AL34+AL35+AL36+AL37+AL38+AL39+AL40+AL41+AL42+AL43+AL44+AL45+AL46+AL47+AL48+AL49</f>
        <v>198928.17999999993</v>
      </c>
      <c r="AM50" s="55">
        <f>AM30+AM31+AM32+AM33+AM34+AM35+AM36+AM37+AM38+AM39+AM40+AM41+AM42+AM43+AM44+AM45+AM46+AM47+AM48+AM49</f>
        <v>198928.17999999993</v>
      </c>
      <c r="AN50" s="55">
        <f>AN30+AN31+AN32+AN33+AN34+AN35+AN36+AN37+AN38+AN39+AN40+AN41+AN42+AN43+AN44+AN45+AN46+AN47+AN48+AN49</f>
        <v>198928.17999999993</v>
      </c>
      <c r="AO50" s="55">
        <f>AO30+AO31+AO32+AO33+AO34+AO35+AO36+AO37+AO38+AO39+AO40+AO41+AO42+AO43+AO44+AO45+AO46+AO47+AO48+AO49</f>
        <v>198928.17999999993</v>
      </c>
      <c r="AP50" s="55">
        <f>AP30+AP31+AP32+AP33+AP34+AP35+AP36+AP37+AP38+AP39+AP40+AP41+AP42+AP43+AP44+AP45+AP46+AP47+AP48+AP49</f>
        <v>61009.189999999944</v>
      </c>
      <c r="AQ50" s="55">
        <f>AQ30+AQ31+AQ32+AQ33+AQ34+AQ35+AQ36+AQ37+AQ38+AQ39+AQ40+AQ41+AQ42+AQ43+AQ44+AQ45+AQ46+AQ47+AQ48+AQ49</f>
        <v>61009.189999999944</v>
      </c>
      <c r="AR50" s="55">
        <f>AR30+AR31+AR32+AR33+AR34+AR35+AR36+AR37+AR38+AR39+AR40+AR41+AR42+AR43+AR44+AR45+AR46+AR47+AR48+AR49</f>
        <v>20117.389999999898</v>
      </c>
      <c r="AS50" s="55">
        <f>AS30+AS31+AS32+AS33+AS34+AS35+AS36+AS37+AS38+AS39+AS40+AS41+AS42+AS43+AS44+AS45+AS46+AS47+AS48+AS49</f>
        <v>20117.390000000014</v>
      </c>
      <c r="AT50" s="55">
        <f>AT30+AT31+AT32+AT33+AT34+AT35+AT36+AT37+AT38+AT39+AT40+AT41+AT42+AT43+AT44+AT45+AT46+AT47+AT48+AT49</f>
        <v>20117.390000000014</v>
      </c>
      <c r="AU50" s="55">
        <f>AU30+AU31+AU32+AU33+AU34+AU35+AU36+AU37+AU38+AU39+AU40+AU41+AU42+AU43+AU44+AU45+AU46+AU47+AU48+AU49</f>
        <v>20117.390000000014</v>
      </c>
      <c r="AV50" s="55">
        <f>AV30+AV31+AV32+AV33+AV34+AV35+AV36+AV37+AV38+AV39+AV40+AV41+AV42+AV43+AV44+AV45+AV46+AV47+AV48+AV49</f>
        <v>20117.390000000014</v>
      </c>
      <c r="AW50" s="55">
        <f>AW30+AW31+AW32+AW33+AW34+AW35+AW36+AW37+AW38+AW39+AW40+AW41+AW42+AW43+AW44+AW45+AW46+AW47+AW48+AW49</f>
        <v>20117.390000000014</v>
      </c>
      <c r="AX50" s="55">
        <f>AX30+AX31+AX32+AX33+AX34+AX35+AX36+AX37+AX38+AX39+AX40+AX41+AX42+AX43+AX44+AX45+AX46+AX47+AX48+AX49</f>
        <v>-69907.88</v>
      </c>
      <c r="AY50" s="55">
        <f>AY30+AY31+AY32+AY33+AY34+AY35+AY36+AY37+AY38+AY39+AY40+AY41+AY42+AY43+AY44+AY45+AY46+AY47+AY48+AY49</f>
        <v>-69907.88</v>
      </c>
      <c r="AZ50" s="55">
        <f>AZ30+AZ31+AZ32+AZ33+AZ34+AZ35+AZ36+AZ37+AZ38+AZ39+AZ40+AZ41+AZ42+AZ43+AZ44+AZ45+AZ46+AZ47+AZ48+AZ49</f>
        <v>-69907.88</v>
      </c>
      <c r="BA50" s="55">
        <f>BA30+BA31+BA32+BA33+BA34+BA35+BA36+BA37+BA38+BA39+BA40+BA41+BA42+BA43+BA44+BA45+BA46+BA47+BA48+BA49</f>
        <v>-69907.88</v>
      </c>
    </row>
    <row r="51" spans="1:53" ht="16" outlineLevel="2">
      <c r="A51" s="41" t="s">
        <v>48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</row>
    <row r="52" spans="1:53" ht="16" outlineLevel="3">
      <c r="A52" s="42" t="s">
        <v>49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4">
        <v>74720.52</v>
      </c>
      <c r="AD52" s="54">
        <v>74720.52</v>
      </c>
      <c r="AE52" s="54">
        <v>74720.52</v>
      </c>
      <c r="AF52" s="54">
        <v>74720.52</v>
      </c>
      <c r="AG52" s="54">
        <v>74720.52</v>
      </c>
      <c r="AH52" s="54">
        <v>0</v>
      </c>
      <c r="AI52" s="54">
        <v>0</v>
      </c>
      <c r="AJ52" s="54">
        <v>0</v>
      </c>
      <c r="AK52" s="54">
        <v>0</v>
      </c>
      <c r="AL52" s="54">
        <v>0</v>
      </c>
      <c r="AM52" s="54">
        <v>0</v>
      </c>
      <c r="AN52" s="54">
        <v>0</v>
      </c>
      <c r="AO52" s="54">
        <v>0</v>
      </c>
      <c r="AP52" s="54">
        <v>0</v>
      </c>
      <c r="AQ52" s="54">
        <v>0</v>
      </c>
      <c r="AR52" s="54">
        <v>0</v>
      </c>
      <c r="AS52" s="54">
        <v>0</v>
      </c>
      <c r="AT52" s="54">
        <v>0</v>
      </c>
      <c r="AU52" s="54">
        <v>0</v>
      </c>
      <c r="AV52" s="54">
        <v>0</v>
      </c>
      <c r="AW52" s="54">
        <v>0</v>
      </c>
      <c r="AX52" s="54">
        <v>0</v>
      </c>
      <c r="AY52" s="54">
        <v>0</v>
      </c>
      <c r="AZ52" s="54">
        <v>0</v>
      </c>
      <c r="BA52" s="54">
        <v>0</v>
      </c>
    </row>
    <row r="53" spans="1:53" ht="16" outlineLevel="3">
      <c r="A53" s="42" t="s">
        <v>50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4">
        <v>71771.2</v>
      </c>
      <c r="AD53" s="54">
        <v>71771.2</v>
      </c>
      <c r="AE53" s="54">
        <v>0</v>
      </c>
      <c r="AF53" s="54">
        <v>0</v>
      </c>
      <c r="AG53" s="54">
        <v>0</v>
      </c>
      <c r="AH53" s="54">
        <v>0</v>
      </c>
      <c r="AI53" s="54">
        <v>0</v>
      </c>
      <c r="AJ53" s="54">
        <v>0</v>
      </c>
      <c r="AK53" s="54">
        <v>0</v>
      </c>
      <c r="AL53" s="54">
        <v>0</v>
      </c>
      <c r="AM53" s="54">
        <v>0</v>
      </c>
      <c r="AN53" s="54">
        <v>0</v>
      </c>
      <c r="AO53" s="54">
        <v>0</v>
      </c>
      <c r="AP53" s="54">
        <v>0</v>
      </c>
      <c r="AQ53" s="54">
        <v>0</v>
      </c>
      <c r="AR53" s="54">
        <v>0</v>
      </c>
      <c r="AS53" s="54">
        <v>0</v>
      </c>
      <c r="AT53" s="54">
        <v>0</v>
      </c>
      <c r="AU53" s="54">
        <v>0</v>
      </c>
      <c r="AV53" s="54">
        <v>0</v>
      </c>
      <c r="AW53" s="54">
        <v>0</v>
      </c>
      <c r="AX53" s="54">
        <v>0</v>
      </c>
      <c r="AY53" s="54">
        <v>0</v>
      </c>
      <c r="AZ53" s="54">
        <v>0</v>
      </c>
      <c r="BA53" s="54">
        <v>0</v>
      </c>
    </row>
    <row r="54" spans="1:53" ht="16" outlineLevel="3">
      <c r="A54" s="42" t="s">
        <v>51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4">
        <v>30183.06</v>
      </c>
      <c r="Y54" s="54">
        <v>30183.06</v>
      </c>
      <c r="Z54" s="54">
        <v>30183.06</v>
      </c>
      <c r="AA54" s="54">
        <v>30183.06</v>
      </c>
      <c r="AB54" s="54">
        <v>30183.06</v>
      </c>
      <c r="AC54" s="54">
        <v>30183.06</v>
      </c>
      <c r="AD54" s="54">
        <v>30183.06</v>
      </c>
      <c r="AE54" s="54">
        <v>30183.06</v>
      </c>
      <c r="AF54" s="54">
        <v>30183.06</v>
      </c>
      <c r="AG54" s="54">
        <v>30183.06</v>
      </c>
      <c r="AH54" s="54">
        <v>30183.06</v>
      </c>
      <c r="AI54" s="54">
        <v>30183.06</v>
      </c>
      <c r="AJ54" s="54">
        <v>30183.06</v>
      </c>
      <c r="AK54" s="54">
        <v>30183.06</v>
      </c>
      <c r="AL54" s="54">
        <v>30183.06</v>
      </c>
      <c r="AM54" s="54">
        <v>30183.06</v>
      </c>
      <c r="AN54" s="54">
        <v>30183.06</v>
      </c>
      <c r="AO54" s="54">
        <v>30183.06</v>
      </c>
      <c r="AP54" s="54">
        <v>30183.06</v>
      </c>
      <c r="AQ54" s="54">
        <v>30183.06</v>
      </c>
      <c r="AR54" s="54">
        <v>30183.06</v>
      </c>
      <c r="AS54" s="54">
        <v>30183.06</v>
      </c>
      <c r="AT54" s="54">
        <v>30183.06</v>
      </c>
      <c r="AU54" s="54">
        <v>30183.06</v>
      </c>
      <c r="AV54" s="54">
        <v>30183.06</v>
      </c>
      <c r="AW54" s="54">
        <v>30183.06</v>
      </c>
      <c r="AX54" s="54">
        <v>30183.06</v>
      </c>
      <c r="AY54" s="54">
        <v>30183.06</v>
      </c>
      <c r="AZ54" s="54">
        <v>30183.06</v>
      </c>
      <c r="BA54" s="54">
        <v>30183.06</v>
      </c>
    </row>
    <row r="55" spans="1:53" ht="16" outlineLevel="3">
      <c r="A55" s="42" t="s">
        <v>52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4">
        <v>30208.8</v>
      </c>
      <c r="AD55" s="54">
        <v>30208.8</v>
      </c>
      <c r="AE55" s="54">
        <v>30208.8</v>
      </c>
      <c r="AF55" s="54">
        <v>30208.8</v>
      </c>
      <c r="AG55" s="54">
        <v>30208.8</v>
      </c>
      <c r="AH55" s="54">
        <v>30208.8</v>
      </c>
      <c r="AI55" s="54">
        <v>30208.8</v>
      </c>
      <c r="AJ55" s="54">
        <v>30208.8</v>
      </c>
      <c r="AK55" s="54">
        <v>30208.8</v>
      </c>
      <c r="AL55" s="54">
        <v>30208.8</v>
      </c>
      <c r="AM55" s="54">
        <v>30208.8</v>
      </c>
      <c r="AN55" s="54">
        <v>30208.8</v>
      </c>
      <c r="AO55" s="54">
        <v>30208.8</v>
      </c>
      <c r="AP55" s="54">
        <v>30208.8</v>
      </c>
      <c r="AQ55" s="54">
        <v>30208.8</v>
      </c>
      <c r="AR55" s="54">
        <v>30208.8</v>
      </c>
      <c r="AS55" s="54">
        <v>30208.8</v>
      </c>
      <c r="AT55" s="54">
        <v>30208.8</v>
      </c>
      <c r="AU55" s="54">
        <v>30208.8</v>
      </c>
      <c r="AV55" s="54">
        <v>30208.8</v>
      </c>
      <c r="AW55" s="54">
        <v>30208.8</v>
      </c>
      <c r="AX55" s="54">
        <v>30208.8</v>
      </c>
      <c r="AY55" s="54">
        <v>30208.8</v>
      </c>
      <c r="AZ55" s="54">
        <v>30208.8</v>
      </c>
      <c r="BA55" s="54">
        <v>30208.8</v>
      </c>
    </row>
    <row r="56" spans="1:53" ht="16" outlineLevel="3">
      <c r="A56" s="42" t="s">
        <v>53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4">
        <v>30208.8</v>
      </c>
      <c r="AD56" s="54">
        <v>30208.8</v>
      </c>
      <c r="AE56" s="54">
        <v>30208.8</v>
      </c>
      <c r="AF56" s="54">
        <v>30208.8</v>
      </c>
      <c r="AG56" s="54">
        <v>30208.8</v>
      </c>
      <c r="AH56" s="54">
        <v>30208.8</v>
      </c>
      <c r="AI56" s="54">
        <v>30208.8</v>
      </c>
      <c r="AJ56" s="54">
        <v>30208.8</v>
      </c>
      <c r="AK56" s="54">
        <v>30208.8</v>
      </c>
      <c r="AL56" s="54">
        <v>30208.8</v>
      </c>
      <c r="AM56" s="54">
        <v>30208.8</v>
      </c>
      <c r="AN56" s="54">
        <v>30208.8</v>
      </c>
      <c r="AO56" s="54">
        <v>30208.8</v>
      </c>
      <c r="AP56" s="54">
        <v>30208.8</v>
      </c>
      <c r="AQ56" s="54">
        <v>30208.8</v>
      </c>
      <c r="AR56" s="54">
        <v>30208.8</v>
      </c>
      <c r="AS56" s="54">
        <v>30208.8</v>
      </c>
      <c r="AT56" s="54">
        <v>30208.8</v>
      </c>
      <c r="AU56" s="54">
        <v>30208.8</v>
      </c>
      <c r="AV56" s="54">
        <v>30208.8</v>
      </c>
      <c r="AW56" s="54">
        <v>30208.8</v>
      </c>
      <c r="AX56" s="54">
        <v>30208.8</v>
      </c>
      <c r="AY56" s="54">
        <v>30208.8</v>
      </c>
      <c r="AZ56" s="54">
        <v>30208.8</v>
      </c>
      <c r="BA56" s="54">
        <v>30208.8</v>
      </c>
    </row>
    <row r="57" spans="1:53" ht="16" outlineLevel="3">
      <c r="A57" s="42" t="s">
        <v>54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4">
        <v>26907.9</v>
      </c>
      <c r="AH57" s="54">
        <v>26907.9</v>
      </c>
      <c r="AI57" s="54">
        <v>26907.9</v>
      </c>
      <c r="AJ57" s="54">
        <v>26907.9</v>
      </c>
      <c r="AK57" s="54">
        <v>26907.9</v>
      </c>
      <c r="AL57" s="54">
        <v>26907.9</v>
      </c>
      <c r="AM57" s="54">
        <v>26907.9</v>
      </c>
      <c r="AN57" s="54">
        <v>26907.9</v>
      </c>
      <c r="AO57" s="54">
        <v>26907.9</v>
      </c>
      <c r="AP57" s="54">
        <v>26907.9</v>
      </c>
      <c r="AQ57" s="54">
        <v>26907.9</v>
      </c>
      <c r="AR57" s="54">
        <v>26907.9</v>
      </c>
      <c r="AS57" s="54">
        <v>26907.9</v>
      </c>
      <c r="AT57" s="54">
        <v>26907.9</v>
      </c>
      <c r="AU57" s="54">
        <v>26907.9</v>
      </c>
      <c r="AV57" s="54">
        <v>26907.9</v>
      </c>
      <c r="AW57" s="54">
        <v>26907.9</v>
      </c>
      <c r="AX57" s="54">
        <v>26907.9</v>
      </c>
      <c r="AY57" s="54">
        <v>26907.9</v>
      </c>
      <c r="AZ57" s="54">
        <v>26907.9</v>
      </c>
      <c r="BA57" s="54">
        <v>26907.9</v>
      </c>
    </row>
    <row r="58" spans="1:53" ht="16" outlineLevel="3">
      <c r="A58" s="42" t="s">
        <v>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4">
        <v>14943.2</v>
      </c>
      <c r="AH58" s="54">
        <v>14943.2</v>
      </c>
      <c r="AI58" s="54">
        <v>14943.2</v>
      </c>
      <c r="AJ58" s="54">
        <v>14943.2</v>
      </c>
      <c r="AK58" s="54">
        <v>14943.2</v>
      </c>
      <c r="AL58" s="54">
        <v>14943.2</v>
      </c>
      <c r="AM58" s="54">
        <v>14943.2</v>
      </c>
      <c r="AN58" s="54">
        <v>14943.2</v>
      </c>
      <c r="AO58" s="54">
        <v>14943.2</v>
      </c>
      <c r="AP58" s="54">
        <v>14943.2</v>
      </c>
      <c r="AQ58" s="54">
        <v>14943.2</v>
      </c>
      <c r="AR58" s="54">
        <v>14943.2</v>
      </c>
      <c r="AS58" s="54">
        <v>14943.2</v>
      </c>
      <c r="AT58" s="54">
        <v>14943.2</v>
      </c>
      <c r="AU58" s="54">
        <v>14943.2</v>
      </c>
      <c r="AV58" s="54">
        <v>14943.2</v>
      </c>
      <c r="AW58" s="54">
        <v>14943.2</v>
      </c>
      <c r="AX58" s="54">
        <v>14943.2</v>
      </c>
      <c r="AY58" s="54">
        <v>14943.2</v>
      </c>
      <c r="AZ58" s="54">
        <v>14943.2</v>
      </c>
      <c r="BA58" s="54">
        <v>14943.2</v>
      </c>
    </row>
    <row r="59" spans="1:53" ht="16" outlineLevel="3">
      <c r="A59" s="42" t="s">
        <v>56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4">
        <v>28187.96</v>
      </c>
      <c r="AJ59" s="54">
        <v>28187.96</v>
      </c>
      <c r="AK59" s="54">
        <v>28187.96</v>
      </c>
      <c r="AL59" s="54">
        <v>28187.96</v>
      </c>
      <c r="AM59" s="54">
        <v>28187.96</v>
      </c>
      <c r="AN59" s="54">
        <v>28187.96</v>
      </c>
      <c r="AO59" s="54">
        <v>28187.96</v>
      </c>
      <c r="AP59" s="54">
        <v>28187.96</v>
      </c>
      <c r="AQ59" s="54">
        <v>28187.96</v>
      </c>
      <c r="AR59" s="54">
        <v>28187.96</v>
      </c>
      <c r="AS59" s="54">
        <v>28187.96</v>
      </c>
      <c r="AT59" s="54">
        <v>28187.96</v>
      </c>
      <c r="AU59" s="54">
        <v>28187.96</v>
      </c>
      <c r="AV59" s="54">
        <v>28187.96</v>
      </c>
      <c r="AW59" s="54">
        <v>28187.96</v>
      </c>
      <c r="AX59" s="54">
        <v>28187.96</v>
      </c>
      <c r="AY59" s="54">
        <v>28187.96</v>
      </c>
      <c r="AZ59" s="54">
        <v>28187.96</v>
      </c>
      <c r="BA59" s="54">
        <v>28187.96</v>
      </c>
    </row>
    <row r="60" spans="1:53" ht="16" outlineLevel="3">
      <c r="A60" s="42" t="s">
        <v>57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4">
        <v>23785.74</v>
      </c>
      <c r="AU60" s="54">
        <v>23785.74</v>
      </c>
      <c r="AV60" s="54">
        <v>23785.74</v>
      </c>
      <c r="AW60" s="54">
        <v>23785.74</v>
      </c>
      <c r="AX60" s="54">
        <v>23785.74</v>
      </c>
      <c r="AY60" s="54">
        <v>23785.74</v>
      </c>
      <c r="AZ60" s="54">
        <v>23785.74</v>
      </c>
      <c r="BA60" s="54">
        <v>23785.74</v>
      </c>
    </row>
    <row r="61" spans="1:53" ht="16" outlineLevel="3">
      <c r="A61" s="42" t="s">
        <v>58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4">
        <v>-20200.0</v>
      </c>
      <c r="Y61" s="54">
        <v>-20200.0</v>
      </c>
      <c r="Z61" s="54">
        <v>-20200.0</v>
      </c>
      <c r="AA61" s="54">
        <v>-20200.0</v>
      </c>
      <c r="AB61" s="54">
        <v>-20200.0</v>
      </c>
      <c r="AC61" s="54">
        <v>-166691.72</v>
      </c>
      <c r="AD61" s="54">
        <v>-166691.72</v>
      </c>
      <c r="AE61" s="54">
        <v>-108556.72</v>
      </c>
      <c r="AF61" s="54">
        <v>-108556.72</v>
      </c>
      <c r="AG61" s="54">
        <v>-108556.72</v>
      </c>
      <c r="AH61" s="54">
        <v>-48032.72</v>
      </c>
      <c r="AI61" s="54">
        <v>-48032.72</v>
      </c>
      <c r="AJ61" s="54">
        <v>-48032.72</v>
      </c>
      <c r="AK61" s="54">
        <v>-48032.72</v>
      </c>
      <c r="AL61" s="54">
        <v>-48032.72</v>
      </c>
      <c r="AM61" s="54">
        <v>-48032.72</v>
      </c>
      <c r="AN61" s="54">
        <v>-48032.72</v>
      </c>
      <c r="AO61" s="54">
        <v>-48032.72</v>
      </c>
      <c r="AP61" s="54">
        <v>-48032.72</v>
      </c>
      <c r="AQ61" s="54">
        <v>-48032.72</v>
      </c>
      <c r="AR61" s="54">
        <v>-48032.72</v>
      </c>
      <c r="AS61" s="54">
        <v>-48032.72</v>
      </c>
      <c r="AT61" s="54">
        <v>-48032.72</v>
      </c>
      <c r="AU61" s="54">
        <v>-48032.72</v>
      </c>
      <c r="AV61" s="54">
        <v>-48032.72</v>
      </c>
      <c r="AW61" s="54">
        <v>-48032.72</v>
      </c>
      <c r="AX61" s="54">
        <v>-48032.72</v>
      </c>
      <c r="AY61" s="54">
        <v>-48032.72</v>
      </c>
      <c r="AZ61" s="54">
        <v>-48032.72</v>
      </c>
      <c r="BA61" s="54">
        <v>-48032.72</v>
      </c>
    </row>
    <row r="62" spans="1:53" ht="16" outlineLevel="2">
      <c r="A62" s="43" t="s">
        <v>59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>
        <f>X51+X52+X53+X54+X55+X56+X57+X58+X59+X60+X61</f>
        <v>9983.060000000001</v>
      </c>
      <c r="Y62" s="55">
        <f>Y51+Y52+Y53+Y54+Y55+Y56+Y57+Y58+Y59+Y60+Y61</f>
        <v>9983.060000000001</v>
      </c>
      <c r="Z62" s="55">
        <f>Z51+Z52+Z53+Z54+Z55+Z56+Z57+Z58+Z59+Z60+Z61</f>
        <v>9983.060000000001</v>
      </c>
      <c r="AA62" s="55">
        <f>AA51+AA52+AA53+AA54+AA55+AA56+AA57+AA58+AA59+AA60+AA61</f>
        <v>9983.060000000001</v>
      </c>
      <c r="AB62" s="55">
        <f>AB51+AB52+AB53+AB54+AB55+AB56+AB57+AB58+AB59+AB60+AB61</f>
        <v>9983.060000000001</v>
      </c>
      <c r="AC62" s="55">
        <f>AC51+AC52+AC53+AC54+AC55+AC56+AC57+AC58+AC59+AC60+AC61</f>
        <v>70400.65999999997</v>
      </c>
      <c r="AD62" s="55">
        <f>AD51+AD52+AD53+AD54+AD55+AD56+AD57+AD58+AD59+AD60+AD61</f>
        <v>70400.65999999997</v>
      </c>
      <c r="AE62" s="55">
        <f>AE51+AE52+AE53+AE54+AE55+AE56+AE57+AE58+AE59+AE60+AE61</f>
        <v>56764.45999999999</v>
      </c>
      <c r="AF62" s="55">
        <f>AF51+AF52+AF53+AF54+AF55+AF56+AF57+AF58+AF59+AF60+AF61</f>
        <v>56764.45999999999</v>
      </c>
      <c r="AG62" s="55">
        <f>AG51+AG52+AG53+AG54+AG55+AG56+AG57+AG58+AG59+AG60+AG61</f>
        <v>98615.56</v>
      </c>
      <c r="AH62" s="55">
        <f>AH51+AH52+AH53+AH54+AH55+AH56+AH57+AH58+AH59+AH60+AH61</f>
        <v>84419.04000000001</v>
      </c>
      <c r="AI62" s="55">
        <f>AI51+AI52+AI53+AI54+AI55+AI56+AI57+AI58+AI59+AI60+AI61</f>
        <v>112607.0</v>
      </c>
      <c r="AJ62" s="55">
        <f>AJ51+AJ52+AJ53+AJ54+AJ55+AJ56+AJ57+AJ58+AJ59+AJ60+AJ61</f>
        <v>112607.0</v>
      </c>
      <c r="AK62" s="55">
        <f>AK51+AK52+AK53+AK54+AK55+AK56+AK57+AK58+AK59+AK60+AK61</f>
        <v>112607.0</v>
      </c>
      <c r="AL62" s="55">
        <f>AL51+AL52+AL53+AL54+AL55+AL56+AL57+AL58+AL59+AL60+AL61</f>
        <v>112607.0</v>
      </c>
      <c r="AM62" s="55">
        <f>AM51+AM52+AM53+AM54+AM55+AM56+AM57+AM58+AM59+AM60+AM61</f>
        <v>112607.0</v>
      </c>
      <c r="AN62" s="55">
        <f>AN51+AN52+AN53+AN54+AN55+AN56+AN57+AN58+AN59+AN60+AN61</f>
        <v>112607.0</v>
      </c>
      <c r="AO62" s="55">
        <f>AO51+AO52+AO53+AO54+AO55+AO56+AO57+AO58+AO59+AO60+AO61</f>
        <v>112607.0</v>
      </c>
      <c r="AP62" s="55">
        <f>AP51+AP52+AP53+AP54+AP55+AP56+AP57+AP58+AP59+AP60+AP61</f>
        <v>112607.0</v>
      </c>
      <c r="AQ62" s="55">
        <f>AQ51+AQ52+AQ53+AQ54+AQ55+AQ56+AQ57+AQ58+AQ59+AQ60+AQ61</f>
        <v>112607.0</v>
      </c>
      <c r="AR62" s="55">
        <f>AR51+AR52+AR53+AR54+AR55+AR56+AR57+AR58+AR59+AR60+AR61</f>
        <v>112607.0</v>
      </c>
      <c r="AS62" s="55">
        <f>AS51+AS52+AS53+AS54+AS55+AS56+AS57+AS58+AS59+AS60+AS61</f>
        <v>112607.0</v>
      </c>
      <c r="AT62" s="55">
        <f>AT51+AT52+AT53+AT54+AT55+AT56+AT57+AT58+AT59+AT60+AT61</f>
        <v>136392.74</v>
      </c>
      <c r="AU62" s="55">
        <f>AU51+AU52+AU53+AU54+AU55+AU56+AU57+AU58+AU59+AU60+AU61</f>
        <v>136392.74</v>
      </c>
      <c r="AV62" s="55">
        <f>AV51+AV52+AV53+AV54+AV55+AV56+AV57+AV58+AV59+AV60+AV61</f>
        <v>136392.74</v>
      </c>
      <c r="AW62" s="55">
        <f>AW51+AW52+AW53+AW54+AW55+AW56+AW57+AW58+AW59+AW60+AW61</f>
        <v>136392.74</v>
      </c>
      <c r="AX62" s="55">
        <f>AX51+AX52+AX53+AX54+AX55+AX56+AX57+AX58+AX59+AX60+AX61</f>
        <v>136392.74</v>
      </c>
      <c r="AY62" s="55">
        <f>AY51+AY52+AY53+AY54+AY55+AY56+AY57+AY58+AY59+AY60+AY61</f>
        <v>136392.74</v>
      </c>
      <c r="AZ62" s="55">
        <f>AZ51+AZ52+AZ53+AZ54+AZ55+AZ56+AZ57+AZ58+AZ59+AZ60+AZ61</f>
        <v>136392.74</v>
      </c>
      <c r="BA62" s="55">
        <f>BA51+BA52+BA53+BA54+BA55+BA56+BA57+BA58+BA59+BA60+BA61</f>
        <v>136392.74</v>
      </c>
    </row>
    <row r="63" spans="1:53" ht="16" outlineLevel="2">
      <c r="A63" s="41" t="s">
        <v>60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4">
        <v>3073.37</v>
      </c>
      <c r="AB63" s="54">
        <v>3073.37</v>
      </c>
      <c r="AC63" s="54">
        <v>3073.37</v>
      </c>
      <c r="AD63" s="54">
        <v>15309.490000000002</v>
      </c>
      <c r="AE63" s="54">
        <v>15309.490000000002</v>
      </c>
      <c r="AF63" s="54">
        <v>15309.490000000002</v>
      </c>
      <c r="AG63" s="54">
        <v>15309.490000000002</v>
      </c>
      <c r="AH63" s="54">
        <v>15309.490000000002</v>
      </c>
      <c r="AI63" s="54">
        <v>15309.490000000002</v>
      </c>
      <c r="AJ63" s="54">
        <v>19754.300000000003</v>
      </c>
      <c r="AK63" s="54">
        <v>19754.300000000003</v>
      </c>
      <c r="AL63" s="54">
        <v>19754.300000000003</v>
      </c>
      <c r="AM63" s="54">
        <v>19754.300000000003</v>
      </c>
      <c r="AN63" s="54">
        <v>19754.300000000003</v>
      </c>
      <c r="AO63" s="54">
        <v>19754.300000000003</v>
      </c>
      <c r="AP63" s="54">
        <v>19754.300000000003</v>
      </c>
      <c r="AQ63" s="54">
        <v>19754.300000000003</v>
      </c>
      <c r="AR63" s="54">
        <v>19754.300000000003</v>
      </c>
      <c r="AS63" s="54">
        <v>19754.300000000003</v>
      </c>
      <c r="AT63" s="54">
        <v>19754.300000000003</v>
      </c>
      <c r="AU63" s="54">
        <v>19754.300000000003</v>
      </c>
      <c r="AV63" s="54">
        <v>19754.300000000003</v>
      </c>
      <c r="AW63" s="54">
        <v>19754.300000000003</v>
      </c>
      <c r="AX63" s="54">
        <v>19754.300000000003</v>
      </c>
      <c r="AY63" s="54">
        <v>19754.300000000003</v>
      </c>
      <c r="AZ63" s="54">
        <v>19754.300000000003</v>
      </c>
      <c r="BA63" s="54">
        <v>19754.300000000003</v>
      </c>
    </row>
    <row r="64" spans="1:53" ht="16" outlineLevel="3">
      <c r="A64" s="42" t="s">
        <v>61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4">
        <v>24431.87</v>
      </c>
      <c r="AC64" s="54">
        <v>24431.87</v>
      </c>
      <c r="AD64" s="54">
        <v>24431.87</v>
      </c>
      <c r="AE64" s="54">
        <v>24431.87</v>
      </c>
      <c r="AF64" s="54">
        <v>24431.87</v>
      </c>
      <c r="AG64" s="54">
        <v>24431.87</v>
      </c>
      <c r="AH64" s="54">
        <v>24431.87</v>
      </c>
      <c r="AI64" s="54">
        <v>24431.87</v>
      </c>
      <c r="AJ64" s="54">
        <v>24431.87</v>
      </c>
      <c r="AK64" s="54">
        <v>24431.87</v>
      </c>
      <c r="AL64" s="54">
        <v>24431.87</v>
      </c>
      <c r="AM64" s="54">
        <v>24431.87</v>
      </c>
      <c r="AN64" s="54">
        <v>24431.87</v>
      </c>
      <c r="AO64" s="54">
        <v>24431.87</v>
      </c>
      <c r="AP64" s="54">
        <v>24431.87</v>
      </c>
      <c r="AQ64" s="54">
        <v>24431.87</v>
      </c>
      <c r="AR64" s="54">
        <v>24431.87</v>
      </c>
      <c r="AS64" s="54">
        <v>24431.87</v>
      </c>
      <c r="AT64" s="54">
        <v>24431.87</v>
      </c>
      <c r="AU64" s="54">
        <v>24431.87</v>
      </c>
      <c r="AV64" s="54">
        <v>24431.87</v>
      </c>
      <c r="AW64" s="54">
        <v>24431.87</v>
      </c>
      <c r="AX64" s="54">
        <v>24431.87</v>
      </c>
      <c r="AY64" s="54">
        <v>24431.87</v>
      </c>
      <c r="AZ64" s="54">
        <v>24431.87</v>
      </c>
      <c r="BA64" s="54">
        <v>24431.87</v>
      </c>
    </row>
    <row r="65" spans="1:53" ht="16" outlineLevel="3">
      <c r="A65" s="42" t="s">
        <v>62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4">
        <v>18623.09</v>
      </c>
      <c r="AC65" s="54">
        <v>18623.09</v>
      </c>
      <c r="AD65" s="54">
        <v>18623.09</v>
      </c>
      <c r="AE65" s="54">
        <v>18623.09</v>
      </c>
      <c r="AF65" s="54">
        <v>18623.09</v>
      </c>
      <c r="AG65" s="54">
        <v>18623.09</v>
      </c>
      <c r="AH65" s="54">
        <v>18623.09</v>
      </c>
      <c r="AI65" s="54">
        <v>18623.09</v>
      </c>
      <c r="AJ65" s="54">
        <v>18623.09</v>
      </c>
      <c r="AK65" s="54">
        <v>18623.09</v>
      </c>
      <c r="AL65" s="54">
        <v>18623.09</v>
      </c>
      <c r="AM65" s="54">
        <v>18623.09</v>
      </c>
      <c r="AN65" s="54">
        <v>18623.09</v>
      </c>
      <c r="AO65" s="54">
        <v>18623.09</v>
      </c>
      <c r="AP65" s="54">
        <v>18623.09</v>
      </c>
      <c r="AQ65" s="54">
        <v>18623.09</v>
      </c>
      <c r="AR65" s="54">
        <v>18623.09</v>
      </c>
      <c r="AS65" s="54">
        <v>18623.09</v>
      </c>
      <c r="AT65" s="54">
        <v>18623.09</v>
      </c>
      <c r="AU65" s="54">
        <v>18623.09</v>
      </c>
      <c r="AV65" s="54">
        <v>18623.09</v>
      </c>
      <c r="AW65" s="54">
        <v>18623.09</v>
      </c>
      <c r="AX65" s="54">
        <v>18623.09</v>
      </c>
      <c r="AY65" s="54">
        <v>18623.09</v>
      </c>
      <c r="AZ65" s="54">
        <v>18623.09</v>
      </c>
      <c r="BA65" s="54">
        <v>18623.09</v>
      </c>
    </row>
    <row r="66" spans="1:53" ht="16" outlineLevel="3">
      <c r="A66" s="42" t="s">
        <v>63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4">
        <v>18623.09</v>
      </c>
      <c r="AC66" s="54">
        <v>18623.09</v>
      </c>
      <c r="AD66" s="54">
        <v>18623.09</v>
      </c>
      <c r="AE66" s="54">
        <v>0</v>
      </c>
      <c r="AF66" s="54">
        <v>0</v>
      </c>
      <c r="AG66" s="54">
        <v>0</v>
      </c>
      <c r="AH66" s="54">
        <v>0</v>
      </c>
      <c r="AI66" s="54">
        <v>0</v>
      </c>
      <c r="AJ66" s="54">
        <v>0</v>
      </c>
      <c r="AK66" s="54">
        <v>0</v>
      </c>
      <c r="AL66" s="54">
        <v>0</v>
      </c>
      <c r="AM66" s="54">
        <v>0</v>
      </c>
      <c r="AN66" s="54">
        <v>0</v>
      </c>
      <c r="AO66" s="54">
        <v>0</v>
      </c>
      <c r="AP66" s="54">
        <v>0</v>
      </c>
      <c r="AQ66" s="54">
        <v>0</v>
      </c>
      <c r="AR66" s="54">
        <v>0</v>
      </c>
      <c r="AS66" s="54">
        <v>0</v>
      </c>
      <c r="AT66" s="54">
        <v>0</v>
      </c>
      <c r="AU66" s="54">
        <v>0</v>
      </c>
      <c r="AV66" s="54">
        <v>0</v>
      </c>
      <c r="AW66" s="54">
        <v>0</v>
      </c>
      <c r="AX66" s="54">
        <v>0</v>
      </c>
      <c r="AY66" s="54">
        <v>0</v>
      </c>
      <c r="AZ66" s="54">
        <v>0</v>
      </c>
      <c r="BA66" s="54">
        <v>0</v>
      </c>
    </row>
    <row r="67" spans="1:53" ht="16" outlineLevel="3">
      <c r="A67" s="42" t="s">
        <v>64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4">
        <v>3760.11</v>
      </c>
      <c r="AB67" s="54">
        <v>3760.11</v>
      </c>
      <c r="AC67" s="54">
        <v>3760.11</v>
      </c>
      <c r="AD67" s="54">
        <v>3760.11</v>
      </c>
      <c r="AE67" s="54">
        <v>3760.11</v>
      </c>
      <c r="AF67" s="54">
        <v>3760.11</v>
      </c>
      <c r="AG67" s="54">
        <v>3760.11</v>
      </c>
      <c r="AH67" s="54">
        <v>3760.11</v>
      </c>
      <c r="AI67" s="54">
        <v>3760.11</v>
      </c>
      <c r="AJ67" s="54">
        <v>3760.11</v>
      </c>
      <c r="AK67" s="54">
        <v>3760.11</v>
      </c>
      <c r="AL67" s="54">
        <v>3760.11</v>
      </c>
      <c r="AM67" s="54">
        <v>3760.11</v>
      </c>
      <c r="AN67" s="54">
        <v>3760.11</v>
      </c>
      <c r="AO67" s="54">
        <v>3760.11</v>
      </c>
      <c r="AP67" s="54">
        <v>3760.11</v>
      </c>
      <c r="AQ67" s="54">
        <v>3760.11</v>
      </c>
      <c r="AR67" s="54">
        <v>3760.11</v>
      </c>
      <c r="AS67" s="54">
        <v>3760.11</v>
      </c>
      <c r="AT67" s="54">
        <v>3760.11</v>
      </c>
      <c r="AU67" s="54">
        <v>3760.11</v>
      </c>
      <c r="AV67" s="54">
        <v>3760.11</v>
      </c>
      <c r="AW67" s="54">
        <v>3760.11</v>
      </c>
      <c r="AX67" s="54">
        <v>3760.11</v>
      </c>
      <c r="AY67" s="54">
        <v>3760.11</v>
      </c>
      <c r="AZ67" s="54">
        <v>3760.11</v>
      </c>
      <c r="BA67" s="54">
        <v>3760.11</v>
      </c>
    </row>
    <row r="68" spans="1:53" ht="16" outlineLevel="3">
      <c r="A68" s="42" t="s">
        <v>65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4">
        <v>3360.11</v>
      </c>
      <c r="AB68" s="54">
        <v>3360.11</v>
      </c>
      <c r="AC68" s="54">
        <v>3360.11</v>
      </c>
      <c r="AD68" s="54">
        <v>3360.11</v>
      </c>
      <c r="AE68" s="54">
        <v>3360.11</v>
      </c>
      <c r="AF68" s="54">
        <v>3360.11</v>
      </c>
      <c r="AG68" s="54">
        <v>3360.11</v>
      </c>
      <c r="AH68" s="54">
        <v>3360.11</v>
      </c>
      <c r="AI68" s="54">
        <v>3360.11</v>
      </c>
      <c r="AJ68" s="54">
        <v>3360.11</v>
      </c>
      <c r="AK68" s="54">
        <v>3360.11</v>
      </c>
      <c r="AL68" s="54">
        <v>3360.11</v>
      </c>
      <c r="AM68" s="54">
        <v>3360.11</v>
      </c>
      <c r="AN68" s="54">
        <v>3360.11</v>
      </c>
      <c r="AO68" s="54">
        <v>3360.11</v>
      </c>
      <c r="AP68" s="54">
        <v>3360.11</v>
      </c>
      <c r="AQ68" s="54">
        <v>3360.11</v>
      </c>
      <c r="AR68" s="54">
        <v>3360.11</v>
      </c>
      <c r="AS68" s="54">
        <v>3360.11</v>
      </c>
      <c r="AT68" s="54">
        <v>3360.11</v>
      </c>
      <c r="AU68" s="54">
        <v>3360.11</v>
      </c>
      <c r="AV68" s="54">
        <v>3360.11</v>
      </c>
      <c r="AW68" s="54">
        <v>3360.11</v>
      </c>
      <c r="AX68" s="54">
        <v>3360.11</v>
      </c>
      <c r="AY68" s="54">
        <v>3360.11</v>
      </c>
      <c r="AZ68" s="54">
        <v>3360.11</v>
      </c>
      <c r="BA68" s="54">
        <v>3360.11</v>
      </c>
    </row>
    <row r="69" spans="1:53" ht="16" outlineLevel="3">
      <c r="A69" s="42" t="s">
        <v>66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4">
        <v>12117.4</v>
      </c>
      <c r="AE69" s="54">
        <v>12117.4</v>
      </c>
      <c r="AF69" s="54">
        <v>12117.4</v>
      </c>
      <c r="AG69" s="54">
        <v>12117.4</v>
      </c>
      <c r="AH69" s="54">
        <v>12117.4</v>
      </c>
      <c r="AI69" s="54">
        <v>12117.4</v>
      </c>
      <c r="AJ69" s="54">
        <v>12117.4</v>
      </c>
      <c r="AK69" s="54">
        <v>12117.4</v>
      </c>
      <c r="AL69" s="54">
        <v>12117.4</v>
      </c>
      <c r="AM69" s="54">
        <v>12117.4</v>
      </c>
      <c r="AN69" s="54">
        <v>12117.4</v>
      </c>
      <c r="AO69" s="54">
        <v>12117.4</v>
      </c>
      <c r="AP69" s="54">
        <v>12117.4</v>
      </c>
      <c r="AQ69" s="54">
        <v>12117.4</v>
      </c>
      <c r="AR69" s="54">
        <v>12117.4</v>
      </c>
      <c r="AS69" s="54">
        <v>12117.4</v>
      </c>
      <c r="AT69" s="54">
        <v>12117.4</v>
      </c>
      <c r="AU69" s="54">
        <v>12117.4</v>
      </c>
      <c r="AV69" s="54">
        <v>12117.4</v>
      </c>
      <c r="AW69" s="54">
        <v>12117.4</v>
      </c>
      <c r="AX69" s="54">
        <v>12117.4</v>
      </c>
      <c r="AY69" s="54">
        <v>12117.4</v>
      </c>
      <c r="AZ69" s="54">
        <v>12117.4</v>
      </c>
      <c r="BA69" s="54">
        <v>12117.4</v>
      </c>
    </row>
    <row r="70" spans="1:53" ht="16" outlineLevel="3">
      <c r="A70" s="42" t="s">
        <v>67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4">
        <v>4775.0</v>
      </c>
      <c r="AX70" s="54">
        <v>4775.0</v>
      </c>
      <c r="AY70" s="54">
        <v>4775.0</v>
      </c>
      <c r="AZ70" s="54">
        <v>4775.0</v>
      </c>
      <c r="BA70" s="54">
        <v>4775.0</v>
      </c>
    </row>
    <row r="71" spans="1:53" ht="16" outlineLevel="3">
      <c r="A71" s="42" t="s">
        <v>68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4">
        <v>4800.0</v>
      </c>
      <c r="AX71" s="54">
        <v>4800.0</v>
      </c>
      <c r="AY71" s="54">
        <v>4800.0</v>
      </c>
      <c r="AZ71" s="54">
        <v>4800.0</v>
      </c>
      <c r="BA71" s="54">
        <v>4800.0</v>
      </c>
    </row>
    <row r="72" spans="1:53" ht="16" outlineLevel="3">
      <c r="A72" s="42" t="s">
        <v>69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4">
        <v>8300.0</v>
      </c>
      <c r="AX72" s="54">
        <v>8300.0</v>
      </c>
      <c r="AY72" s="54">
        <v>12100.0</v>
      </c>
      <c r="AZ72" s="54">
        <v>12100.0</v>
      </c>
      <c r="BA72" s="54">
        <v>12100.0</v>
      </c>
    </row>
    <row r="73" spans="1:53" ht="16" outlineLevel="3">
      <c r="A73" s="42" t="s">
        <v>70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4">
        <v>126106.87</v>
      </c>
      <c r="AY73" s="54">
        <v>126106.87</v>
      </c>
      <c r="AZ73" s="54">
        <v>126106.87</v>
      </c>
      <c r="BA73" s="54">
        <v>126106.87</v>
      </c>
    </row>
    <row r="74" spans="1:53" ht="16" outlineLevel="3">
      <c r="A74" s="42" t="s">
        <v>71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4">
        <v>-23385.86</v>
      </c>
      <c r="AB74" s="54">
        <v>-85063.91</v>
      </c>
      <c r="AC74" s="54">
        <v>-85063.91</v>
      </c>
      <c r="AD74" s="54">
        <v>-85063.91</v>
      </c>
      <c r="AE74" s="54">
        <v>-66440.82</v>
      </c>
      <c r="AF74" s="54">
        <v>-66440.82</v>
      </c>
      <c r="AG74" s="54">
        <v>-66440.82</v>
      </c>
      <c r="AH74" s="54">
        <v>-66440.82</v>
      </c>
      <c r="AI74" s="54">
        <v>-66440.82</v>
      </c>
      <c r="AJ74" s="54">
        <v>-66440.82</v>
      </c>
      <c r="AK74" s="54">
        <v>-66440.82</v>
      </c>
      <c r="AL74" s="54">
        <v>-66440.82</v>
      </c>
      <c r="AM74" s="54">
        <v>-66440.82</v>
      </c>
      <c r="AN74" s="54">
        <v>-66440.82</v>
      </c>
      <c r="AO74" s="54">
        <v>-66440.82</v>
      </c>
      <c r="AP74" s="54">
        <v>-82046.88</v>
      </c>
      <c r="AQ74" s="54">
        <v>-82046.88</v>
      </c>
      <c r="AR74" s="54">
        <v>-82046.88</v>
      </c>
      <c r="AS74" s="54">
        <v>-82046.88</v>
      </c>
      <c r="AT74" s="54">
        <v>-82046.88</v>
      </c>
      <c r="AU74" s="54">
        <v>-82046.88</v>
      </c>
      <c r="AV74" s="54">
        <v>-82046.88</v>
      </c>
      <c r="AW74" s="54">
        <v>-82046.88</v>
      </c>
      <c r="AX74" s="54">
        <v>-82046.88</v>
      </c>
      <c r="AY74" s="54">
        <v>-82046.88</v>
      </c>
      <c r="AZ74" s="54">
        <v>-82046.88</v>
      </c>
      <c r="BA74" s="54">
        <v>-82046.88</v>
      </c>
    </row>
    <row r="75" spans="1:53" ht="16" outlineLevel="2">
      <c r="A75" s="43" t="s">
        <v>72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>
        <f>AA63+AA64+AA65+AA66+AA67+AA68+AA69+AA70+AA71+AA72+AA73+AA74</f>
        <v>-13192.27</v>
      </c>
      <c r="AB75" s="55">
        <f>AB63+AB64+AB65+AB66+AB67+AB68+AB69+AB70+AB71+AB72+AB73+AB74</f>
        <v>-13192.270000000004</v>
      </c>
      <c r="AC75" s="55">
        <f>AC63+AC64+AC65+AC66+AC67+AC68+AC69+AC70+AC71+AC72+AC73+AC74</f>
        <v>-13192.270000000004</v>
      </c>
      <c r="AD75" s="55">
        <f>AD63+AD64+AD65+AD66+AD67+AD68+AD69+AD70+AD71+AD72+AD73+AD74</f>
        <v>11161.249999999985</v>
      </c>
      <c r="AE75" s="55">
        <f>AE63+AE64+AE65+AE66+AE67+AE68+AE69+AE70+AE71+AE72+AE73+AE74</f>
        <v>11161.249999999985</v>
      </c>
      <c r="AF75" s="55">
        <f>AF63+AF64+AF65+AF66+AF67+AF68+AF69+AF70+AF71+AF72+AF73+AF74</f>
        <v>11161.249999999985</v>
      </c>
      <c r="AG75" s="55">
        <f>AG63+AG64+AG65+AG66+AG67+AG68+AG69+AG70+AG71+AG72+AG73+AG74</f>
        <v>11161.249999999985</v>
      </c>
      <c r="AH75" s="55">
        <f>AH63+AH64+AH65+AH66+AH67+AH68+AH69+AH70+AH71+AH72+AH73+AH74</f>
        <v>11161.249999999985</v>
      </c>
      <c r="AI75" s="55">
        <f>AI63+AI64+AI65+AI66+AI67+AI68+AI69+AI70+AI71+AI72+AI73+AI74</f>
        <v>11161.249999999985</v>
      </c>
      <c r="AJ75" s="55">
        <f>AJ63+AJ64+AJ65+AJ66+AJ67+AJ68+AJ69+AJ70+AJ71+AJ72+AJ73+AJ74</f>
        <v>15606.059999999983</v>
      </c>
      <c r="AK75" s="55">
        <f>AK63+AK64+AK65+AK66+AK67+AK68+AK69+AK70+AK71+AK72+AK73+AK74</f>
        <v>15606.059999999983</v>
      </c>
      <c r="AL75" s="55">
        <f>AL63+AL64+AL65+AL66+AL67+AL68+AL69+AL70+AL71+AL72+AL73+AL74</f>
        <v>15606.059999999983</v>
      </c>
      <c r="AM75" s="55">
        <f>AM63+AM64+AM65+AM66+AM67+AM68+AM69+AM70+AM71+AM72+AM73+AM74</f>
        <v>15606.059999999983</v>
      </c>
      <c r="AN75" s="55">
        <f>AN63+AN64+AN65+AN66+AN67+AN68+AN69+AN70+AN71+AN72+AN73+AN74</f>
        <v>15606.059999999983</v>
      </c>
      <c r="AO75" s="55">
        <f>AO63+AO64+AO65+AO66+AO67+AO68+AO69+AO70+AO71+AO72+AO73+AO74</f>
        <v>15606.059999999983</v>
      </c>
      <c r="AP75" s="55">
        <f>AP63+AP64+AP65+AP66+AP67+AP68+AP69+AP70+AP71+AP72+AP73+AP74</f>
        <v>0.0</v>
      </c>
      <c r="AQ75" s="55">
        <f>AQ63+AQ64+AQ65+AQ66+AQ67+AQ68+AQ69+AQ70+AQ71+AQ72+AQ73+AQ74</f>
        <v>0.0</v>
      </c>
      <c r="AR75" s="55">
        <f>AR63+AR64+AR65+AR66+AR67+AR68+AR69+AR70+AR71+AR72+AR73+AR74</f>
        <v>0.0</v>
      </c>
      <c r="AS75" s="55">
        <f>AS63+AS64+AS65+AS66+AS67+AS68+AS69+AS70+AS71+AS72+AS73+AS74</f>
        <v>0.0</v>
      </c>
      <c r="AT75" s="55">
        <f>AT63+AT64+AT65+AT66+AT67+AT68+AT69+AT70+AT71+AT72+AT73+AT74</f>
        <v>0.0</v>
      </c>
      <c r="AU75" s="55">
        <f>AU63+AU64+AU65+AU66+AU67+AU68+AU69+AU70+AU71+AU72+AU73+AU74</f>
        <v>0.0</v>
      </c>
      <c r="AV75" s="55">
        <f>AV63+AV64+AV65+AV66+AV67+AV68+AV69+AV70+AV71+AV72+AV73+AV74</f>
        <v>0.0</v>
      </c>
      <c r="AW75" s="55">
        <f>AW63+AW64+AW65+AW66+AW67+AW68+AW69+AW70+AW71+AW72+AW73+AW74</f>
        <v>17874.999999999985</v>
      </c>
      <c r="AX75" s="55">
        <f>AX63+AX64+AX65+AX66+AX67+AX68+AX69+AX70+AX71+AX72+AX73+AX74</f>
        <v>143981.87</v>
      </c>
      <c r="AY75" s="55">
        <f>AY63+AY64+AY65+AY66+AY67+AY68+AY69+AY70+AY71+AY72+AY73+AY74</f>
        <v>147781.87</v>
      </c>
      <c r="AZ75" s="55">
        <f>AZ63+AZ64+AZ65+AZ66+AZ67+AZ68+AZ69+AZ70+AZ71+AZ72+AZ73+AZ74</f>
        <v>147781.87</v>
      </c>
      <c r="BA75" s="55">
        <f>BA63+BA64+BA65+BA66+BA67+BA68+BA69+BA70+BA71+BA72+BA73+BA74</f>
        <v>147781.87</v>
      </c>
    </row>
    <row r="76" spans="1:53" ht="16" outlineLevel="1">
      <c r="A76" s="44" t="s">
        <v>73</v>
      </c>
      <c r="B76" s="55"/>
      <c r="C76" s="55"/>
      <c r="D76" s="55"/>
      <c r="E76" s="55"/>
      <c r="F76" s="55"/>
      <c r="G76" s="55"/>
      <c r="H76" s="55">
        <f>H29+H50+H62+H75</f>
        <v>15700.0</v>
      </c>
      <c r="I76" s="55">
        <f>I29+I50+I62+I75</f>
        <v>106805.91</v>
      </c>
      <c r="J76" s="55">
        <f>J29+J50+J62+J75</f>
        <v>107805.91</v>
      </c>
      <c r="K76" s="55">
        <f>K29+K50+K62+K75</f>
        <v>143282.65</v>
      </c>
      <c r="L76" s="55">
        <f>L29+L50+L62+L75</f>
        <v>143282.65</v>
      </c>
      <c r="M76" s="55">
        <f>M29+M50+M62+M75</f>
        <v>143282.65</v>
      </c>
      <c r="N76" s="55">
        <f>N29+N50+N62+N75</f>
        <v>143282.65</v>
      </c>
      <c r="O76" s="55">
        <f>O29+O50+O62+O75</f>
        <v>298274.26999999996</v>
      </c>
      <c r="P76" s="55">
        <f>P29+P50+P62+P75</f>
        <v>328688.25999999995</v>
      </c>
      <c r="Q76" s="55">
        <f>Q29+Q50+Q62+Q75</f>
        <v>328688.25999999995</v>
      </c>
      <c r="R76" s="55">
        <f>R29+R50+R62+R75</f>
        <v>-5.820766091346741E-11</v>
      </c>
      <c r="S76" s="55">
        <f>S29+S50+S62+S75</f>
        <v>17300.729999999923</v>
      </c>
      <c r="T76" s="55">
        <f>T29+T50+T62+T75</f>
        <v>17300.729999999923</v>
      </c>
      <c r="U76" s="55">
        <f>U29+U50+U62+U75</f>
        <v>17300.729999999923</v>
      </c>
      <c r="V76" s="55">
        <f>V29+V50+V62+V75</f>
        <v>17300.729999999923</v>
      </c>
      <c r="W76" s="55">
        <f>W29+W50+W62+W75</f>
        <v>17300.729999999865</v>
      </c>
      <c r="X76" s="55">
        <f>X29+X50+X62+X75</f>
        <v>27283.789999999866</v>
      </c>
      <c r="Y76" s="55">
        <f>Y29+Y50+Y62+Y75</f>
        <v>27283.789999999866</v>
      </c>
      <c r="Z76" s="55">
        <f>Z29+Z50+Z62+Z75</f>
        <v>27283.789999999866</v>
      </c>
      <c r="AA76" s="55">
        <f>AA29+AA50+AA62+AA75</f>
        <v>14091.519999999866</v>
      </c>
      <c r="AB76" s="55">
        <f>AB29+AB50+AB62+AB75</f>
        <v>14091.519999999862</v>
      </c>
      <c r="AC76" s="55">
        <f>AC29+AC50+AC62+AC75</f>
        <v>74509.11999999984</v>
      </c>
      <c r="AD76" s="55">
        <f>AD29+AD50+AD62+AD75</f>
        <v>192307.52999999985</v>
      </c>
      <c r="AE76" s="55">
        <f>AE29+AE50+AE62+AE75</f>
        <v>205058.58999999985</v>
      </c>
      <c r="AF76" s="55">
        <f>AF29+AF50+AF62+AF75</f>
        <v>205058.58999999985</v>
      </c>
      <c r="AG76" s="55">
        <f>AG29+AG50+AG62+AG75</f>
        <v>308201.48999999993</v>
      </c>
      <c r="AH76" s="55">
        <f>AH29+AH50+AH62+AH75</f>
        <v>294004.97</v>
      </c>
      <c r="AI76" s="55">
        <f>AI29+AI50+AI62+AI75</f>
        <v>322192.92999999993</v>
      </c>
      <c r="AJ76" s="55">
        <f>AJ29+AJ50+AJ62+AJ75</f>
        <v>326637.73999999993</v>
      </c>
      <c r="AK76" s="55">
        <f>AK29+AK50+AK62+AK75</f>
        <v>326637.73999999993</v>
      </c>
      <c r="AL76" s="55">
        <f>AL29+AL50+AL62+AL75</f>
        <v>327141.23999999993</v>
      </c>
      <c r="AM76" s="55">
        <f>AM29+AM50+AM62+AM75</f>
        <v>327141.23999999993</v>
      </c>
      <c r="AN76" s="55">
        <f>AN29+AN50+AN62+AN75</f>
        <v>327141.23999999993</v>
      </c>
      <c r="AO76" s="55">
        <f>AO29+AO50+AO62+AO75</f>
        <v>327141.23999999993</v>
      </c>
      <c r="AP76" s="55">
        <f>AP29+AP50+AP62+AP75</f>
        <v>173616.18999999994</v>
      </c>
      <c r="AQ76" s="55">
        <f>AQ29+AQ50+AQ62+AQ75</f>
        <v>173616.18999999994</v>
      </c>
      <c r="AR76" s="55">
        <f>AR29+AR50+AR62+AR75</f>
        <v>132724.3899999999</v>
      </c>
      <c r="AS76" s="55">
        <f>AS29+AS50+AS62+AS75</f>
        <v>132724.39</v>
      </c>
      <c r="AT76" s="55">
        <f>AT29+AT50+AT62+AT75</f>
        <v>156510.13</v>
      </c>
      <c r="AU76" s="55">
        <f>AU29+AU50+AU62+AU75</f>
        <v>156510.13</v>
      </c>
      <c r="AV76" s="55">
        <f>AV29+AV50+AV62+AV75</f>
        <v>156510.13</v>
      </c>
      <c r="AW76" s="55">
        <f>AW29+AW50+AW62+AW75</f>
        <v>174385.13</v>
      </c>
      <c r="AX76" s="55">
        <f>AX29+AX50+AX62+AX75</f>
        <v>210466.72999999998</v>
      </c>
      <c r="AY76" s="55">
        <f>AY29+AY50+AY62+AY75</f>
        <v>214266.72999999998</v>
      </c>
      <c r="AZ76" s="55">
        <f>AZ29+AZ50+AZ62+AZ75</f>
        <v>214266.72999999998</v>
      </c>
      <c r="BA76" s="55">
        <f>BA29+BA50+BA62+BA75</f>
        <v>214266.72999999998</v>
      </c>
    </row>
    <row r="77" spans="1:53" ht="16">
      <c r="A77" s="45" t="s">
        <v>74</v>
      </c>
      <c r="B77" s="55">
        <f>B28+B76</f>
        <v>765.0</v>
      </c>
      <c r="C77" s="55">
        <f>C28+C76</f>
        <v>42306.3</v>
      </c>
      <c r="D77" s="55">
        <f>D28+D76</f>
        <v>80406.72</v>
      </c>
      <c r="E77" s="55">
        <f>E28+E76</f>
        <v>162772.52</v>
      </c>
      <c r="F77" s="55">
        <f>F28+F76</f>
        <v>255616.44999999998</v>
      </c>
      <c r="G77" s="55">
        <f>G28+G76</f>
        <v>346291.63</v>
      </c>
      <c r="H77" s="55">
        <f>H28+H76</f>
        <v>405472.27999999997</v>
      </c>
      <c r="I77" s="55">
        <f>I28+I76</f>
        <v>571772.1</v>
      </c>
      <c r="J77" s="55">
        <f>J28+J76</f>
        <v>748991.01</v>
      </c>
      <c r="K77" s="55">
        <f>K28+K76</f>
        <v>755345.49</v>
      </c>
      <c r="L77" s="55">
        <f>L28+L76</f>
        <v>811484.65</v>
      </c>
      <c r="M77" s="55">
        <f>M28+M76</f>
        <v>897584.3</v>
      </c>
      <c r="N77" s="55">
        <f>N28+N76</f>
        <v>893980.0</v>
      </c>
      <c r="O77" s="55">
        <f>O28+O76</f>
        <v>913429.5800000001</v>
      </c>
      <c r="P77" s="55">
        <f>P28+P76</f>
        <v>960370.74</v>
      </c>
      <c r="Q77" s="55">
        <f>Q28+Q76</f>
        <v>953046.6199999999</v>
      </c>
      <c r="R77" s="55">
        <f>R28+R76</f>
        <v>459023.2199999999</v>
      </c>
      <c r="S77" s="55">
        <f>S28+S76</f>
        <v>609426.8199999998</v>
      </c>
      <c r="T77" s="55">
        <f>T28+T76</f>
        <v>693264.5299999998</v>
      </c>
      <c r="U77" s="55">
        <f>U28+U76</f>
        <v>675364.0099999998</v>
      </c>
      <c r="V77" s="55">
        <f>V28+V76</f>
        <v>638221.5499999998</v>
      </c>
      <c r="W77" s="55">
        <f>W28+W76</f>
        <v>749619.5499999998</v>
      </c>
      <c r="X77" s="55">
        <f>X28+X76</f>
        <v>720683.0099999999</v>
      </c>
      <c r="Y77" s="55">
        <f>Y28+Y76</f>
        <v>810459.2099999998</v>
      </c>
      <c r="Z77" s="55">
        <f>Z28+Z76</f>
        <v>734402.6699999998</v>
      </c>
      <c r="AA77" s="55">
        <f>AA28+AA76</f>
        <v>831790.8699999998</v>
      </c>
      <c r="AB77" s="55">
        <f>AB28+AB76</f>
        <v>809180.6799999998</v>
      </c>
      <c r="AC77" s="55">
        <f>AC28+AC76</f>
        <v>812290.0399999998</v>
      </c>
      <c r="AD77" s="55">
        <f>AD28+AD76</f>
        <v>851832.4799999997</v>
      </c>
      <c r="AE77" s="55">
        <f>AE28+AE76</f>
        <v>809782.0499999997</v>
      </c>
      <c r="AF77" s="55">
        <f>AF28+AF76</f>
        <v>894211.9899999996</v>
      </c>
      <c r="AG77" s="55">
        <f>AG28+AG76</f>
        <v>1097146.9399999997</v>
      </c>
      <c r="AH77" s="55">
        <f>AH28+AH76</f>
        <v>1180710.3399999999</v>
      </c>
      <c r="AI77" s="55">
        <f>AI28+AI76</f>
        <v>1230799.69</v>
      </c>
      <c r="AJ77" s="55">
        <f>AJ28+AJ76</f>
        <v>1303935.7499999998</v>
      </c>
      <c r="AK77" s="55">
        <f>AK28+AK76</f>
        <v>1417696.7899999998</v>
      </c>
      <c r="AL77" s="55">
        <f>AL28+AL76</f>
        <v>1468904.15</v>
      </c>
      <c r="AM77" s="55">
        <f>AM28+AM76</f>
        <v>1518197.39</v>
      </c>
      <c r="AN77" s="55">
        <f>AN28+AN76</f>
        <v>1432851.36</v>
      </c>
      <c r="AO77" s="55">
        <f>AO28+AO76</f>
        <v>1599159.6900000002</v>
      </c>
      <c r="AP77" s="55">
        <f>AP28+AP76</f>
        <v>1354856.2100000002</v>
      </c>
      <c r="AQ77" s="55">
        <f>AQ28+AQ76</f>
        <v>1393074.09</v>
      </c>
      <c r="AR77" s="55">
        <f>AR28+AR76</f>
        <v>1396734.42</v>
      </c>
      <c r="AS77" s="55">
        <f>AS28+AS76</f>
        <v>1357081.08</v>
      </c>
      <c r="AT77" s="55">
        <f>AT28+AT76</f>
        <v>1336642.2799999998</v>
      </c>
      <c r="AU77" s="55">
        <f>AU28+AU76</f>
        <v>1309773.6400000001</v>
      </c>
      <c r="AV77" s="55">
        <f>AV28+AV76</f>
        <v>1363286.48</v>
      </c>
      <c r="AW77" s="55">
        <f>AW28+AW76</f>
        <v>1349505.8199999998</v>
      </c>
      <c r="AX77" s="55">
        <f>AX28+AX76</f>
        <v>1332926.6099999999</v>
      </c>
      <c r="AY77" s="55">
        <f>AY28+AY76</f>
        <v>1457276.41</v>
      </c>
      <c r="AZ77" s="55">
        <f>AZ28+AZ76</f>
        <v>1529465.49</v>
      </c>
      <c r="BA77" s="55">
        <f>BA28+BA76</f>
        <v>1626944.8799999997</v>
      </c>
    </row>
    <row r="78" spans="1:53" ht="16">
      <c r="A78" s="39" t="s">
        <v>75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</row>
    <row r="79" spans="1:53" ht="16" outlineLevel="1">
      <c r="A79" s="40" t="s">
        <v>76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</row>
    <row r="80" spans="1:53" ht="16" outlineLevel="2">
      <c r="A80" s="41" t="s">
        <v>77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</row>
    <row r="81" spans="1:53" ht="16" outlineLevel="3">
      <c r="A81" s="42" t="s">
        <v>78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</row>
    <row r="82" spans="1:53" ht="16" outlineLevel="4">
      <c r="A82" s="46" t="s">
        <v>79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4">
        <v>1016.03</v>
      </c>
      <c r="V82" s="54">
        <v>1016.03</v>
      </c>
      <c r="W82" s="54">
        <v>1016.03</v>
      </c>
      <c r="X82" s="54">
        <v>1016.03</v>
      </c>
      <c r="Y82" s="54">
        <v>1016.03</v>
      </c>
      <c r="Z82" s="54">
        <v>251.97000000000003</v>
      </c>
      <c r="AA82" s="54">
        <v>29756.27</v>
      </c>
      <c r="AB82" s="54">
        <v>25706.52</v>
      </c>
      <c r="AC82" s="54">
        <v>4788.799999999999</v>
      </c>
      <c r="AD82" s="54">
        <v>791.6099999999992</v>
      </c>
      <c r="AE82" s="54">
        <v>4428.3499999999985</v>
      </c>
      <c r="AF82" s="54">
        <v>7362.379999999999</v>
      </c>
      <c r="AG82" s="54">
        <v>3117.169999999999</v>
      </c>
      <c r="AH82" s="54">
        <v>3544.2599999999993</v>
      </c>
      <c r="AI82" s="54">
        <v>14351.419999999998</v>
      </c>
      <c r="AJ82" s="54">
        <v>5587.909999999998</v>
      </c>
      <c r="AK82" s="54">
        <v>4367.839999999998</v>
      </c>
      <c r="AL82" s="54">
        <v>1472.1299999999983</v>
      </c>
      <c r="AM82" s="54">
        <v>4831.789999999998</v>
      </c>
      <c r="AN82" s="54">
        <v>5609.879999999998</v>
      </c>
      <c r="AO82" s="54">
        <v>4937.879999999998</v>
      </c>
      <c r="AP82" s="54">
        <v>948.7899999999981</v>
      </c>
      <c r="AQ82" s="54">
        <v>1293.609999999998</v>
      </c>
      <c r="AR82" s="54">
        <v>788.5299999999982</v>
      </c>
      <c r="AS82" s="54">
        <v>317.60999999999814</v>
      </c>
      <c r="AT82" s="54">
        <v>317.60999999999814</v>
      </c>
      <c r="AU82" s="54">
        <v>317.60999999999814</v>
      </c>
      <c r="AV82" s="54">
        <v>317.60999999999814</v>
      </c>
      <c r="AW82" s="54">
        <v>1463.7599999999982</v>
      </c>
      <c r="AX82" s="54">
        <v>7120.259999999998</v>
      </c>
      <c r="AY82" s="54">
        <v>17146.769999999997</v>
      </c>
      <c r="AZ82" s="54">
        <v>16165.729999999996</v>
      </c>
      <c r="BA82" s="54">
        <v>30391.219999999994</v>
      </c>
    </row>
    <row r="83" spans="1:53" ht="16" outlineLevel="3">
      <c r="A83" s="47" t="s">
        <v>80</v>
      </c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>
        <f>U81+U82</f>
        <v>1016.03</v>
      </c>
      <c r="V83" s="55">
        <f>V81+V82</f>
        <v>1016.03</v>
      </c>
      <c r="W83" s="55">
        <f>W81+W82</f>
        <v>1016.03</v>
      </c>
      <c r="X83" s="55">
        <f>X81+X82</f>
        <v>1016.03</v>
      </c>
      <c r="Y83" s="55">
        <f>Y81+Y82</f>
        <v>1016.03</v>
      </c>
      <c r="Z83" s="55">
        <f>Z81+Z82</f>
        <v>251.97000000000003</v>
      </c>
      <c r="AA83" s="55">
        <f>AA81+AA82</f>
        <v>29756.27</v>
      </c>
      <c r="AB83" s="55">
        <f>AB81+AB82</f>
        <v>25706.52</v>
      </c>
      <c r="AC83" s="55">
        <f>AC81+AC82</f>
        <v>4788.799999999999</v>
      </c>
      <c r="AD83" s="55">
        <f>AD81+AD82</f>
        <v>791.6099999999992</v>
      </c>
      <c r="AE83" s="55">
        <f>AE81+AE82</f>
        <v>4428.3499999999985</v>
      </c>
      <c r="AF83" s="55">
        <f>AF81+AF82</f>
        <v>7362.379999999999</v>
      </c>
      <c r="AG83" s="55">
        <f>AG81+AG82</f>
        <v>3117.169999999999</v>
      </c>
      <c r="AH83" s="55">
        <f>AH81+AH82</f>
        <v>3544.2599999999993</v>
      </c>
      <c r="AI83" s="55">
        <f>AI81+AI82</f>
        <v>14351.419999999998</v>
      </c>
      <c r="AJ83" s="55">
        <f>AJ81+AJ82</f>
        <v>5587.909999999998</v>
      </c>
      <c r="AK83" s="55">
        <f>AK81+AK82</f>
        <v>4367.839999999998</v>
      </c>
      <c r="AL83" s="55">
        <f>AL81+AL82</f>
        <v>1472.1299999999983</v>
      </c>
      <c r="AM83" s="55">
        <f>AM81+AM82</f>
        <v>4831.789999999998</v>
      </c>
      <c r="AN83" s="55">
        <f>AN81+AN82</f>
        <v>5609.879999999998</v>
      </c>
      <c r="AO83" s="55">
        <f>AO81+AO82</f>
        <v>4937.879999999998</v>
      </c>
      <c r="AP83" s="55">
        <f>AP81+AP82</f>
        <v>948.7899999999981</v>
      </c>
      <c r="AQ83" s="55">
        <f>AQ81+AQ82</f>
        <v>1293.609999999998</v>
      </c>
      <c r="AR83" s="55">
        <f>AR81+AR82</f>
        <v>788.5299999999982</v>
      </c>
      <c r="AS83" s="55">
        <f>AS81+AS82</f>
        <v>317.60999999999814</v>
      </c>
      <c r="AT83" s="55">
        <f>AT81+AT82</f>
        <v>317.60999999999814</v>
      </c>
      <c r="AU83" s="55">
        <f>AU81+AU82</f>
        <v>317.60999999999814</v>
      </c>
      <c r="AV83" s="55">
        <f>AV81+AV82</f>
        <v>317.60999999999814</v>
      </c>
      <c r="AW83" s="55">
        <f>AW81+AW82</f>
        <v>1463.7599999999982</v>
      </c>
      <c r="AX83" s="55">
        <f>AX81+AX82</f>
        <v>7120.259999999998</v>
      </c>
      <c r="AY83" s="55">
        <f>AY81+AY82</f>
        <v>17146.769999999997</v>
      </c>
      <c r="AZ83" s="55">
        <f>AZ81+AZ82</f>
        <v>16165.729999999996</v>
      </c>
      <c r="BA83" s="55">
        <f>BA81+BA82</f>
        <v>30391.219999999994</v>
      </c>
    </row>
    <row r="84" spans="1:53" ht="16" outlineLevel="3">
      <c r="A84" s="42" t="s">
        <v>81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</row>
    <row r="85" spans="1:53" ht="16" outlineLevel="4">
      <c r="A85" s="46" t="s">
        <v>82</v>
      </c>
      <c r="B85" s="54">
        <v>2854.61</v>
      </c>
      <c r="C85" s="54">
        <v>0</v>
      </c>
      <c r="D85" s="54">
        <v>0</v>
      </c>
      <c r="E85" s="54">
        <v>0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4">
        <v>0</v>
      </c>
      <c r="O85" s="54">
        <v>0</v>
      </c>
      <c r="P85" s="54">
        <v>0</v>
      </c>
      <c r="Q85" s="54">
        <v>0</v>
      </c>
      <c r="R85" s="54">
        <v>0</v>
      </c>
      <c r="S85" s="54">
        <v>0</v>
      </c>
      <c r="T85" s="54">
        <v>0</v>
      </c>
      <c r="U85" s="54">
        <v>0</v>
      </c>
      <c r="V85" s="54">
        <v>0</v>
      </c>
      <c r="W85" s="54">
        <v>0</v>
      </c>
      <c r="X85" s="54">
        <v>0</v>
      </c>
      <c r="Y85" s="54">
        <v>0</v>
      </c>
      <c r="Z85" s="54">
        <v>0</v>
      </c>
      <c r="AA85" s="54">
        <v>0</v>
      </c>
      <c r="AB85" s="54">
        <v>0</v>
      </c>
      <c r="AC85" s="54">
        <v>0</v>
      </c>
      <c r="AD85" s="54">
        <v>0</v>
      </c>
      <c r="AE85" s="54">
        <v>0</v>
      </c>
      <c r="AF85" s="54">
        <v>0</v>
      </c>
      <c r="AG85" s="54">
        <v>0</v>
      </c>
      <c r="AH85" s="54">
        <v>0</v>
      </c>
      <c r="AI85" s="54">
        <v>0</v>
      </c>
      <c r="AJ85" s="54">
        <v>0</v>
      </c>
      <c r="AK85" s="54">
        <v>0</v>
      </c>
      <c r="AL85" s="54">
        <v>0</v>
      </c>
      <c r="AM85" s="54">
        <v>0</v>
      </c>
      <c r="AN85" s="54">
        <v>0</v>
      </c>
      <c r="AO85" s="54">
        <v>0</v>
      </c>
      <c r="AP85" s="54">
        <v>0</v>
      </c>
      <c r="AQ85" s="54">
        <v>0</v>
      </c>
      <c r="AR85" s="54">
        <v>0</v>
      </c>
      <c r="AS85" s="54">
        <v>0</v>
      </c>
      <c r="AT85" s="54">
        <v>0</v>
      </c>
      <c r="AU85" s="54">
        <v>0</v>
      </c>
      <c r="AV85" s="54">
        <v>0</v>
      </c>
      <c r="AW85" s="54">
        <v>0</v>
      </c>
      <c r="AX85" s="54">
        <v>0</v>
      </c>
      <c r="AY85" s="54">
        <v>0</v>
      </c>
      <c r="AZ85" s="54">
        <v>0</v>
      </c>
      <c r="BA85" s="54">
        <v>0</v>
      </c>
    </row>
    <row r="86" spans="1:53" ht="16" outlineLevel="4">
      <c r="A86" s="46" t="s">
        <v>83</v>
      </c>
      <c r="B86" s="53"/>
      <c r="C86" s="54">
        <v>9975.14</v>
      </c>
      <c r="D86" s="54">
        <v>11608.859999999999</v>
      </c>
      <c r="E86" s="54">
        <v>169.3099999999995</v>
      </c>
      <c r="F86" s="54">
        <v>3905.3999999999996</v>
      </c>
      <c r="G86" s="54">
        <v>7020.19</v>
      </c>
      <c r="H86" s="54">
        <v>7022.91</v>
      </c>
      <c r="I86" s="54">
        <v>11894.86</v>
      </c>
      <c r="J86" s="54">
        <v>9618.52</v>
      </c>
      <c r="K86" s="54">
        <v>18816.440000000002</v>
      </c>
      <c r="L86" s="54">
        <v>25045.120000000003</v>
      </c>
      <c r="M86" s="54">
        <v>44717.87</v>
      </c>
      <c r="N86" s="54">
        <v>38369.23</v>
      </c>
      <c r="O86" s="54">
        <v>10459.880000000005</v>
      </c>
      <c r="P86" s="54">
        <v>15775.550000000005</v>
      </c>
      <c r="Q86" s="54">
        <v>21078.530000000006</v>
      </c>
      <c r="R86" s="54">
        <v>37008.490000000005</v>
      </c>
      <c r="S86" s="54">
        <v>18110.820000000007</v>
      </c>
      <c r="T86" s="54">
        <v>55608.350000000006</v>
      </c>
      <c r="U86" s="54">
        <v>25499.960000000006</v>
      </c>
      <c r="V86" s="54">
        <v>17309.450000000004</v>
      </c>
      <c r="W86" s="54">
        <v>22975.860000000004</v>
      </c>
      <c r="X86" s="54">
        <v>30561.850000000006</v>
      </c>
      <c r="Y86" s="54">
        <v>24691.290000000005</v>
      </c>
      <c r="Z86" s="54">
        <v>34189.420000000006</v>
      </c>
      <c r="AA86" s="54">
        <v>35427.21000000001</v>
      </c>
      <c r="AB86" s="54">
        <v>41215.46000000001</v>
      </c>
      <c r="AC86" s="54">
        <v>26185.250000000007</v>
      </c>
      <c r="AD86" s="54">
        <v>31739.030000000006</v>
      </c>
      <c r="AE86" s="54">
        <v>5652.350000000006</v>
      </c>
      <c r="AF86" s="54">
        <v>11098.830000000005</v>
      </c>
      <c r="AG86" s="54">
        <v>28910.660000000007</v>
      </c>
      <c r="AH86" s="54">
        <v>52273.71000000001</v>
      </c>
      <c r="AI86" s="54">
        <v>46074.030000000006</v>
      </c>
      <c r="AJ86" s="54">
        <v>21271.120000000006</v>
      </c>
      <c r="AK86" s="54">
        <v>25321.670000000006</v>
      </c>
      <c r="AL86" s="54">
        <v>38028.50000000001</v>
      </c>
      <c r="AM86" s="54">
        <v>3276.020000000004</v>
      </c>
      <c r="AN86" s="54">
        <v>26201.690000000002</v>
      </c>
      <c r="AO86" s="54">
        <v>16000.360000000002</v>
      </c>
      <c r="AP86" s="54">
        <v>6880.3200000000015</v>
      </c>
      <c r="AQ86" s="54">
        <v>18268.670000000002</v>
      </c>
      <c r="AR86" s="54">
        <v>23447.120000000003</v>
      </c>
      <c r="AS86" s="54">
        <v>11417.710000000003</v>
      </c>
      <c r="AT86" s="54">
        <v>291.33000000000357</v>
      </c>
      <c r="AU86" s="54">
        <v>9558.790000000003</v>
      </c>
      <c r="AV86" s="54">
        <v>15367.950000000003</v>
      </c>
      <c r="AW86" s="54">
        <v>26809.550000000003</v>
      </c>
      <c r="AX86" s="54">
        <v>2474.0300000000025</v>
      </c>
      <c r="AY86" s="54">
        <v>15484.690000000002</v>
      </c>
      <c r="AZ86" s="54">
        <v>12902.390000000003</v>
      </c>
      <c r="BA86" s="54">
        <v>-10181.419999999998</v>
      </c>
    </row>
    <row r="87" spans="1:53" ht="16" outlineLevel="3">
      <c r="A87" s="47" t="s">
        <v>84</v>
      </c>
      <c r="B87" s="55">
        <f>B84+B85+B86</f>
        <v>2854.61</v>
      </c>
      <c r="C87" s="55">
        <f>C84+C85+C86</f>
        <v>9975.14</v>
      </c>
      <c r="D87" s="55">
        <f>D84+D85+D86</f>
        <v>11608.859999999999</v>
      </c>
      <c r="E87" s="55">
        <f>E84+E85+E86</f>
        <v>169.3099999999995</v>
      </c>
      <c r="F87" s="55">
        <f>F84+F85+F86</f>
        <v>3905.3999999999996</v>
      </c>
      <c r="G87" s="55">
        <f>G84+G85+G86</f>
        <v>7020.19</v>
      </c>
      <c r="H87" s="55">
        <f>H84+H85+H86</f>
        <v>7022.91</v>
      </c>
      <c r="I87" s="55">
        <f>I84+I85+I86</f>
        <v>11894.86</v>
      </c>
      <c r="J87" s="55">
        <f>J84+J85+J86</f>
        <v>9618.52</v>
      </c>
      <c r="K87" s="55">
        <f>K84+K85+K86</f>
        <v>18816.440000000002</v>
      </c>
      <c r="L87" s="55">
        <f>L84+L85+L86</f>
        <v>25045.120000000003</v>
      </c>
      <c r="M87" s="55">
        <f>M84+M85+M86</f>
        <v>44717.87</v>
      </c>
      <c r="N87" s="55">
        <f>N84+N85+N86</f>
        <v>38369.23</v>
      </c>
      <c r="O87" s="55">
        <f>O84+O85+O86</f>
        <v>10459.880000000005</v>
      </c>
      <c r="P87" s="55">
        <f>P84+P85+P86</f>
        <v>15775.550000000005</v>
      </c>
      <c r="Q87" s="55">
        <f>Q84+Q85+Q86</f>
        <v>21078.530000000006</v>
      </c>
      <c r="R87" s="55">
        <f>R84+R85+R86</f>
        <v>37008.490000000005</v>
      </c>
      <c r="S87" s="55">
        <f>S84+S85+S86</f>
        <v>18110.820000000007</v>
      </c>
      <c r="T87" s="55">
        <f>T84+T85+T86</f>
        <v>55608.350000000006</v>
      </c>
      <c r="U87" s="55">
        <f>U84+U85+U86</f>
        <v>25499.960000000006</v>
      </c>
      <c r="V87" s="55">
        <f>V84+V85+V86</f>
        <v>17309.450000000004</v>
      </c>
      <c r="W87" s="55">
        <f>W84+W85+W86</f>
        <v>22975.860000000004</v>
      </c>
      <c r="X87" s="55">
        <f>X84+X85+X86</f>
        <v>30561.850000000006</v>
      </c>
      <c r="Y87" s="55">
        <f>Y84+Y85+Y86</f>
        <v>24691.290000000005</v>
      </c>
      <c r="Z87" s="55">
        <f>Z84+Z85+Z86</f>
        <v>34189.420000000006</v>
      </c>
      <c r="AA87" s="55">
        <f>AA84+AA85+AA86</f>
        <v>35427.21000000001</v>
      </c>
      <c r="AB87" s="55">
        <f>AB84+AB85+AB86</f>
        <v>41215.46000000001</v>
      </c>
      <c r="AC87" s="55">
        <f>AC84+AC85+AC86</f>
        <v>26185.250000000007</v>
      </c>
      <c r="AD87" s="55">
        <f>AD84+AD85+AD86</f>
        <v>31739.030000000006</v>
      </c>
      <c r="AE87" s="55">
        <f>AE84+AE85+AE86</f>
        <v>5652.350000000006</v>
      </c>
      <c r="AF87" s="55">
        <f>AF84+AF85+AF86</f>
        <v>11098.830000000005</v>
      </c>
      <c r="AG87" s="55">
        <f>AG84+AG85+AG86</f>
        <v>28910.660000000007</v>
      </c>
      <c r="AH87" s="55">
        <f>AH84+AH85+AH86</f>
        <v>52273.71000000001</v>
      </c>
      <c r="AI87" s="55">
        <f>AI84+AI85+AI86</f>
        <v>46074.030000000006</v>
      </c>
      <c r="AJ87" s="55">
        <f>AJ84+AJ85+AJ86</f>
        <v>21271.120000000006</v>
      </c>
      <c r="AK87" s="55">
        <f>AK84+AK85+AK86</f>
        <v>25321.670000000006</v>
      </c>
      <c r="AL87" s="55">
        <f>AL84+AL85+AL86</f>
        <v>38028.50000000001</v>
      </c>
      <c r="AM87" s="55">
        <f>AM84+AM85+AM86</f>
        <v>3276.020000000004</v>
      </c>
      <c r="AN87" s="55">
        <f>AN84+AN85+AN86</f>
        <v>26201.690000000002</v>
      </c>
      <c r="AO87" s="55">
        <f>AO84+AO85+AO86</f>
        <v>16000.360000000002</v>
      </c>
      <c r="AP87" s="55">
        <f>AP84+AP85+AP86</f>
        <v>6880.3200000000015</v>
      </c>
      <c r="AQ87" s="55">
        <f>AQ84+AQ85+AQ86</f>
        <v>18268.670000000002</v>
      </c>
      <c r="AR87" s="55">
        <f>AR84+AR85+AR86</f>
        <v>23447.120000000003</v>
      </c>
      <c r="AS87" s="55">
        <f>AS84+AS85+AS86</f>
        <v>11417.710000000003</v>
      </c>
      <c r="AT87" s="55">
        <f>AT84+AT85+AT86</f>
        <v>291.33000000000357</v>
      </c>
      <c r="AU87" s="55">
        <f>AU84+AU85+AU86</f>
        <v>9558.790000000003</v>
      </c>
      <c r="AV87" s="55">
        <f>AV84+AV85+AV86</f>
        <v>15367.950000000003</v>
      </c>
      <c r="AW87" s="55">
        <f>AW84+AW85+AW86</f>
        <v>26809.550000000003</v>
      </c>
      <c r="AX87" s="55">
        <f>AX84+AX85+AX86</f>
        <v>2474.0300000000025</v>
      </c>
      <c r="AY87" s="55">
        <f>AY84+AY85+AY86</f>
        <v>15484.690000000002</v>
      </c>
      <c r="AZ87" s="55">
        <f>AZ84+AZ85+AZ86</f>
        <v>12902.390000000003</v>
      </c>
      <c r="BA87" s="55">
        <f>BA84+BA85+BA86</f>
        <v>-10181.419999999998</v>
      </c>
    </row>
    <row r="88" spans="1:53" ht="16" outlineLevel="3">
      <c r="A88" s="42" t="s">
        <v>85</v>
      </c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</row>
    <row r="89" spans="1:53" ht="16" outlineLevel="4">
      <c r="A89" s="46" t="s">
        <v>86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4">
        <v>28700.06</v>
      </c>
      <c r="AF89" s="54">
        <v>0</v>
      </c>
      <c r="AG89" s="54">
        <v>6012.0</v>
      </c>
      <c r="AH89" s="54">
        <v>0</v>
      </c>
      <c r="AI89" s="54">
        <v>0</v>
      </c>
      <c r="AJ89" s="54">
        <v>0</v>
      </c>
      <c r="AK89" s="54">
        <v>0</v>
      </c>
      <c r="AL89" s="54">
        <v>0</v>
      </c>
      <c r="AM89" s="54">
        <v>0</v>
      </c>
      <c r="AN89" s="54">
        <v>0</v>
      </c>
      <c r="AO89" s="54">
        <v>0</v>
      </c>
      <c r="AP89" s="54">
        <v>0</v>
      </c>
      <c r="AQ89" s="54">
        <v>0</v>
      </c>
      <c r="AR89" s="54">
        <v>0</v>
      </c>
      <c r="AS89" s="54">
        <v>0</v>
      </c>
      <c r="AT89" s="54">
        <v>0</v>
      </c>
      <c r="AU89" s="54">
        <v>2031.32</v>
      </c>
      <c r="AV89" s="54">
        <v>4062.64</v>
      </c>
      <c r="AW89" s="54">
        <v>0</v>
      </c>
      <c r="AX89" s="54">
        <v>0</v>
      </c>
      <c r="AY89" s="54">
        <v>0</v>
      </c>
      <c r="AZ89" s="54">
        <v>0</v>
      </c>
      <c r="BA89" s="54">
        <v>0</v>
      </c>
    </row>
    <row r="90" spans="1:53" ht="16" outlineLevel="4">
      <c r="A90" s="46" t="s">
        <v>87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</row>
    <row r="91" spans="1:53" ht="16" outlineLevel="5">
      <c r="A91" s="48" t="s">
        <v>88</v>
      </c>
      <c r="B91" s="53"/>
      <c r="C91" s="54">
        <v>0</v>
      </c>
      <c r="D91" s="54">
        <v>0</v>
      </c>
      <c r="E91" s="54">
        <v>0</v>
      </c>
      <c r="F91" s="54">
        <v>0</v>
      </c>
      <c r="G91" s="54">
        <v>0</v>
      </c>
      <c r="H91" s="54">
        <v>0</v>
      </c>
      <c r="I91" s="54">
        <v>0</v>
      </c>
      <c r="J91" s="54">
        <v>0</v>
      </c>
      <c r="K91" s="54">
        <v>0</v>
      </c>
      <c r="L91" s="54">
        <v>0</v>
      </c>
      <c r="M91" s="54">
        <v>0</v>
      </c>
      <c r="N91" s="54">
        <v>0</v>
      </c>
      <c r="O91" s="54">
        <v>0</v>
      </c>
      <c r="P91" s="54">
        <v>0</v>
      </c>
      <c r="Q91" s="54">
        <v>0</v>
      </c>
      <c r="R91" s="54">
        <v>0</v>
      </c>
      <c r="S91" s="54">
        <v>0</v>
      </c>
      <c r="T91" s="54">
        <v>0</v>
      </c>
      <c r="U91" s="54">
        <v>0</v>
      </c>
      <c r="V91" s="54">
        <v>0</v>
      </c>
      <c r="W91" s="54">
        <v>0</v>
      </c>
      <c r="X91" s="54">
        <v>0</v>
      </c>
      <c r="Y91" s="54">
        <v>0</v>
      </c>
      <c r="Z91" s="54">
        <v>0</v>
      </c>
      <c r="AA91" s="54">
        <v>0</v>
      </c>
      <c r="AB91" s="54">
        <v>0</v>
      </c>
      <c r="AC91" s="54">
        <v>0</v>
      </c>
      <c r="AD91" s="54">
        <v>0</v>
      </c>
      <c r="AE91" s="54">
        <v>0</v>
      </c>
      <c r="AF91" s="54">
        <v>0</v>
      </c>
      <c r="AG91" s="54">
        <v>0</v>
      </c>
      <c r="AH91" s="54">
        <v>0</v>
      </c>
      <c r="AI91" s="54">
        <v>0</v>
      </c>
      <c r="AJ91" s="54">
        <v>0</v>
      </c>
      <c r="AK91" s="54">
        <v>0</v>
      </c>
      <c r="AL91" s="54">
        <v>0</v>
      </c>
      <c r="AM91" s="54">
        <v>0</v>
      </c>
      <c r="AN91" s="54">
        <v>0</v>
      </c>
      <c r="AO91" s="54">
        <v>0</v>
      </c>
      <c r="AP91" s="54">
        <v>0</v>
      </c>
      <c r="AQ91" s="54">
        <v>0</v>
      </c>
      <c r="AR91" s="54">
        <v>0</v>
      </c>
      <c r="AS91" s="54">
        <v>0</v>
      </c>
      <c r="AT91" s="54">
        <v>0</v>
      </c>
      <c r="AU91" s="54">
        <v>0</v>
      </c>
      <c r="AV91" s="54">
        <v>0</v>
      </c>
      <c r="AW91" s="54">
        <v>-74.13</v>
      </c>
      <c r="AX91" s="54">
        <v>0</v>
      </c>
      <c r="AY91" s="54">
        <v>0</v>
      </c>
      <c r="AZ91" s="54">
        <v>0</v>
      </c>
      <c r="BA91" s="54">
        <v>0</v>
      </c>
    </row>
    <row r="92" spans="1:53" ht="16" outlineLevel="5">
      <c r="A92" s="48" t="s">
        <v>89</v>
      </c>
      <c r="B92" s="53"/>
      <c r="C92" s="54">
        <v>14.37</v>
      </c>
      <c r="D92" s="54">
        <v>14.37</v>
      </c>
      <c r="E92" s="54">
        <v>14.37</v>
      </c>
      <c r="F92" s="54">
        <v>0</v>
      </c>
      <c r="G92" s="54">
        <v>0</v>
      </c>
      <c r="H92" s="54">
        <v>0</v>
      </c>
      <c r="I92" s="54">
        <v>0</v>
      </c>
      <c r="J92" s="54">
        <v>0</v>
      </c>
      <c r="K92" s="54">
        <v>0</v>
      </c>
      <c r="L92" s="54">
        <v>0</v>
      </c>
      <c r="M92" s="54">
        <v>0</v>
      </c>
      <c r="N92" s="54">
        <v>0</v>
      </c>
      <c r="O92" s="54">
        <v>0</v>
      </c>
      <c r="P92" s="54">
        <v>0</v>
      </c>
      <c r="Q92" s="54">
        <v>0</v>
      </c>
      <c r="R92" s="54">
        <v>0</v>
      </c>
      <c r="S92" s="54">
        <v>0</v>
      </c>
      <c r="T92" s="54">
        <v>0</v>
      </c>
      <c r="U92" s="54">
        <v>0</v>
      </c>
      <c r="V92" s="54">
        <v>0</v>
      </c>
      <c r="W92" s="54">
        <v>0</v>
      </c>
      <c r="X92" s="54">
        <v>0</v>
      </c>
      <c r="Y92" s="54">
        <v>0</v>
      </c>
      <c r="Z92" s="54">
        <v>0</v>
      </c>
      <c r="AA92" s="54">
        <v>0</v>
      </c>
      <c r="AB92" s="54">
        <v>0</v>
      </c>
      <c r="AC92" s="54">
        <v>0</v>
      </c>
      <c r="AD92" s="54">
        <v>0</v>
      </c>
      <c r="AE92" s="54">
        <v>0</v>
      </c>
      <c r="AF92" s="54">
        <v>0</v>
      </c>
      <c r="AG92" s="54">
        <v>0</v>
      </c>
      <c r="AH92" s="54">
        <v>0</v>
      </c>
      <c r="AI92" s="54">
        <v>0</v>
      </c>
      <c r="AJ92" s="54">
        <v>0</v>
      </c>
      <c r="AK92" s="54">
        <v>0</v>
      </c>
      <c r="AL92" s="54">
        <v>0</v>
      </c>
      <c r="AM92" s="54">
        <v>0</v>
      </c>
      <c r="AN92" s="54">
        <v>0</v>
      </c>
      <c r="AO92" s="54">
        <v>0</v>
      </c>
      <c r="AP92" s="54">
        <v>0</v>
      </c>
      <c r="AQ92" s="54">
        <v>0</v>
      </c>
      <c r="AR92" s="54">
        <v>0</v>
      </c>
      <c r="AS92" s="54">
        <v>0</v>
      </c>
      <c r="AT92" s="54">
        <v>0</v>
      </c>
      <c r="AU92" s="54">
        <v>0</v>
      </c>
      <c r="AV92" s="54">
        <v>0</v>
      </c>
      <c r="AW92" s="54">
        <v>0</v>
      </c>
      <c r="AX92" s="54">
        <v>0</v>
      </c>
      <c r="AY92" s="54">
        <v>0</v>
      </c>
      <c r="AZ92" s="54">
        <v>0</v>
      </c>
      <c r="BA92" s="54">
        <v>0</v>
      </c>
    </row>
    <row r="93" spans="1:53" ht="16" outlineLevel="5">
      <c r="A93" s="48" t="s">
        <v>90</v>
      </c>
      <c r="B93" s="53"/>
      <c r="C93" s="54">
        <v>239.58</v>
      </c>
      <c r="D93" s="54">
        <v>239.58</v>
      </c>
      <c r="E93" s="54">
        <v>239.58</v>
      </c>
      <c r="F93" s="54">
        <v>0</v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0</v>
      </c>
      <c r="N93" s="54">
        <v>0</v>
      </c>
      <c r="O93" s="54">
        <v>0</v>
      </c>
      <c r="P93" s="54">
        <v>0</v>
      </c>
      <c r="Q93" s="54">
        <v>0</v>
      </c>
      <c r="R93" s="54">
        <v>0</v>
      </c>
      <c r="S93" s="54">
        <v>0</v>
      </c>
      <c r="T93" s="54">
        <v>0</v>
      </c>
      <c r="U93" s="54">
        <v>0</v>
      </c>
      <c r="V93" s="54">
        <v>0</v>
      </c>
      <c r="W93" s="54">
        <v>0</v>
      </c>
      <c r="X93" s="54">
        <v>0</v>
      </c>
      <c r="Y93" s="54">
        <v>0</v>
      </c>
      <c r="Z93" s="54">
        <v>0</v>
      </c>
      <c r="AA93" s="54">
        <v>0</v>
      </c>
      <c r="AB93" s="54">
        <v>0</v>
      </c>
      <c r="AC93" s="54">
        <v>0</v>
      </c>
      <c r="AD93" s="54">
        <v>0</v>
      </c>
      <c r="AE93" s="54">
        <v>0</v>
      </c>
      <c r="AF93" s="54">
        <v>0</v>
      </c>
      <c r="AG93" s="54">
        <v>0</v>
      </c>
      <c r="AH93" s="54">
        <v>0</v>
      </c>
      <c r="AI93" s="54">
        <v>0</v>
      </c>
      <c r="AJ93" s="54">
        <v>0</v>
      </c>
      <c r="AK93" s="54">
        <v>0</v>
      </c>
      <c r="AL93" s="54">
        <v>0</v>
      </c>
      <c r="AM93" s="54">
        <v>0</v>
      </c>
      <c r="AN93" s="54">
        <v>0</v>
      </c>
      <c r="AO93" s="54">
        <v>0</v>
      </c>
      <c r="AP93" s="54">
        <v>0</v>
      </c>
      <c r="AQ93" s="54">
        <v>0</v>
      </c>
      <c r="AR93" s="54">
        <v>0</v>
      </c>
      <c r="AS93" s="54">
        <v>0</v>
      </c>
      <c r="AT93" s="54">
        <v>0</v>
      </c>
      <c r="AU93" s="54">
        <v>0</v>
      </c>
      <c r="AV93" s="54">
        <v>0</v>
      </c>
      <c r="AW93" s="54">
        <v>0</v>
      </c>
      <c r="AX93" s="54">
        <v>0</v>
      </c>
      <c r="AY93" s="54">
        <v>0</v>
      </c>
      <c r="AZ93" s="54">
        <v>0</v>
      </c>
      <c r="BA93" s="54">
        <v>0</v>
      </c>
    </row>
    <row r="94" spans="1:53" ht="16" outlineLevel="5">
      <c r="A94" s="48" t="s">
        <v>91</v>
      </c>
      <c r="B94" s="53"/>
      <c r="C94" s="54">
        <v>15.0</v>
      </c>
      <c r="D94" s="54">
        <v>15.0</v>
      </c>
      <c r="E94" s="54">
        <v>15.0</v>
      </c>
      <c r="F94" s="54">
        <v>0</v>
      </c>
      <c r="G94" s="54">
        <v>0</v>
      </c>
      <c r="H94" s="54">
        <v>0</v>
      </c>
      <c r="I94" s="54">
        <v>0</v>
      </c>
      <c r="J94" s="54">
        <v>0</v>
      </c>
      <c r="K94" s="54">
        <v>0</v>
      </c>
      <c r="L94" s="54">
        <v>0</v>
      </c>
      <c r="M94" s="54">
        <v>0</v>
      </c>
      <c r="N94" s="54">
        <v>0</v>
      </c>
      <c r="O94" s="54">
        <v>0</v>
      </c>
      <c r="P94" s="54">
        <v>0</v>
      </c>
      <c r="Q94" s="54">
        <v>0</v>
      </c>
      <c r="R94" s="54">
        <v>0</v>
      </c>
      <c r="S94" s="54">
        <v>0</v>
      </c>
      <c r="T94" s="54">
        <v>0</v>
      </c>
      <c r="U94" s="54">
        <v>0</v>
      </c>
      <c r="V94" s="54">
        <v>0</v>
      </c>
      <c r="W94" s="54">
        <v>0</v>
      </c>
      <c r="X94" s="54">
        <v>0</v>
      </c>
      <c r="Y94" s="54">
        <v>0</v>
      </c>
      <c r="Z94" s="54">
        <v>0</v>
      </c>
      <c r="AA94" s="54">
        <v>0</v>
      </c>
      <c r="AB94" s="54">
        <v>0</v>
      </c>
      <c r="AC94" s="54">
        <v>0</v>
      </c>
      <c r="AD94" s="54">
        <v>0</v>
      </c>
      <c r="AE94" s="54">
        <v>0</v>
      </c>
      <c r="AF94" s="54">
        <v>0</v>
      </c>
      <c r="AG94" s="54">
        <v>0</v>
      </c>
      <c r="AH94" s="54">
        <v>0</v>
      </c>
      <c r="AI94" s="54">
        <v>0</v>
      </c>
      <c r="AJ94" s="54">
        <v>0</v>
      </c>
      <c r="AK94" s="54">
        <v>0</v>
      </c>
      <c r="AL94" s="54">
        <v>0</v>
      </c>
      <c r="AM94" s="54">
        <v>0</v>
      </c>
      <c r="AN94" s="54">
        <v>0</v>
      </c>
      <c r="AO94" s="54">
        <v>0</v>
      </c>
      <c r="AP94" s="54">
        <v>0</v>
      </c>
      <c r="AQ94" s="54">
        <v>0</v>
      </c>
      <c r="AR94" s="54">
        <v>0</v>
      </c>
      <c r="AS94" s="54">
        <v>0</v>
      </c>
      <c r="AT94" s="54">
        <v>0</v>
      </c>
      <c r="AU94" s="54">
        <v>0</v>
      </c>
      <c r="AV94" s="54">
        <v>0</v>
      </c>
      <c r="AW94" s="54">
        <v>0</v>
      </c>
      <c r="AX94" s="54">
        <v>0</v>
      </c>
      <c r="AY94" s="54">
        <v>0</v>
      </c>
      <c r="AZ94" s="54">
        <v>0</v>
      </c>
      <c r="BA94" s="54">
        <v>0</v>
      </c>
    </row>
    <row r="95" spans="1:53" ht="16" outlineLevel="5">
      <c r="A95" s="48" t="s">
        <v>92</v>
      </c>
      <c r="B95" s="53"/>
      <c r="C95" s="54">
        <v>7.5</v>
      </c>
      <c r="D95" s="54">
        <v>7.5</v>
      </c>
      <c r="E95" s="54">
        <v>7.5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4">
        <v>0</v>
      </c>
      <c r="O95" s="54">
        <v>0</v>
      </c>
      <c r="P95" s="54">
        <v>0</v>
      </c>
      <c r="Q95" s="54">
        <v>0</v>
      </c>
      <c r="R95" s="54">
        <v>0</v>
      </c>
      <c r="S95" s="54">
        <v>0</v>
      </c>
      <c r="T95" s="54">
        <v>0</v>
      </c>
      <c r="U95" s="54">
        <v>0</v>
      </c>
      <c r="V95" s="54">
        <v>0</v>
      </c>
      <c r="W95" s="54">
        <v>0</v>
      </c>
      <c r="X95" s="54">
        <v>0</v>
      </c>
      <c r="Y95" s="54">
        <v>0</v>
      </c>
      <c r="Z95" s="54">
        <v>0</v>
      </c>
      <c r="AA95" s="54">
        <v>0</v>
      </c>
      <c r="AB95" s="54">
        <v>0</v>
      </c>
      <c r="AC95" s="54">
        <v>0</v>
      </c>
      <c r="AD95" s="54">
        <v>0</v>
      </c>
      <c r="AE95" s="54">
        <v>0</v>
      </c>
      <c r="AF95" s="54">
        <v>0</v>
      </c>
      <c r="AG95" s="54">
        <v>0</v>
      </c>
      <c r="AH95" s="54">
        <v>0</v>
      </c>
      <c r="AI95" s="54">
        <v>0</v>
      </c>
      <c r="AJ95" s="54">
        <v>0</v>
      </c>
      <c r="AK95" s="54">
        <v>0</v>
      </c>
      <c r="AL95" s="54">
        <v>0</v>
      </c>
      <c r="AM95" s="54">
        <v>0</v>
      </c>
      <c r="AN95" s="54">
        <v>0</v>
      </c>
      <c r="AO95" s="54">
        <v>0</v>
      </c>
      <c r="AP95" s="54">
        <v>0</v>
      </c>
      <c r="AQ95" s="54">
        <v>0</v>
      </c>
      <c r="AR95" s="54">
        <v>0</v>
      </c>
      <c r="AS95" s="54">
        <v>0</v>
      </c>
      <c r="AT95" s="54">
        <v>0</v>
      </c>
      <c r="AU95" s="54">
        <v>0</v>
      </c>
      <c r="AV95" s="54">
        <v>0</v>
      </c>
      <c r="AW95" s="54">
        <v>0</v>
      </c>
      <c r="AX95" s="54">
        <v>0</v>
      </c>
      <c r="AY95" s="54">
        <v>0</v>
      </c>
      <c r="AZ95" s="54">
        <v>0</v>
      </c>
      <c r="BA95" s="54">
        <v>0</v>
      </c>
    </row>
    <row r="96" spans="1:53" ht="16" outlineLevel="5">
      <c r="A96" s="48" t="s">
        <v>93</v>
      </c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4">
        <v>0</v>
      </c>
      <c r="AF96" s="54">
        <v>0</v>
      </c>
      <c r="AG96" s="54">
        <v>0</v>
      </c>
      <c r="AH96" s="54">
        <v>0</v>
      </c>
      <c r="AI96" s="54">
        <v>0</v>
      </c>
      <c r="AJ96" s="54">
        <v>0</v>
      </c>
      <c r="AK96" s="54">
        <v>0</v>
      </c>
      <c r="AL96" s="54">
        <v>0</v>
      </c>
      <c r="AM96" s="54">
        <v>0</v>
      </c>
      <c r="AN96" s="54">
        <v>0</v>
      </c>
      <c r="AO96" s="54">
        <v>0</v>
      </c>
      <c r="AP96" s="54">
        <v>0</v>
      </c>
      <c r="AQ96" s="54">
        <v>0</v>
      </c>
      <c r="AR96" s="54">
        <v>0</v>
      </c>
      <c r="AS96" s="54">
        <v>0</v>
      </c>
      <c r="AT96" s="54">
        <v>0</v>
      </c>
      <c r="AU96" s="54">
        <v>0</v>
      </c>
      <c r="AV96" s="54">
        <v>0</v>
      </c>
      <c r="AW96" s="54">
        <v>0</v>
      </c>
      <c r="AX96" s="54">
        <v>0</v>
      </c>
      <c r="AY96" s="54">
        <v>0</v>
      </c>
      <c r="AZ96" s="54">
        <v>0</v>
      </c>
      <c r="BA96" s="54">
        <v>0</v>
      </c>
    </row>
    <row r="97" spans="1:53" ht="16" outlineLevel="5">
      <c r="A97" s="48" t="s">
        <v>94</v>
      </c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4">
        <v>0</v>
      </c>
      <c r="AF97" s="54">
        <v>0</v>
      </c>
      <c r="AG97" s="54">
        <v>0</v>
      </c>
      <c r="AH97" s="54">
        <v>0</v>
      </c>
      <c r="AI97" s="54">
        <v>0</v>
      </c>
      <c r="AJ97" s="54">
        <v>355.72</v>
      </c>
      <c r="AK97" s="54">
        <v>0</v>
      </c>
      <c r="AL97" s="54">
        <v>0</v>
      </c>
      <c r="AM97" s="54">
        <v>0</v>
      </c>
      <c r="AN97" s="54">
        <v>0</v>
      </c>
      <c r="AO97" s="54">
        <v>0</v>
      </c>
      <c r="AP97" s="54">
        <v>0</v>
      </c>
      <c r="AQ97" s="54">
        <v>0</v>
      </c>
      <c r="AR97" s="54">
        <v>0</v>
      </c>
      <c r="AS97" s="54">
        <v>0</v>
      </c>
      <c r="AT97" s="54">
        <v>0</v>
      </c>
      <c r="AU97" s="54">
        <v>0</v>
      </c>
      <c r="AV97" s="54">
        <v>0</v>
      </c>
      <c r="AW97" s="54">
        <v>0</v>
      </c>
      <c r="AX97" s="54">
        <v>0</v>
      </c>
      <c r="AY97" s="54">
        <v>0</v>
      </c>
      <c r="AZ97" s="54">
        <v>0</v>
      </c>
      <c r="BA97" s="54">
        <v>-166.36</v>
      </c>
    </row>
    <row r="98" spans="1:53" ht="16" outlineLevel="5">
      <c r="A98" s="48" t="s">
        <v>95</v>
      </c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4">
        <v>0</v>
      </c>
      <c r="AF98" s="54">
        <v>0</v>
      </c>
      <c r="AG98" s="54">
        <v>0</v>
      </c>
      <c r="AH98" s="54">
        <v>0</v>
      </c>
      <c r="AI98" s="54">
        <v>0</v>
      </c>
      <c r="AJ98" s="54">
        <v>0</v>
      </c>
      <c r="AK98" s="54">
        <v>0</v>
      </c>
      <c r="AL98" s="54">
        <v>0</v>
      </c>
      <c r="AM98" s="54">
        <v>0</v>
      </c>
      <c r="AN98" s="54">
        <v>0</v>
      </c>
      <c r="AO98" s="54">
        <v>0</v>
      </c>
      <c r="AP98" s="54">
        <v>0</v>
      </c>
      <c r="AQ98" s="54">
        <v>0</v>
      </c>
      <c r="AR98" s="54">
        <v>0</v>
      </c>
      <c r="AS98" s="54">
        <v>0</v>
      </c>
      <c r="AT98" s="54">
        <v>0</v>
      </c>
      <c r="AU98" s="54">
        <v>0</v>
      </c>
      <c r="AV98" s="54">
        <v>0</v>
      </c>
      <c r="AW98" s="54">
        <v>0</v>
      </c>
      <c r="AX98" s="54">
        <v>0</v>
      </c>
      <c r="AY98" s="54">
        <v>0</v>
      </c>
      <c r="AZ98" s="54">
        <v>0</v>
      </c>
      <c r="BA98" s="54">
        <v>0</v>
      </c>
    </row>
    <row r="99" spans="1:53" ht="16" outlineLevel="5">
      <c r="A99" s="48" t="s">
        <v>96</v>
      </c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4">
        <v>3331.93</v>
      </c>
    </row>
    <row r="100" spans="1:53" ht="16" outlineLevel="5">
      <c r="A100" s="48" t="s">
        <v>97</v>
      </c>
      <c r="B100" s="53"/>
      <c r="C100" s="54">
        <v>200.0</v>
      </c>
      <c r="D100" s="54">
        <v>200.0</v>
      </c>
      <c r="E100" s="54">
        <v>200.0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54">
        <v>0</v>
      </c>
      <c r="P100" s="54">
        <v>0</v>
      </c>
      <c r="Q100" s="54">
        <v>0</v>
      </c>
      <c r="R100" s="54">
        <v>0</v>
      </c>
      <c r="S100" s="54">
        <v>0</v>
      </c>
      <c r="T100" s="54">
        <v>0</v>
      </c>
      <c r="U100" s="54">
        <v>0</v>
      </c>
      <c r="V100" s="54">
        <v>0</v>
      </c>
      <c r="W100" s="54">
        <v>0</v>
      </c>
      <c r="X100" s="54">
        <v>0</v>
      </c>
      <c r="Y100" s="54">
        <v>0</v>
      </c>
      <c r="Z100" s="54">
        <v>0</v>
      </c>
      <c r="AA100" s="54">
        <v>0</v>
      </c>
      <c r="AB100" s="54">
        <v>0</v>
      </c>
      <c r="AC100" s="54">
        <v>0</v>
      </c>
      <c r="AD100" s="54">
        <v>0</v>
      </c>
      <c r="AE100" s="54">
        <v>0</v>
      </c>
      <c r="AF100" s="54">
        <v>0</v>
      </c>
      <c r="AG100" s="54">
        <v>0</v>
      </c>
      <c r="AH100" s="54">
        <v>0</v>
      </c>
      <c r="AI100" s="54">
        <v>0</v>
      </c>
      <c r="AJ100" s="54">
        <v>0</v>
      </c>
      <c r="AK100" s="54">
        <v>0</v>
      </c>
      <c r="AL100" s="54">
        <v>0</v>
      </c>
      <c r="AM100" s="54">
        <v>0</v>
      </c>
      <c r="AN100" s="54">
        <v>0</v>
      </c>
      <c r="AO100" s="54">
        <v>0</v>
      </c>
      <c r="AP100" s="54">
        <v>0</v>
      </c>
      <c r="AQ100" s="54">
        <v>0</v>
      </c>
      <c r="AR100" s="54">
        <v>0</v>
      </c>
      <c r="AS100" s="54">
        <v>0</v>
      </c>
      <c r="AT100" s="54">
        <v>0</v>
      </c>
      <c r="AU100" s="54">
        <v>0</v>
      </c>
      <c r="AV100" s="54">
        <v>0</v>
      </c>
      <c r="AW100" s="54">
        <v>0</v>
      </c>
      <c r="AX100" s="54">
        <v>0</v>
      </c>
      <c r="AY100" s="54">
        <v>0</v>
      </c>
      <c r="AZ100" s="54">
        <v>0</v>
      </c>
      <c r="BA100" s="54">
        <v>0</v>
      </c>
    </row>
    <row r="101" spans="1:53" ht="16" outlineLevel="4">
      <c r="A101" s="49" t="s">
        <v>98</v>
      </c>
      <c r="B101" s="55"/>
      <c r="C101" s="55">
        <f>C90+C91+C92+C93+C94+C95+C96+C97+C98+C99+C100</f>
        <v>476.45000000000005</v>
      </c>
      <c r="D101" s="55">
        <f>D90+D91+D92+D93+D94+D95+D96+D97+D98+D99+D100</f>
        <v>476.45000000000005</v>
      </c>
      <c r="E101" s="55">
        <f>E90+E91+E92+E93+E94+E95+E96+E97+E98+E99+E100</f>
        <v>476.45000000000005</v>
      </c>
      <c r="F101" s="55">
        <f>F90+F91+F92+F93+F94+F95+F96+F97+F98+F99+F100</f>
        <v>0.0</v>
      </c>
      <c r="G101" s="55">
        <f>G90+G91+G92+G93+G94+G95+G96+G97+G98+G99+G100</f>
        <v>0.0</v>
      </c>
      <c r="H101" s="55">
        <f>H90+H91+H92+H93+H94+H95+H96+H97+H98+H99+H100</f>
        <v>0.0</v>
      </c>
      <c r="I101" s="55">
        <f>I90+I91+I92+I93+I94+I95+I96+I97+I98+I99+I100</f>
        <v>0.0</v>
      </c>
      <c r="J101" s="55">
        <f>J90+J91+J92+J93+J94+J95+J96+J97+J98+J99+J100</f>
        <v>0.0</v>
      </c>
      <c r="K101" s="55">
        <f>K90+K91+K92+K93+K94+K95+K96+K97+K98+K99+K100</f>
        <v>0.0</v>
      </c>
      <c r="L101" s="55">
        <f>L90+L91+L92+L93+L94+L95+L96+L97+L98+L99+L100</f>
        <v>0.0</v>
      </c>
      <c r="M101" s="55">
        <f>M90+M91+M92+M93+M94+M95+M96+M97+M98+M99+M100</f>
        <v>0.0</v>
      </c>
      <c r="N101" s="55">
        <f>N90+N91+N92+N93+N94+N95+N96+N97+N98+N99+N100</f>
        <v>0.0</v>
      </c>
      <c r="O101" s="55">
        <f>O90+O91+O92+O93+O94+O95+O96+O97+O98+O99+O100</f>
        <v>0.0</v>
      </c>
      <c r="P101" s="55">
        <f>P90+P91+P92+P93+P94+P95+P96+P97+P98+P99+P100</f>
        <v>0.0</v>
      </c>
      <c r="Q101" s="55">
        <f>Q90+Q91+Q92+Q93+Q94+Q95+Q96+Q97+Q98+Q99+Q100</f>
        <v>0.0</v>
      </c>
      <c r="R101" s="55">
        <f>R90+R91+R92+R93+R94+R95+R96+R97+R98+R99+R100</f>
        <v>0.0</v>
      </c>
      <c r="S101" s="55">
        <f>S90+S91+S92+S93+S94+S95+S96+S97+S98+S99+S100</f>
        <v>0.0</v>
      </c>
      <c r="T101" s="55">
        <f>T90+T91+T92+T93+T94+T95+T96+T97+T98+T99+T100</f>
        <v>0.0</v>
      </c>
      <c r="U101" s="55">
        <f>U90+U91+U92+U93+U94+U95+U96+U97+U98+U99+U100</f>
        <v>0.0</v>
      </c>
      <c r="V101" s="55">
        <f>V90+V91+V92+V93+V94+V95+V96+V97+V98+V99+V100</f>
        <v>0.0</v>
      </c>
      <c r="W101" s="55">
        <f>W90+W91+W92+W93+W94+W95+W96+W97+W98+W99+W100</f>
        <v>0.0</v>
      </c>
      <c r="X101" s="55">
        <f>X90+X91+X92+X93+X94+X95+X96+X97+X98+X99+X100</f>
        <v>0.0</v>
      </c>
      <c r="Y101" s="55">
        <f>Y90+Y91+Y92+Y93+Y94+Y95+Y96+Y97+Y98+Y99+Y100</f>
        <v>0.0</v>
      </c>
      <c r="Z101" s="55">
        <f>Z90+Z91+Z92+Z93+Z94+Z95+Z96+Z97+Z98+Z99+Z100</f>
        <v>0.0</v>
      </c>
      <c r="AA101" s="55">
        <f>AA90+AA91+AA92+AA93+AA94+AA95+AA96+AA97+AA98+AA99+AA100</f>
        <v>0.0</v>
      </c>
      <c r="AB101" s="55">
        <f>AB90+AB91+AB92+AB93+AB94+AB95+AB96+AB97+AB98+AB99+AB100</f>
        <v>0.0</v>
      </c>
      <c r="AC101" s="55">
        <f>AC90+AC91+AC92+AC93+AC94+AC95+AC96+AC97+AC98+AC99+AC100</f>
        <v>0.0</v>
      </c>
      <c r="AD101" s="55">
        <f>AD90+AD91+AD92+AD93+AD94+AD95+AD96+AD97+AD98+AD99+AD100</f>
        <v>0.0</v>
      </c>
      <c r="AE101" s="55">
        <f>AE90+AE91+AE92+AE93+AE94+AE95+AE96+AE97+AE98+AE99+AE100</f>
        <v>0.0</v>
      </c>
      <c r="AF101" s="55">
        <f>AF90+AF91+AF92+AF93+AF94+AF95+AF96+AF97+AF98+AF99+AF100</f>
        <v>0.0</v>
      </c>
      <c r="AG101" s="55">
        <f>AG90+AG91+AG92+AG93+AG94+AG95+AG96+AG97+AG98+AG99+AG100</f>
        <v>0.0</v>
      </c>
      <c r="AH101" s="55">
        <f>AH90+AH91+AH92+AH93+AH94+AH95+AH96+AH97+AH98+AH99+AH100</f>
        <v>0.0</v>
      </c>
      <c r="AI101" s="55">
        <f>AI90+AI91+AI92+AI93+AI94+AI95+AI96+AI97+AI98+AI99+AI100</f>
        <v>0.0</v>
      </c>
      <c r="AJ101" s="55">
        <f>AJ90+AJ91+AJ92+AJ93+AJ94+AJ95+AJ96+AJ97+AJ98+AJ99+AJ100</f>
        <v>355.72</v>
      </c>
      <c r="AK101" s="55">
        <f>AK90+AK91+AK92+AK93+AK94+AK95+AK96+AK97+AK98+AK99+AK100</f>
        <v>0.0</v>
      </c>
      <c r="AL101" s="55">
        <f>AL90+AL91+AL92+AL93+AL94+AL95+AL96+AL97+AL98+AL99+AL100</f>
        <v>0.0</v>
      </c>
      <c r="AM101" s="55">
        <f>AM90+AM91+AM92+AM93+AM94+AM95+AM96+AM97+AM98+AM99+AM100</f>
        <v>0.0</v>
      </c>
      <c r="AN101" s="55">
        <f>AN90+AN91+AN92+AN93+AN94+AN95+AN96+AN97+AN98+AN99+AN100</f>
        <v>0.0</v>
      </c>
      <c r="AO101" s="55">
        <f>AO90+AO91+AO92+AO93+AO94+AO95+AO96+AO97+AO98+AO99+AO100</f>
        <v>0.0</v>
      </c>
      <c r="AP101" s="55">
        <f>AP90+AP91+AP92+AP93+AP94+AP95+AP96+AP97+AP98+AP99+AP100</f>
        <v>0.0</v>
      </c>
      <c r="AQ101" s="55">
        <f>AQ90+AQ91+AQ92+AQ93+AQ94+AQ95+AQ96+AQ97+AQ98+AQ99+AQ100</f>
        <v>0.0</v>
      </c>
      <c r="AR101" s="55">
        <f>AR90+AR91+AR92+AR93+AR94+AR95+AR96+AR97+AR98+AR99+AR100</f>
        <v>0.0</v>
      </c>
      <c r="AS101" s="55">
        <f>AS90+AS91+AS92+AS93+AS94+AS95+AS96+AS97+AS98+AS99+AS100</f>
        <v>0.0</v>
      </c>
      <c r="AT101" s="55">
        <f>AT90+AT91+AT92+AT93+AT94+AT95+AT96+AT97+AT98+AT99+AT100</f>
        <v>0.0</v>
      </c>
      <c r="AU101" s="55">
        <f>AU90+AU91+AU92+AU93+AU94+AU95+AU96+AU97+AU98+AU99+AU100</f>
        <v>0.0</v>
      </c>
      <c r="AV101" s="55">
        <f>AV90+AV91+AV92+AV93+AV94+AV95+AV96+AV97+AV98+AV99+AV100</f>
        <v>0.0</v>
      </c>
      <c r="AW101" s="55">
        <f>AW90+AW91+AW92+AW93+AW94+AW95+AW96+AW97+AW98+AW99+AW100</f>
        <v>-74.13</v>
      </c>
      <c r="AX101" s="55">
        <f>AX90+AX91+AX92+AX93+AX94+AX95+AX96+AX97+AX98+AX99+AX100</f>
        <v>0.0</v>
      </c>
      <c r="AY101" s="55">
        <f>AY90+AY91+AY92+AY93+AY94+AY95+AY96+AY97+AY98+AY99+AY100</f>
        <v>0.0</v>
      </c>
      <c r="AZ101" s="55">
        <f>AZ90+AZ91+AZ92+AZ93+AZ94+AZ95+AZ96+AZ97+AZ98+AZ99+AZ100</f>
        <v>0.0</v>
      </c>
      <c r="BA101" s="55">
        <f>BA90+BA91+BA92+BA93+BA94+BA95+BA96+BA97+BA98+BA99+BA100</f>
        <v>3165.5699999999997</v>
      </c>
    </row>
    <row r="102" spans="1:53" ht="16" outlineLevel="4">
      <c r="A102" s="46" t="s">
        <v>99</v>
      </c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4">
        <v>0</v>
      </c>
      <c r="Q102" s="54">
        <v>0</v>
      </c>
      <c r="R102" s="54">
        <v>0</v>
      </c>
      <c r="S102" s="54">
        <v>0</v>
      </c>
      <c r="T102" s="54">
        <v>0</v>
      </c>
      <c r="U102" s="54">
        <v>0</v>
      </c>
      <c r="V102" s="54">
        <v>0</v>
      </c>
      <c r="W102" s="54">
        <v>0</v>
      </c>
      <c r="X102" s="54">
        <v>0</v>
      </c>
      <c r="Y102" s="54">
        <v>0</v>
      </c>
      <c r="Z102" s="54">
        <v>0</v>
      </c>
      <c r="AA102" s="54">
        <v>0</v>
      </c>
      <c r="AB102" s="54">
        <v>0</v>
      </c>
      <c r="AC102" s="54">
        <v>0</v>
      </c>
      <c r="AD102" s="54">
        <v>0</v>
      </c>
      <c r="AE102" s="54">
        <v>0</v>
      </c>
      <c r="AF102" s="54">
        <v>0</v>
      </c>
      <c r="AG102" s="54">
        <v>0</v>
      </c>
      <c r="AH102" s="54">
        <v>0</v>
      </c>
      <c r="AI102" s="54">
        <v>0</v>
      </c>
      <c r="AJ102" s="54">
        <v>0</v>
      </c>
      <c r="AK102" s="54">
        <v>0</v>
      </c>
      <c r="AL102" s="54">
        <v>0</v>
      </c>
      <c r="AM102" s="54">
        <v>0</v>
      </c>
      <c r="AN102" s="54">
        <v>0</v>
      </c>
      <c r="AO102" s="54">
        <v>0</v>
      </c>
      <c r="AP102" s="54">
        <v>0</v>
      </c>
      <c r="AQ102" s="54">
        <v>0</v>
      </c>
      <c r="AR102" s="54">
        <v>0</v>
      </c>
      <c r="AS102" s="54">
        <v>0</v>
      </c>
      <c r="AT102" s="54">
        <v>0</v>
      </c>
      <c r="AU102" s="54">
        <v>0</v>
      </c>
      <c r="AV102" s="54">
        <v>0</v>
      </c>
      <c r="AW102" s="54">
        <v>0</v>
      </c>
      <c r="AX102" s="54">
        <v>0</v>
      </c>
      <c r="AY102" s="54">
        <v>0</v>
      </c>
      <c r="AZ102" s="54">
        <v>0</v>
      </c>
      <c r="BA102" s="54">
        <v>0</v>
      </c>
    </row>
    <row r="103" spans="1:53" ht="16" outlineLevel="4">
      <c r="A103" s="46" t="s">
        <v>100</v>
      </c>
      <c r="B103" s="53"/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4">
        <v>0</v>
      </c>
      <c r="O103" s="54">
        <v>0</v>
      </c>
      <c r="P103" s="54">
        <v>0</v>
      </c>
      <c r="Q103" s="54">
        <v>0</v>
      </c>
      <c r="R103" s="54">
        <v>0</v>
      </c>
      <c r="S103" s="54">
        <v>0</v>
      </c>
      <c r="T103" s="54">
        <v>0</v>
      </c>
      <c r="U103" s="54">
        <v>0</v>
      </c>
      <c r="V103" s="54">
        <v>396.09</v>
      </c>
      <c r="W103" s="54">
        <v>396.09</v>
      </c>
      <c r="X103" s="54">
        <v>460.25</v>
      </c>
      <c r="Y103" s="54">
        <v>460.25</v>
      </c>
      <c r="Z103" s="54">
        <v>460.25</v>
      </c>
      <c r="AA103" s="54">
        <v>484.14</v>
      </c>
      <c r="AB103" s="54">
        <v>1104.81</v>
      </c>
      <c r="AC103" s="54">
        <v>1122.35</v>
      </c>
      <c r="AD103" s="54">
        <v>1135.99</v>
      </c>
      <c r="AE103" s="54">
        <v>388.35</v>
      </c>
      <c r="AF103" s="54">
        <v>665.35</v>
      </c>
      <c r="AG103" s="54">
        <v>917.88</v>
      </c>
      <c r="AH103" s="54">
        <v>3990.4300000000003</v>
      </c>
      <c r="AI103" s="54">
        <v>5188.89</v>
      </c>
      <c r="AJ103" s="54">
        <v>6914.05</v>
      </c>
      <c r="AK103" s="54">
        <v>7759.4800000000005</v>
      </c>
      <c r="AL103" s="54">
        <v>8874.45</v>
      </c>
      <c r="AM103" s="54">
        <v>10930.01</v>
      </c>
      <c r="AN103" s="54">
        <v>11303.0</v>
      </c>
      <c r="AO103" s="54">
        <v>12929.15</v>
      </c>
      <c r="AP103" s="54">
        <v>13533.4</v>
      </c>
      <c r="AQ103" s="54">
        <v>14118.07</v>
      </c>
      <c r="AR103" s="54">
        <v>1885.949999999999</v>
      </c>
      <c r="AS103" s="54">
        <v>3628.289999999999</v>
      </c>
      <c r="AT103" s="54">
        <v>5258.789999999999</v>
      </c>
      <c r="AU103" s="54">
        <v>7096.619999999999</v>
      </c>
      <c r="AV103" s="54">
        <v>9968.239999999998</v>
      </c>
      <c r="AW103" s="54">
        <v>11827.269999999999</v>
      </c>
      <c r="AX103" s="54">
        <v>13500.339999999998</v>
      </c>
      <c r="AY103" s="54">
        <v>16929.839999999997</v>
      </c>
      <c r="AZ103" s="54">
        <v>21552.149999999998</v>
      </c>
      <c r="BA103" s="54">
        <v>28531.969999999998</v>
      </c>
    </row>
    <row r="104" spans="1:53" ht="16" outlineLevel="4">
      <c r="A104" s="46" t="s">
        <v>101</v>
      </c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4">
        <v>0</v>
      </c>
      <c r="AF104" s="54">
        <v>0</v>
      </c>
      <c r="AG104" s="54">
        <v>0</v>
      </c>
      <c r="AH104" s="54">
        <v>0</v>
      </c>
      <c r="AI104" s="54">
        <v>0</v>
      </c>
      <c r="AJ104" s="54">
        <v>0</v>
      </c>
      <c r="AK104" s="54">
        <v>0</v>
      </c>
      <c r="AL104" s="54">
        <v>0</v>
      </c>
      <c r="AM104" s="54">
        <v>0</v>
      </c>
      <c r="AN104" s="54">
        <v>0</v>
      </c>
      <c r="AO104" s="54">
        <v>0</v>
      </c>
      <c r="AP104" s="54">
        <v>0</v>
      </c>
      <c r="AQ104" s="54">
        <v>0</v>
      </c>
      <c r="AR104" s="54">
        <v>0</v>
      </c>
      <c r="AS104" s="54">
        <v>0</v>
      </c>
      <c r="AT104" s="54">
        <v>0</v>
      </c>
      <c r="AU104" s="54">
        <v>0</v>
      </c>
      <c r="AV104" s="54">
        <v>-4500.0</v>
      </c>
      <c r="AW104" s="54">
        <v>-4500.0</v>
      </c>
      <c r="AX104" s="54">
        <v>-4500.0</v>
      </c>
      <c r="AY104" s="54">
        <v>-12500.0</v>
      </c>
      <c r="AZ104" s="54">
        <v>-12500.0</v>
      </c>
      <c r="BA104" s="54">
        <v>-12500.0</v>
      </c>
    </row>
    <row r="105" spans="1:53" ht="16" outlineLevel="4">
      <c r="A105" s="46" t="s">
        <v>102</v>
      </c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4">
        <v>44825.0</v>
      </c>
      <c r="AG105" s="54">
        <v>-282.1900000000023</v>
      </c>
      <c r="AH105" s="54">
        <v>-2.3305801732931286E-12</v>
      </c>
      <c r="AI105" s="54">
        <v>-2.3305801732931286E-12</v>
      </c>
      <c r="AJ105" s="54">
        <v>-2.3305801732931286E-12</v>
      </c>
      <c r="AK105" s="54">
        <v>-2.3305801732931286E-12</v>
      </c>
      <c r="AL105" s="54">
        <v>-2.3305801732931286E-12</v>
      </c>
      <c r="AM105" s="54">
        <v>-2.3305801732931286E-12</v>
      </c>
      <c r="AN105" s="54">
        <v>-2.3305801732931286E-12</v>
      </c>
      <c r="AO105" s="54">
        <v>-2.3305801732931286E-12</v>
      </c>
      <c r="AP105" s="54">
        <v>-175.00000000000233</v>
      </c>
      <c r="AQ105" s="54">
        <v>-175.00000000000233</v>
      </c>
      <c r="AR105" s="54">
        <v>-175.00000000000233</v>
      </c>
      <c r="AS105" s="54">
        <v>-175.00000000000233</v>
      </c>
      <c r="AT105" s="54">
        <v>-175.00000000000233</v>
      </c>
      <c r="AU105" s="54">
        <v>-175.00000000000233</v>
      </c>
      <c r="AV105" s="54">
        <v>-175.00000000000233</v>
      </c>
      <c r="AW105" s="54">
        <v>-175.00000000000233</v>
      </c>
      <c r="AX105" s="54">
        <v>-175.00000000000233</v>
      </c>
      <c r="AY105" s="54">
        <v>-175.00000000000233</v>
      </c>
      <c r="AZ105" s="54">
        <v>-175.00000000000233</v>
      </c>
      <c r="BA105" s="54">
        <v>-175.00000000000233</v>
      </c>
    </row>
    <row r="106" spans="1:53" ht="16" outlineLevel="4">
      <c r="A106" s="46" t="s">
        <v>103</v>
      </c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4">
        <v>111129.33</v>
      </c>
      <c r="AQ106" s="54">
        <v>106994.04000000001</v>
      </c>
      <c r="AR106" s="54">
        <v>102894.04000000001</v>
      </c>
      <c r="AS106" s="54">
        <v>98794.04000000001</v>
      </c>
      <c r="AT106" s="54">
        <v>94694.04000000001</v>
      </c>
      <c r="AU106" s="54">
        <v>90594.04000000001</v>
      </c>
      <c r="AV106" s="54">
        <v>86494.04000000001</v>
      </c>
      <c r="AW106" s="54">
        <v>82394.04000000001</v>
      </c>
      <c r="AX106" s="54">
        <v>78294.04000000001</v>
      </c>
      <c r="AY106" s="54">
        <v>74194.04000000001</v>
      </c>
      <c r="AZ106" s="54">
        <v>70094.04000000001</v>
      </c>
      <c r="BA106" s="54">
        <v>65994.04000000001</v>
      </c>
    </row>
    <row r="107" spans="1:53" ht="16" outlineLevel="4">
      <c r="A107" s="46" t="s">
        <v>104</v>
      </c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4">
        <v>100000.0</v>
      </c>
      <c r="AY107" s="54">
        <v>98581.7</v>
      </c>
      <c r="AZ107" s="54">
        <v>97173.65</v>
      </c>
      <c r="BA107" s="54">
        <v>95739.45</v>
      </c>
    </row>
    <row r="108" spans="1:53" ht="16" outlineLevel="3">
      <c r="A108" s="47" t="s">
        <v>105</v>
      </c>
      <c r="B108" s="55"/>
      <c r="C108" s="55">
        <f>C88+C89+C101+C102+C103+C104+C105+C106+C107</f>
        <v>476.45000000000005</v>
      </c>
      <c r="D108" s="55">
        <f>D88+D89+D101+D102+D103+D104+D105+D106+D107</f>
        <v>476.45000000000005</v>
      </c>
      <c r="E108" s="55">
        <f>E88+E89+E101+E102+E103+E104+E105+E106+E107</f>
        <v>476.45000000000005</v>
      </c>
      <c r="F108" s="55">
        <f>F88+F89+F101+F102+F103+F104+F105+F106+F107</f>
        <v>0.0</v>
      </c>
      <c r="G108" s="55">
        <f>G88+G89+G101+G102+G103+G104+G105+G106+G107</f>
        <v>0.0</v>
      </c>
      <c r="H108" s="55">
        <f>H88+H89+H101+H102+H103+H104+H105+H106+H107</f>
        <v>0.0</v>
      </c>
      <c r="I108" s="55">
        <f>I88+I89+I101+I102+I103+I104+I105+I106+I107</f>
        <v>0.0</v>
      </c>
      <c r="J108" s="55">
        <f>J88+J89+J101+J102+J103+J104+J105+J106+J107</f>
        <v>0.0</v>
      </c>
      <c r="K108" s="55">
        <f>K88+K89+K101+K102+K103+K104+K105+K106+K107</f>
        <v>0.0</v>
      </c>
      <c r="L108" s="55">
        <f>L88+L89+L101+L102+L103+L104+L105+L106+L107</f>
        <v>0.0</v>
      </c>
      <c r="M108" s="55">
        <f>M88+M89+M101+M102+M103+M104+M105+M106+M107</f>
        <v>0.0</v>
      </c>
      <c r="N108" s="55">
        <f>N88+N89+N101+N102+N103+N104+N105+N106+N107</f>
        <v>0.0</v>
      </c>
      <c r="O108" s="55">
        <f>O88+O89+O101+O102+O103+O104+O105+O106+O107</f>
        <v>0.0</v>
      </c>
      <c r="P108" s="55">
        <f>P88+P89+P101+P102+P103+P104+P105+P106+P107</f>
        <v>0.0</v>
      </c>
      <c r="Q108" s="55">
        <f>Q88+Q89+Q101+Q102+Q103+Q104+Q105+Q106+Q107</f>
        <v>0.0</v>
      </c>
      <c r="R108" s="55">
        <f>R88+R89+R101+R102+R103+R104+R105+R106+R107</f>
        <v>0.0</v>
      </c>
      <c r="S108" s="55">
        <f>S88+S89+S101+S102+S103+S104+S105+S106+S107</f>
        <v>0.0</v>
      </c>
      <c r="T108" s="55">
        <f>T88+T89+T101+T102+T103+T104+T105+T106+T107</f>
        <v>0.0</v>
      </c>
      <c r="U108" s="55">
        <f>U88+U89+U101+U102+U103+U104+U105+U106+U107</f>
        <v>0.0</v>
      </c>
      <c r="V108" s="55">
        <f>V88+V89+V101+V102+V103+V104+V105+V106+V107</f>
        <v>396.09</v>
      </c>
      <c r="W108" s="55">
        <f>W88+W89+W101+W102+W103+W104+W105+W106+W107</f>
        <v>396.09</v>
      </c>
      <c r="X108" s="55">
        <f>X88+X89+X101+X102+X103+X104+X105+X106+X107</f>
        <v>460.25</v>
      </c>
      <c r="Y108" s="55">
        <f>Y88+Y89+Y101+Y102+Y103+Y104+Y105+Y106+Y107</f>
        <v>460.25</v>
      </c>
      <c r="Z108" s="55">
        <f>Z88+Z89+Z101+Z102+Z103+Z104+Z105+Z106+Z107</f>
        <v>460.25</v>
      </c>
      <c r="AA108" s="55">
        <f>AA88+AA89+AA101+AA102+AA103+AA104+AA105+AA106+AA107</f>
        <v>484.14</v>
      </c>
      <c r="AB108" s="55">
        <f>AB88+AB89+AB101+AB102+AB103+AB104+AB105+AB106+AB107</f>
        <v>1104.81</v>
      </c>
      <c r="AC108" s="55">
        <f>AC88+AC89+AC101+AC102+AC103+AC104+AC105+AC106+AC107</f>
        <v>1122.35</v>
      </c>
      <c r="AD108" s="55">
        <f>AD88+AD89+AD101+AD102+AD103+AD104+AD105+AD106+AD107</f>
        <v>1135.99</v>
      </c>
      <c r="AE108" s="55">
        <f>AE88+AE89+AE101+AE102+AE103+AE104+AE105+AE106+AE107</f>
        <v>29088.41</v>
      </c>
      <c r="AF108" s="55">
        <f>AF88+AF89+AF101+AF102+AF103+AF104+AF105+AF106+AF107</f>
        <v>45490.35</v>
      </c>
      <c r="AG108" s="55">
        <f>AG88+AG89+AG101+AG102+AG103+AG104+AG105+AG106+AG107</f>
        <v>6647.689999999998</v>
      </c>
      <c r="AH108" s="55">
        <f>AH88+AH89+AH101+AH102+AH103+AH104+AH105+AH106+AH107</f>
        <v>3990.429999999998</v>
      </c>
      <c r="AI108" s="55">
        <f>AI88+AI89+AI101+AI102+AI103+AI104+AI105+AI106+AI107</f>
        <v>5188.889999999998</v>
      </c>
      <c r="AJ108" s="55">
        <f>AJ88+AJ89+AJ101+AJ102+AJ103+AJ104+AJ105+AJ106+AJ107</f>
        <v>7269.769999999998</v>
      </c>
      <c r="AK108" s="55">
        <f>AK88+AK89+AK101+AK102+AK103+AK104+AK105+AK106+AK107</f>
        <v>7759.479999999998</v>
      </c>
      <c r="AL108" s="55">
        <f>AL88+AL89+AL101+AL102+AL103+AL104+AL105+AL106+AL107</f>
        <v>8874.449999999999</v>
      </c>
      <c r="AM108" s="55">
        <f>AM88+AM89+AM101+AM102+AM103+AM104+AM105+AM106+AM107</f>
        <v>10930.009999999998</v>
      </c>
      <c r="AN108" s="55">
        <f>AN88+AN89+AN101+AN102+AN103+AN104+AN105+AN106+AN107</f>
        <v>11302.999999999998</v>
      </c>
      <c r="AO108" s="55">
        <f>AO88+AO89+AO101+AO102+AO103+AO104+AO105+AO106+AO107</f>
        <v>12929.149999999998</v>
      </c>
      <c r="AP108" s="55">
        <f>AP88+AP89+AP101+AP102+AP103+AP104+AP105+AP106+AP107</f>
        <v>124487.73</v>
      </c>
      <c r="AQ108" s="55">
        <f>AQ88+AQ89+AQ101+AQ102+AQ103+AQ104+AQ105+AQ106+AQ107</f>
        <v>120937.11</v>
      </c>
      <c r="AR108" s="55">
        <f>AR88+AR89+AR101+AR102+AR103+AR104+AR105+AR106+AR107</f>
        <v>104604.99</v>
      </c>
      <c r="AS108" s="55">
        <f>AS88+AS89+AS101+AS102+AS103+AS104+AS105+AS106+AS107</f>
        <v>102247.33</v>
      </c>
      <c r="AT108" s="55">
        <f>AT88+AT89+AT101+AT102+AT103+AT104+AT105+AT106+AT107</f>
        <v>99777.83</v>
      </c>
      <c r="AU108" s="55">
        <f>AU88+AU89+AU101+AU102+AU103+AU104+AU105+AU106+AU107</f>
        <v>99546.98000000001</v>
      </c>
      <c r="AV108" s="55">
        <f>AV88+AV89+AV101+AV102+AV103+AV104+AV105+AV106+AV107</f>
        <v>95849.92</v>
      </c>
      <c r="AW108" s="55">
        <f>AW88+AW89+AW101+AW102+AW103+AW104+AW105+AW106+AW107</f>
        <v>89472.18000000001</v>
      </c>
      <c r="AX108" s="55">
        <f>AX88+AX89+AX101+AX102+AX103+AX104+AX105+AX106+AX107</f>
        <v>187119.38</v>
      </c>
      <c r="AY108" s="55">
        <f>AY88+AY89+AY101+AY102+AY103+AY104+AY105+AY106+AY107</f>
        <v>177030.58000000002</v>
      </c>
      <c r="AZ108" s="55">
        <f>AZ88+AZ89+AZ101+AZ102+AZ103+AZ104+AZ105+AZ106+AZ107</f>
        <v>176144.84</v>
      </c>
      <c r="BA108" s="55">
        <f>BA88+BA89+BA101+BA102+BA103+BA104+BA105+BA106+BA107</f>
        <v>180756.03</v>
      </c>
    </row>
    <row r="109" spans="1:53" ht="16" outlineLevel="2">
      <c r="A109" s="43" t="s">
        <v>106</v>
      </c>
      <c r="B109" s="55">
        <f>B80+B83+B87+B108</f>
        <v>2854.61</v>
      </c>
      <c r="C109" s="55">
        <f>C80+C83+C87+C108</f>
        <v>10451.59</v>
      </c>
      <c r="D109" s="55">
        <f>D80+D83+D87+D108</f>
        <v>12085.31</v>
      </c>
      <c r="E109" s="55">
        <f>E80+E83+E87+E108</f>
        <v>645.7599999999995</v>
      </c>
      <c r="F109" s="55">
        <f>F80+F83+F87+F108</f>
        <v>3905.3999999999996</v>
      </c>
      <c r="G109" s="55">
        <f>G80+G83+G87+G108</f>
        <v>7020.19</v>
      </c>
      <c r="H109" s="55">
        <f>H80+H83+H87+H108</f>
        <v>7022.91</v>
      </c>
      <c r="I109" s="55">
        <f>I80+I83+I87+I108</f>
        <v>11894.86</v>
      </c>
      <c r="J109" s="55">
        <f>J80+J83+J87+J108</f>
        <v>9618.52</v>
      </c>
      <c r="K109" s="55">
        <f>K80+K83+K87+K108</f>
        <v>18816.440000000002</v>
      </c>
      <c r="L109" s="55">
        <f>L80+L83+L87+L108</f>
        <v>25045.120000000003</v>
      </c>
      <c r="M109" s="55">
        <f>M80+M83+M87+M108</f>
        <v>44717.87</v>
      </c>
      <c r="N109" s="55">
        <f>N80+N83+N87+N108</f>
        <v>38369.23</v>
      </c>
      <c r="O109" s="55">
        <f>O80+O83+O87+O108</f>
        <v>10459.880000000005</v>
      </c>
      <c r="P109" s="55">
        <f>P80+P83+P87+P108</f>
        <v>15775.550000000005</v>
      </c>
      <c r="Q109" s="55">
        <f>Q80+Q83+Q87+Q108</f>
        <v>21078.530000000006</v>
      </c>
      <c r="R109" s="55">
        <f>R80+R83+R87+R108</f>
        <v>37008.490000000005</v>
      </c>
      <c r="S109" s="55">
        <f>S80+S83+S87+S108</f>
        <v>18110.820000000007</v>
      </c>
      <c r="T109" s="55">
        <f>T80+T83+T87+T108</f>
        <v>55608.350000000006</v>
      </c>
      <c r="U109" s="55">
        <f>U80+U83+U87+U108</f>
        <v>26515.990000000005</v>
      </c>
      <c r="V109" s="55">
        <f>V80+V83+V87+V108</f>
        <v>18721.570000000003</v>
      </c>
      <c r="W109" s="55">
        <f>W80+W83+W87+W108</f>
        <v>24387.980000000003</v>
      </c>
      <c r="X109" s="55">
        <f>X80+X83+X87+X108</f>
        <v>32038.130000000005</v>
      </c>
      <c r="Y109" s="55">
        <f>Y80+Y83+Y87+Y108</f>
        <v>26167.570000000003</v>
      </c>
      <c r="Z109" s="55">
        <f>Z80+Z83+Z87+Z108</f>
        <v>34901.64000000001</v>
      </c>
      <c r="AA109" s="55">
        <f>AA80+AA83+AA87+AA108</f>
        <v>65667.62000000001</v>
      </c>
      <c r="AB109" s="55">
        <f>AB80+AB83+AB87+AB108</f>
        <v>68026.79000000001</v>
      </c>
      <c r="AC109" s="55">
        <f>AC80+AC83+AC87+AC108</f>
        <v>32096.400000000005</v>
      </c>
      <c r="AD109" s="55">
        <f>AD80+AD83+AD87+AD108</f>
        <v>33666.630000000005</v>
      </c>
      <c r="AE109" s="55">
        <f>AE80+AE83+AE87+AE108</f>
        <v>39169.11</v>
      </c>
      <c r="AF109" s="55">
        <f>AF80+AF83+AF87+AF108</f>
        <v>63951.560000000005</v>
      </c>
      <c r="AG109" s="55">
        <f>AG80+AG83+AG87+AG108</f>
        <v>38675.520000000004</v>
      </c>
      <c r="AH109" s="55">
        <f>AH80+AH83+AH87+AH108</f>
        <v>59808.40000000001</v>
      </c>
      <c r="AI109" s="55">
        <f>AI80+AI83+AI87+AI108</f>
        <v>65614.34</v>
      </c>
      <c r="AJ109" s="55">
        <f>AJ80+AJ83+AJ87+AJ108</f>
        <v>34128.8</v>
      </c>
      <c r="AK109" s="55">
        <f>AK80+AK83+AK87+AK108</f>
        <v>37448.99</v>
      </c>
      <c r="AL109" s="55">
        <f>AL80+AL83+AL87+AL108</f>
        <v>48375.08</v>
      </c>
      <c r="AM109" s="55">
        <f>AM80+AM83+AM87+AM108</f>
        <v>19037.82</v>
      </c>
      <c r="AN109" s="55">
        <f>AN80+AN83+AN87+AN108</f>
        <v>43114.57</v>
      </c>
      <c r="AO109" s="55">
        <f>AO80+AO83+AO87+AO108</f>
        <v>33867.39</v>
      </c>
      <c r="AP109" s="55">
        <f>AP80+AP83+AP87+AP108</f>
        <v>132316.84</v>
      </c>
      <c r="AQ109" s="55">
        <f>AQ80+AQ83+AQ87+AQ108</f>
        <v>140499.39</v>
      </c>
      <c r="AR109" s="55">
        <f>AR80+AR83+AR87+AR108</f>
        <v>128840.64000000001</v>
      </c>
      <c r="AS109" s="55">
        <f>AS80+AS83+AS87+AS108</f>
        <v>113982.65000000001</v>
      </c>
      <c r="AT109" s="55">
        <f>AT80+AT83+AT87+AT108</f>
        <v>100386.77</v>
      </c>
      <c r="AU109" s="55">
        <f>AU80+AU83+AU87+AU108</f>
        <v>109423.38</v>
      </c>
      <c r="AV109" s="55">
        <f>AV80+AV83+AV87+AV108</f>
        <v>111535.48</v>
      </c>
      <c r="AW109" s="55">
        <f>AW80+AW83+AW87+AW108</f>
        <v>117745.49</v>
      </c>
      <c r="AX109" s="55">
        <f>AX80+AX83+AX87+AX108</f>
        <v>196713.67</v>
      </c>
      <c r="AY109" s="55">
        <f>AY80+AY83+AY87+AY108</f>
        <v>209662.04</v>
      </c>
      <c r="AZ109" s="55">
        <f>AZ80+AZ83+AZ87+AZ108</f>
        <v>205212.96</v>
      </c>
      <c r="BA109" s="55">
        <f>BA80+BA83+BA87+BA108</f>
        <v>200965.83</v>
      </c>
    </row>
    <row r="110" spans="1:53" ht="16" outlineLevel="2">
      <c r="A110" s="41" t="s">
        <v>107</v>
      </c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</row>
    <row r="111" spans="1:53" ht="16" outlineLevel="3">
      <c r="A111" s="42" t="s">
        <v>108</v>
      </c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</row>
    <row r="112" spans="1:53" ht="16" outlineLevel="4">
      <c r="A112" s="46" t="s">
        <v>109</v>
      </c>
      <c r="B112" s="53"/>
      <c r="C112" s="53"/>
      <c r="D112" s="53"/>
      <c r="E112" s="53"/>
      <c r="F112" s="53"/>
      <c r="G112" s="53"/>
      <c r="H112" s="53"/>
      <c r="I112" s="54">
        <v>89110.91</v>
      </c>
      <c r="J112" s="54">
        <v>89110.91</v>
      </c>
      <c r="K112" s="54">
        <v>88114.41</v>
      </c>
      <c r="L112" s="54">
        <v>86120.85</v>
      </c>
      <c r="M112" s="54">
        <v>86120.85</v>
      </c>
      <c r="N112" s="54">
        <v>84102.25</v>
      </c>
      <c r="O112" s="54">
        <v>83092.18</v>
      </c>
      <c r="P112" s="54">
        <v>82058.62999999999</v>
      </c>
      <c r="Q112" s="54">
        <v>81035.55999999998</v>
      </c>
      <c r="R112" s="54">
        <v>79989.34999999998</v>
      </c>
      <c r="S112" s="54">
        <v>79156.06999999998</v>
      </c>
      <c r="T112" s="54">
        <v>78114.52999999998</v>
      </c>
      <c r="U112" s="54">
        <v>77018.27999999998</v>
      </c>
      <c r="V112" s="54">
        <v>75963.13999999998</v>
      </c>
      <c r="W112" s="54">
        <v>74885.69999999998</v>
      </c>
      <c r="X112" s="54">
        <v>73816.99999999999</v>
      </c>
      <c r="Y112" s="54">
        <v>72726.34999999999</v>
      </c>
      <c r="Z112" s="54">
        <v>71643.90999999999</v>
      </c>
      <c r="AA112" s="54">
        <v>70554.57999999999</v>
      </c>
      <c r="AB112" s="54">
        <v>69443.84999999999</v>
      </c>
      <c r="AC112" s="54">
        <v>68340.52999999998</v>
      </c>
      <c r="AD112" s="54">
        <v>67216.16999999998</v>
      </c>
      <c r="AE112" s="54">
        <v>64635.29999999998</v>
      </c>
      <c r="AF112" s="54">
        <v>64635.29999999998</v>
      </c>
      <c r="AG112" s="54">
        <v>63500.26999999998</v>
      </c>
      <c r="AH112" s="54">
        <v>61182.39999999998</v>
      </c>
      <c r="AI112" s="54">
        <v>60012.93999999998</v>
      </c>
      <c r="AJ112" s="54">
        <v>60012.93999999998</v>
      </c>
      <c r="AK112" s="54">
        <v>57664.78999999998</v>
      </c>
      <c r="AL112" s="54">
        <v>56485.52999999998</v>
      </c>
      <c r="AM112" s="54">
        <v>56485.52999999998</v>
      </c>
      <c r="AN112" s="54">
        <v>54093.20999999998</v>
      </c>
      <c r="AO112" s="54">
        <v>54093.20999999998</v>
      </c>
      <c r="AP112" s="54">
        <v>51670.93999999998</v>
      </c>
      <c r="AQ112" s="54">
        <v>50454.46999999998</v>
      </c>
      <c r="AR112" s="54">
        <v>50454.46999999998</v>
      </c>
      <c r="AS112" s="54">
        <v>-2.1827872842550278E-11</v>
      </c>
      <c r="AT112" s="54">
        <v>-2.1827872842550278E-11</v>
      </c>
      <c r="AU112" s="54">
        <v>-2.1827872842550278E-11</v>
      </c>
      <c r="AV112" s="54">
        <v>-2.1827872842550278E-11</v>
      </c>
      <c r="AW112" s="54">
        <v>-2.1827872842550278E-11</v>
      </c>
      <c r="AX112" s="54">
        <v>-2.1827872842550278E-11</v>
      </c>
      <c r="AY112" s="54">
        <v>-2.1827872842550278E-11</v>
      </c>
      <c r="AZ112" s="54">
        <v>-2.1827872842550278E-11</v>
      </c>
      <c r="BA112" s="54">
        <v>-2.1827872842550278E-11</v>
      </c>
    </row>
    <row r="113" spans="1:53" ht="16" outlineLevel="4">
      <c r="A113" s="46" t="s">
        <v>110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4">
        <v>31476.74</v>
      </c>
      <c r="L113" s="54">
        <v>31476.74</v>
      </c>
      <c r="M113" s="54">
        <v>31476.74</v>
      </c>
      <c r="N113" s="54">
        <v>31476.74</v>
      </c>
      <c r="O113" s="54">
        <v>30242.600000000002</v>
      </c>
      <c r="P113" s="54">
        <v>-694.6699999999983</v>
      </c>
      <c r="Q113" s="54">
        <v>-1052.5899999999983</v>
      </c>
      <c r="R113" s="54">
        <v>1.5916157281026244E-12</v>
      </c>
      <c r="S113" s="54">
        <v>1.5916157281026244E-12</v>
      </c>
      <c r="T113" s="54">
        <v>1.5916157281026244E-12</v>
      </c>
      <c r="U113" s="54">
        <v>1.5916157281026244E-12</v>
      </c>
      <c r="V113" s="54">
        <v>1.5916157281026244E-12</v>
      </c>
      <c r="W113" s="54">
        <v>1.5916157281026244E-12</v>
      </c>
      <c r="X113" s="54">
        <v>1.5916157281026244E-12</v>
      </c>
      <c r="Y113" s="54">
        <v>1.5916157281026244E-12</v>
      </c>
      <c r="Z113" s="54">
        <v>1.5916157281026244E-12</v>
      </c>
      <c r="AA113" s="54">
        <v>1.5916157281026244E-12</v>
      </c>
      <c r="AB113" s="54">
        <v>1.5916157281026244E-12</v>
      </c>
      <c r="AC113" s="54">
        <v>1.5916157281026244E-12</v>
      </c>
      <c r="AD113" s="54">
        <v>1.5916157281026244E-12</v>
      </c>
      <c r="AE113" s="54">
        <v>1.5916157281026244E-12</v>
      </c>
      <c r="AF113" s="54">
        <v>1.5916157281026244E-12</v>
      </c>
      <c r="AG113" s="54">
        <v>1.5916157281026244E-12</v>
      </c>
      <c r="AH113" s="54">
        <v>1.5916157281026244E-12</v>
      </c>
      <c r="AI113" s="54">
        <v>1.5916157281026244E-12</v>
      </c>
      <c r="AJ113" s="54">
        <v>1.5916157281026244E-12</v>
      </c>
      <c r="AK113" s="54">
        <v>1.5916157281026244E-12</v>
      </c>
      <c r="AL113" s="54">
        <v>1.5916157281026244E-12</v>
      </c>
      <c r="AM113" s="54">
        <v>1.5916157281026244E-12</v>
      </c>
      <c r="AN113" s="54">
        <v>1.5916157281026244E-12</v>
      </c>
      <c r="AO113" s="54">
        <v>1.5916157281026244E-12</v>
      </c>
      <c r="AP113" s="54">
        <v>1.5916157281026244E-12</v>
      </c>
      <c r="AQ113" s="54">
        <v>1.5916157281026244E-12</v>
      </c>
      <c r="AR113" s="54">
        <v>1.5916157281026244E-12</v>
      </c>
      <c r="AS113" s="54">
        <v>1.5916157281026244E-12</v>
      </c>
      <c r="AT113" s="54">
        <v>1.5916157281026244E-12</v>
      </c>
      <c r="AU113" s="54">
        <v>1.5916157281026244E-12</v>
      </c>
      <c r="AV113" s="54">
        <v>1.5916157281026244E-12</v>
      </c>
      <c r="AW113" s="54">
        <v>1.5916157281026244E-12</v>
      </c>
      <c r="AX113" s="54">
        <v>1.5916157281026244E-12</v>
      </c>
      <c r="AY113" s="54">
        <v>1.5916157281026244E-12</v>
      </c>
      <c r="AZ113" s="54">
        <v>1.5916157281026244E-12</v>
      </c>
      <c r="BA113" s="54">
        <v>1.5916157281026244E-12</v>
      </c>
    </row>
    <row r="114" spans="1:53" ht="16" outlineLevel="4">
      <c r="A114" s="46" t="s">
        <v>111</v>
      </c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4">
        <v>33081.59</v>
      </c>
      <c r="P114" s="54">
        <v>-385.06000000000495</v>
      </c>
      <c r="Q114" s="54">
        <v>-453.14000000000493</v>
      </c>
      <c r="R114" s="54">
        <v>-4.945377440890297E-12</v>
      </c>
      <c r="S114" s="54">
        <v>-4.945377440890297E-12</v>
      </c>
      <c r="T114" s="54">
        <v>-4.945377440890297E-12</v>
      </c>
      <c r="U114" s="54">
        <v>-4.945377440890297E-12</v>
      </c>
      <c r="V114" s="54">
        <v>-4.945377440890297E-12</v>
      </c>
      <c r="W114" s="54">
        <v>-4.945377440890297E-12</v>
      </c>
      <c r="X114" s="54">
        <v>-4.945377440890297E-12</v>
      </c>
      <c r="Y114" s="54">
        <v>-4.945377440890297E-12</v>
      </c>
      <c r="Z114" s="54">
        <v>-4.945377440890297E-12</v>
      </c>
      <c r="AA114" s="54">
        <v>-4.945377440890297E-12</v>
      </c>
      <c r="AB114" s="54">
        <v>-4.945377440890297E-12</v>
      </c>
      <c r="AC114" s="54">
        <v>-4.945377440890297E-12</v>
      </c>
      <c r="AD114" s="54">
        <v>-4.945377440890297E-12</v>
      </c>
      <c r="AE114" s="54">
        <v>-4.945377440890297E-12</v>
      </c>
      <c r="AF114" s="54">
        <v>-4.945377440890297E-12</v>
      </c>
      <c r="AG114" s="54">
        <v>-4.945377440890297E-12</v>
      </c>
      <c r="AH114" s="54">
        <v>-4.945377440890297E-12</v>
      </c>
      <c r="AI114" s="54">
        <v>-4.945377440890297E-12</v>
      </c>
      <c r="AJ114" s="54">
        <v>-4.945377440890297E-12</v>
      </c>
      <c r="AK114" s="54">
        <v>-4.945377440890297E-12</v>
      </c>
      <c r="AL114" s="54">
        <v>-4.945377440890297E-12</v>
      </c>
      <c r="AM114" s="54">
        <v>-4.945377440890297E-12</v>
      </c>
      <c r="AN114" s="54">
        <v>-4.945377440890297E-12</v>
      </c>
      <c r="AO114" s="54">
        <v>-4.945377440890297E-12</v>
      </c>
      <c r="AP114" s="54">
        <v>-4.945377440890297E-12</v>
      </c>
      <c r="AQ114" s="54">
        <v>-4.945377440890297E-12</v>
      </c>
      <c r="AR114" s="54">
        <v>-4.945377440890297E-12</v>
      </c>
      <c r="AS114" s="54">
        <v>-4.945377440890297E-12</v>
      </c>
      <c r="AT114" s="54">
        <v>-4.945377440890297E-12</v>
      </c>
      <c r="AU114" s="54">
        <v>-4.945377440890297E-12</v>
      </c>
      <c r="AV114" s="54">
        <v>-4.945377440890297E-12</v>
      </c>
      <c r="AW114" s="54">
        <v>-4.945377440890297E-12</v>
      </c>
      <c r="AX114" s="54">
        <v>-4.945377440890297E-12</v>
      </c>
      <c r="AY114" s="54">
        <v>-4.945377440890297E-12</v>
      </c>
      <c r="AZ114" s="54">
        <v>-4.945377440890297E-12</v>
      </c>
      <c r="BA114" s="54">
        <v>-4.945377440890297E-12</v>
      </c>
    </row>
    <row r="115" spans="1:53" ht="16" outlineLevel="4">
      <c r="A115" s="46" t="s">
        <v>112</v>
      </c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4">
        <v>33263.02</v>
      </c>
      <c r="P115" s="54">
        <v>33263.02</v>
      </c>
      <c r="Q115" s="54">
        <v>32905.59</v>
      </c>
      <c r="R115" s="54">
        <v>32545.559999999998</v>
      </c>
      <c r="S115" s="54">
        <v>31946.449999999997</v>
      </c>
      <c r="T115" s="54">
        <v>31347.339999999997</v>
      </c>
      <c r="U115" s="54">
        <v>30748.229999999996</v>
      </c>
      <c r="V115" s="54">
        <v>30149.119999999995</v>
      </c>
      <c r="W115" s="54">
        <v>29550.009999999995</v>
      </c>
      <c r="X115" s="54">
        <v>30351.519999999993</v>
      </c>
      <c r="Y115" s="54">
        <v>29973.819999999992</v>
      </c>
      <c r="Z115" s="54">
        <v>29600.659999999993</v>
      </c>
      <c r="AA115" s="54">
        <v>29224.699999999993</v>
      </c>
      <c r="AB115" s="54">
        <v>28838.809999999994</v>
      </c>
      <c r="AC115" s="54">
        <v>28457.129999999994</v>
      </c>
      <c r="AD115" s="54">
        <v>28186.739999999994</v>
      </c>
      <c r="AE115" s="54">
        <v>28188.079999999994</v>
      </c>
      <c r="AF115" s="54">
        <v>27797.109999999993</v>
      </c>
      <c r="AG115" s="54">
        <v>27389.979999999992</v>
      </c>
      <c r="AH115" s="54">
        <v>26993.039999999994</v>
      </c>
      <c r="AI115" s="54">
        <v>26393.929999999993</v>
      </c>
      <c r="AJ115" s="54">
        <v>25794.819999999992</v>
      </c>
      <c r="AK115" s="54">
        <v>25382.61999999999</v>
      </c>
      <c r="AL115" s="54">
        <v>24783.50999999999</v>
      </c>
      <c r="AM115" s="54">
        <v>24561.43999999999</v>
      </c>
      <c r="AN115" s="54">
        <v>23962.32999999999</v>
      </c>
      <c r="AO115" s="54">
        <v>23721.93999999999</v>
      </c>
      <c r="AP115" s="54">
        <v>23294.71999999999</v>
      </c>
      <c r="AQ115" s="54">
        <v>22870.09999999999</v>
      </c>
      <c r="AR115" s="54">
        <v>22442.69999999999</v>
      </c>
      <c r="AS115" s="54">
        <v>21995.77999999999</v>
      </c>
      <c r="AT115" s="54">
        <v>21561.80999999999</v>
      </c>
      <c r="AU115" s="54">
        <v>21119.35999999999</v>
      </c>
      <c r="AV115" s="54">
        <v>20678.80999999999</v>
      </c>
      <c r="AW115" s="54">
        <v>20229.94999999999</v>
      </c>
      <c r="AX115" s="54">
        <v>19782.72999999999</v>
      </c>
      <c r="AY115" s="54">
        <v>19332.149999999987</v>
      </c>
      <c r="AZ115" s="54">
        <v>18873.499999999985</v>
      </c>
      <c r="BA115" s="54">
        <v>18416.089999999986</v>
      </c>
    </row>
    <row r="116" spans="1:53" ht="16" outlineLevel="4">
      <c r="A116" s="46" t="s">
        <v>113</v>
      </c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4">
        <v>30413.99</v>
      </c>
      <c r="Q116" s="54">
        <v>30413.99</v>
      </c>
      <c r="R116" s="54">
        <v>30269.5</v>
      </c>
      <c r="S116" s="54">
        <v>29953.58</v>
      </c>
      <c r="T116" s="54">
        <v>29635.170000000002</v>
      </c>
      <c r="U116" s="54">
        <v>29291.620000000003</v>
      </c>
      <c r="V116" s="54">
        <v>28967.99</v>
      </c>
      <c r="W116" s="54">
        <v>28634.43</v>
      </c>
      <c r="X116" s="54">
        <v>28305.62</v>
      </c>
      <c r="Y116" s="54">
        <v>27967.01</v>
      </c>
      <c r="Z116" s="54">
        <v>27632.929999999997</v>
      </c>
      <c r="AA116" s="54">
        <v>27296.209999999995</v>
      </c>
      <c r="AB116" s="54">
        <v>26949.889999999996</v>
      </c>
      <c r="AC116" s="54">
        <v>25991.339999999997</v>
      </c>
      <c r="AD116" s="54">
        <v>25639.289999999997</v>
      </c>
      <c r="AE116" s="54">
        <v>25845.78</v>
      </c>
      <c r="AF116" s="54">
        <v>25500.969999999998</v>
      </c>
      <c r="AG116" s="54">
        <v>25133.94</v>
      </c>
      <c r="AH116" s="54">
        <v>24776.969999999998</v>
      </c>
      <c r="AI116" s="54">
        <v>24410.899999999998</v>
      </c>
      <c r="AJ116" s="54">
        <v>24048.239999999998</v>
      </c>
      <c r="AK116" s="54">
        <v>23676.62</v>
      </c>
      <c r="AL116" s="54">
        <v>23121.899999999998</v>
      </c>
      <c r="AM116" s="54">
        <v>22936.839999999997</v>
      </c>
      <c r="AN116" s="54">
        <v>22382.119999999995</v>
      </c>
      <c r="AO116" s="54">
        <v>22556.759999999995</v>
      </c>
      <c r="AP116" s="54">
        <v>21793.659999999996</v>
      </c>
      <c r="AQ116" s="54">
        <v>21410.559999999998</v>
      </c>
      <c r="AR116" s="54">
        <v>21024.749999999996</v>
      </c>
      <c r="AS116" s="54">
        <v>20619.849999999995</v>
      </c>
      <c r="AT116" s="54">
        <v>20227.809999999994</v>
      </c>
      <c r="AU116" s="54">
        <v>19827.529999999995</v>
      </c>
      <c r="AV116" s="54">
        <v>19429.239999999994</v>
      </c>
      <c r="AW116" s="54">
        <v>19022.859999999993</v>
      </c>
      <c r="AX116" s="54">
        <v>18618.219999999994</v>
      </c>
      <c r="AY116" s="54">
        <v>18210.379999999994</v>
      </c>
      <c r="AZ116" s="54">
        <v>17794.689999999995</v>
      </c>
      <c r="BA116" s="54">
        <v>17380.359999999993</v>
      </c>
    </row>
    <row r="117" spans="1:53" ht="16" outlineLevel="4">
      <c r="A117" s="46" t="s">
        <v>114</v>
      </c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4">
        <v>88647.01</v>
      </c>
      <c r="P117" s="54">
        <v>88647.01</v>
      </c>
      <c r="Q117" s="54">
        <v>87854.53</v>
      </c>
      <c r="R117" s="54">
        <v>87056.59</v>
      </c>
      <c r="S117" s="54">
        <v>85652.81</v>
      </c>
      <c r="T117" s="54">
        <v>84249.03</v>
      </c>
      <c r="U117" s="54">
        <v>82845.25</v>
      </c>
      <c r="V117" s="54">
        <v>81441.47</v>
      </c>
      <c r="W117" s="54">
        <v>80037.69</v>
      </c>
      <c r="X117" s="54">
        <v>82206.23</v>
      </c>
      <c r="Y117" s="54">
        <v>81371.45</v>
      </c>
      <c r="Z117" s="54">
        <v>80549.69</v>
      </c>
      <c r="AA117" s="54">
        <v>79722.07</v>
      </c>
      <c r="AB117" s="54">
        <v>78870.16</v>
      </c>
      <c r="AC117" s="54">
        <v>78030.57</v>
      </c>
      <c r="AD117" s="54">
        <v>77473.43000000001</v>
      </c>
      <c r="AE117" s="54">
        <v>77130.29000000001</v>
      </c>
      <c r="AF117" s="54">
        <v>76271.00000000001</v>
      </c>
      <c r="AG117" s="54">
        <v>75370.87000000001</v>
      </c>
      <c r="AH117" s="54">
        <v>74499.08000000002</v>
      </c>
      <c r="AI117" s="54">
        <v>73095.30000000002</v>
      </c>
      <c r="AJ117" s="54">
        <v>72210.96000000002</v>
      </c>
      <c r="AK117" s="54">
        <v>71303.78000000003</v>
      </c>
      <c r="AL117" s="54">
        <v>69900.00000000003</v>
      </c>
      <c r="AM117" s="54">
        <v>69503.25000000003</v>
      </c>
      <c r="AN117" s="54">
        <v>68099.47000000003</v>
      </c>
      <c r="AO117" s="54">
        <v>67661.00000000003</v>
      </c>
      <c r="AP117" s="54">
        <v>66722.53000000003</v>
      </c>
      <c r="AQ117" s="54">
        <v>65793.11000000003</v>
      </c>
      <c r="AR117" s="54">
        <v>64858.16000000003</v>
      </c>
      <c r="AS117" s="54">
        <v>63871.820000000036</v>
      </c>
      <c r="AT117" s="54">
        <v>62923.170000000035</v>
      </c>
      <c r="AU117" s="54">
        <v>61953.30000000003</v>
      </c>
      <c r="AV117" s="54">
        <v>60990.98000000003</v>
      </c>
      <c r="AW117" s="54">
        <v>60007.79000000003</v>
      </c>
      <c r="AX117" s="54">
        <v>59031.61000000003</v>
      </c>
      <c r="AY117" s="54">
        <v>58048.47000000003</v>
      </c>
      <c r="AZ117" s="54">
        <v>57044.99000000003</v>
      </c>
      <c r="BA117" s="54">
        <v>56047.700000000026</v>
      </c>
    </row>
    <row r="118" spans="1:53" ht="16" outlineLevel="4">
      <c r="A118" s="46" t="s">
        <v>115</v>
      </c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4">
        <v>40414.77</v>
      </c>
      <c r="S118" s="54">
        <v>39630.59</v>
      </c>
      <c r="T118" s="54">
        <v>39434.74</v>
      </c>
      <c r="U118" s="54">
        <v>39045.13</v>
      </c>
      <c r="V118" s="54">
        <v>38613.54</v>
      </c>
      <c r="W118" s="54">
        <v>38215.5</v>
      </c>
      <c r="X118" s="54">
        <v>0</v>
      </c>
      <c r="Y118" s="54">
        <v>0</v>
      </c>
      <c r="Z118" s="54">
        <v>0</v>
      </c>
      <c r="AA118" s="54">
        <v>0</v>
      </c>
      <c r="AB118" s="54">
        <v>0</v>
      </c>
      <c r="AC118" s="54">
        <v>0</v>
      </c>
      <c r="AD118" s="54">
        <v>0</v>
      </c>
      <c r="AE118" s="54">
        <v>0</v>
      </c>
      <c r="AF118" s="54">
        <v>0</v>
      </c>
      <c r="AG118" s="54">
        <v>0</v>
      </c>
      <c r="AH118" s="54">
        <v>0</v>
      </c>
      <c r="AI118" s="54">
        <v>0</v>
      </c>
      <c r="AJ118" s="54">
        <v>0</v>
      </c>
      <c r="AK118" s="54">
        <v>0</v>
      </c>
      <c r="AL118" s="54">
        <v>0</v>
      </c>
      <c r="AM118" s="54">
        <v>0</v>
      </c>
      <c r="AN118" s="54">
        <v>0</v>
      </c>
      <c r="AO118" s="54">
        <v>0</v>
      </c>
      <c r="AP118" s="54">
        <v>0</v>
      </c>
      <c r="AQ118" s="54">
        <v>0</v>
      </c>
      <c r="AR118" s="54">
        <v>0</v>
      </c>
      <c r="AS118" s="54">
        <v>0</v>
      </c>
      <c r="AT118" s="54">
        <v>0</v>
      </c>
      <c r="AU118" s="54">
        <v>0</v>
      </c>
      <c r="AV118" s="54">
        <v>0</v>
      </c>
      <c r="AW118" s="54">
        <v>0</v>
      </c>
      <c r="AX118" s="54">
        <v>0</v>
      </c>
      <c r="AY118" s="54">
        <v>0</v>
      </c>
      <c r="AZ118" s="54">
        <v>0</v>
      </c>
      <c r="BA118" s="54">
        <v>0</v>
      </c>
    </row>
    <row r="119" spans="1:53" ht="16" outlineLevel="4">
      <c r="A119" s="46" t="s">
        <v>116</v>
      </c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4">
        <v>37601.23</v>
      </c>
      <c r="T119" s="54">
        <v>37601.23</v>
      </c>
      <c r="U119" s="54">
        <v>37378.36</v>
      </c>
      <c r="V119" s="54">
        <v>37013.18</v>
      </c>
      <c r="W119" s="54">
        <v>36635.1</v>
      </c>
      <c r="X119" s="54">
        <v>36263.77</v>
      </c>
      <c r="Y119" s="54">
        <v>35879.689999999995</v>
      </c>
      <c r="Z119" s="54">
        <v>35502.10999999999</v>
      </c>
      <c r="AA119" s="54">
        <v>35121.409999999996</v>
      </c>
      <c r="AB119" s="54">
        <v>34728.17999999999</v>
      </c>
      <c r="AC119" s="54">
        <v>34341.06999999999</v>
      </c>
      <c r="AD119" s="54">
        <v>33941.59999999999</v>
      </c>
      <c r="AE119" s="54">
        <v>33547.95999999999</v>
      </c>
      <c r="AF119" s="54">
        <v>33150.329999999994</v>
      </c>
      <c r="AG119" s="54">
        <v>32731.779999999995</v>
      </c>
      <c r="AH119" s="54">
        <v>32327.419999999995</v>
      </c>
      <c r="AI119" s="54">
        <v>31911.119999999995</v>
      </c>
      <c r="AJ119" s="54">
        <v>31499.989999999994</v>
      </c>
      <c r="AK119" s="54">
        <v>31077.079999999994</v>
      </c>
      <c r="AL119" s="54">
        <v>30402.689999999995</v>
      </c>
      <c r="AM119" s="54">
        <v>30237.609999999993</v>
      </c>
      <c r="AN119" s="54">
        <v>29563.219999999994</v>
      </c>
      <c r="AO119" s="54">
        <v>29563.219999999994</v>
      </c>
      <c r="AP119" s="54">
        <v>28936.259999999995</v>
      </c>
      <c r="AQ119" s="54">
        <v>28500.609999999993</v>
      </c>
      <c r="AR119" s="54">
        <v>28061.989999999994</v>
      </c>
      <c r="AS119" s="54">
        <v>27597.269999999993</v>
      </c>
      <c r="AT119" s="54">
        <v>27151.169999999995</v>
      </c>
      <c r="AU119" s="54">
        <v>26694.139999999996</v>
      </c>
      <c r="AV119" s="54">
        <v>26240.569999999996</v>
      </c>
      <c r="AW119" s="54">
        <v>25776.249999999996</v>
      </c>
      <c r="AX119" s="54">
        <v>25315.089999999997</v>
      </c>
      <c r="AY119" s="54">
        <v>24850.109999999997</v>
      </c>
      <c r="AZ119" s="54">
        <v>24374.659999999996</v>
      </c>
      <c r="BA119" s="54">
        <v>23901.909999999996</v>
      </c>
    </row>
    <row r="120" spans="1:53" ht="16" outlineLevel="4">
      <c r="A120" s="46" t="s">
        <v>117</v>
      </c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4">
        <v>92725.27</v>
      </c>
      <c r="X120" s="54">
        <v>91968.51000000001</v>
      </c>
      <c r="Y120" s="54">
        <v>91180.63</v>
      </c>
      <c r="Z120" s="54">
        <v>90410.96</v>
      </c>
      <c r="AA120" s="54">
        <v>89634.86</v>
      </c>
      <c r="AB120" s="54">
        <v>88828.11</v>
      </c>
      <c r="AC120" s="54">
        <v>88038.78</v>
      </c>
      <c r="AD120" s="54">
        <v>87219.12</v>
      </c>
      <c r="AE120" s="54">
        <v>86416.15</v>
      </c>
      <c r="AF120" s="54">
        <v>85604.68999999999</v>
      </c>
      <c r="AG120" s="54">
        <v>84740.43999999999</v>
      </c>
      <c r="AH120" s="54">
        <v>83915.01</v>
      </c>
      <c r="AI120" s="54">
        <v>83060.14</v>
      </c>
      <c r="AJ120" s="54">
        <v>82220.71</v>
      </c>
      <c r="AK120" s="54">
        <v>81352.18000000001</v>
      </c>
      <c r="AL120" s="54">
        <v>79820.49</v>
      </c>
      <c r="AM120" s="54">
        <v>79637.73000000001</v>
      </c>
      <c r="AN120" s="54">
        <v>78106.04000000001</v>
      </c>
      <c r="AO120" s="54">
        <v>77872.99</v>
      </c>
      <c r="AP120" s="54">
        <v>76969.39</v>
      </c>
      <c r="AQ120" s="54">
        <v>76079.37</v>
      </c>
      <c r="AR120" s="54">
        <v>75183.5</v>
      </c>
      <c r="AS120" s="54">
        <v>74219.33</v>
      </c>
      <c r="AT120" s="54">
        <v>73307.91</v>
      </c>
      <c r="AU120" s="54">
        <v>72369.11</v>
      </c>
      <c r="AV120" s="54">
        <v>71442.23</v>
      </c>
      <c r="AW120" s="54">
        <v>70488.34</v>
      </c>
      <c r="AX120" s="54">
        <v>950.4799999999959</v>
      </c>
      <c r="AY120" s="54">
        <v>-4.092726157978177E-12</v>
      </c>
      <c r="AZ120" s="54">
        <v>-4.092726157978177E-12</v>
      </c>
      <c r="BA120" s="54">
        <v>-4.092726157978177E-12</v>
      </c>
    </row>
    <row r="121" spans="1:53" ht="16" outlineLevel="4">
      <c r="A121" s="46" t="s">
        <v>118</v>
      </c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4">
        <v>40000.0</v>
      </c>
      <c r="AE121" s="54">
        <v>39788.14</v>
      </c>
      <c r="AF121" s="54">
        <v>39399.01</v>
      </c>
      <c r="AG121" s="54">
        <v>38981.6</v>
      </c>
      <c r="AH121" s="54">
        <v>38584.689999999995</v>
      </c>
      <c r="AI121" s="54">
        <v>38171.939999999995</v>
      </c>
      <c r="AJ121" s="54">
        <v>37767.20999999999</v>
      </c>
      <c r="AK121" s="54">
        <v>37346.829999999994</v>
      </c>
      <c r="AL121" s="54">
        <v>36573.84999999999</v>
      </c>
      <c r="AM121" s="54">
        <v>36517.469999999994</v>
      </c>
      <c r="AN121" s="54">
        <v>35744.48999999999</v>
      </c>
      <c r="AO121" s="54">
        <v>35660.56999999999</v>
      </c>
      <c r="AP121" s="54">
        <v>35220.51999999999</v>
      </c>
      <c r="AQ121" s="54">
        <v>34787.82999999999</v>
      </c>
      <c r="AR121" s="54">
        <v>34351.37999999999</v>
      </c>
      <c r="AS121" s="54">
        <v>33878.54999999999</v>
      </c>
      <c r="AT121" s="54">
        <v>33433.29999999999</v>
      </c>
      <c r="AU121" s="54">
        <v>32973.30999999999</v>
      </c>
      <c r="AV121" s="54">
        <v>32519.299999999992</v>
      </c>
      <c r="AW121" s="54">
        <v>32050.749999999993</v>
      </c>
      <c r="AX121" s="54">
        <v>31587.819999999992</v>
      </c>
      <c r="AY121" s="54">
        <v>31120.409999999993</v>
      </c>
      <c r="AZ121" s="54">
        <v>30638.769999999993</v>
      </c>
      <c r="BA121" s="54">
        <v>30162.179999999993</v>
      </c>
    </row>
    <row r="122" spans="1:53" ht="16" outlineLevel="4">
      <c r="A122" s="46" t="s">
        <v>119</v>
      </c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4">
        <v>60623.12</v>
      </c>
      <c r="AH122" s="54">
        <v>59620.15</v>
      </c>
      <c r="AI122" s="54">
        <v>57752.69</v>
      </c>
      <c r="AJ122" s="54">
        <v>56313.66</v>
      </c>
      <c r="AK122" s="54">
        <v>54735.8</v>
      </c>
      <c r="AL122" s="54">
        <v>54013.11</v>
      </c>
      <c r="AM122" s="54">
        <v>53311.65</v>
      </c>
      <c r="AN122" s="54">
        <v>52538.35</v>
      </c>
      <c r="AO122" s="54">
        <v>51798.35</v>
      </c>
      <c r="AP122" s="54">
        <v>51053.5</v>
      </c>
      <c r="AQ122" s="54">
        <v>50302.5</v>
      </c>
      <c r="AR122" s="54">
        <v>0</v>
      </c>
      <c r="AS122" s="54">
        <v>0</v>
      </c>
      <c r="AT122" s="54">
        <v>0</v>
      </c>
      <c r="AU122" s="54">
        <v>0</v>
      </c>
      <c r="AV122" s="54">
        <v>0</v>
      </c>
      <c r="AW122" s="54">
        <v>0</v>
      </c>
      <c r="AX122" s="54">
        <v>0</v>
      </c>
      <c r="AY122" s="54">
        <v>0</v>
      </c>
      <c r="AZ122" s="54">
        <v>0</v>
      </c>
      <c r="BA122" s="54">
        <v>0</v>
      </c>
    </row>
    <row r="123" spans="1:53" ht="16" outlineLevel="4">
      <c r="A123" s="46" t="s">
        <v>120</v>
      </c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4">
        <v>25952.11</v>
      </c>
      <c r="AF123" s="54">
        <v>25515.65</v>
      </c>
      <c r="AG123" s="54">
        <v>25073.82</v>
      </c>
      <c r="AH123" s="54">
        <v>24635.09</v>
      </c>
      <c r="AI123" s="54">
        <v>24193.18</v>
      </c>
      <c r="AJ123" s="54">
        <v>23752.18</v>
      </c>
      <c r="AK123" s="54">
        <v>23248.68</v>
      </c>
      <c r="AL123" s="54">
        <v>23248.68</v>
      </c>
      <c r="AM123" s="54">
        <v>21972.85</v>
      </c>
      <c r="AN123" s="54">
        <v>21469.35</v>
      </c>
      <c r="AO123" s="54">
        <v>20965.85</v>
      </c>
      <c r="AP123" s="54">
        <v>20571.129999999997</v>
      </c>
      <c r="AQ123" s="54">
        <v>20123.829999999998</v>
      </c>
      <c r="AR123" s="54">
        <v>19673.76</v>
      </c>
      <c r="AS123" s="54">
        <v>19217.469999999998</v>
      </c>
      <c r="AT123" s="54">
        <v>18713.969999999998</v>
      </c>
      <c r="AU123" s="54">
        <v>18210.469999999998</v>
      </c>
      <c r="AV123" s="54">
        <v>17754.129999999997</v>
      </c>
      <c r="AW123" s="54">
        <v>17901.079999999998</v>
      </c>
      <c r="AX123" s="54">
        <v>17443.949999999997</v>
      </c>
      <c r="AY123" s="54">
        <v>16985.629999999997</v>
      </c>
      <c r="AZ123" s="54">
        <v>16524.71</v>
      </c>
      <c r="BA123" s="54">
        <v>16064.019999999999</v>
      </c>
    </row>
    <row r="124" spans="1:53" ht="16" outlineLevel="4">
      <c r="A124" s="46" t="s">
        <v>121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4">
        <v>0</v>
      </c>
      <c r="AY124" s="54">
        <v>0</v>
      </c>
      <c r="AZ124" s="54">
        <v>0</v>
      </c>
      <c r="BA124" s="54">
        <v>0</v>
      </c>
    </row>
    <row r="125" spans="1:53" ht="16" outlineLevel="3">
      <c r="A125" s="47" t="s">
        <v>122</v>
      </c>
      <c r="B125" s="55"/>
      <c r="C125" s="55"/>
      <c r="D125" s="55"/>
      <c r="E125" s="55"/>
      <c r="F125" s="55"/>
      <c r="G125" s="55"/>
      <c r="H125" s="55"/>
      <c r="I125" s="55">
        <f>I111+I112+I113+I114+I115+I116+I117+I118+I119+I120+I121+I122+I123+I124</f>
        <v>89110.91</v>
      </c>
      <c r="J125" s="55">
        <f>J111+J112+J113+J114+J115+J116+J117+J118+J119+J120+J121+J122+J123+J124</f>
        <v>89110.91</v>
      </c>
      <c r="K125" s="55">
        <f>K111+K112+K113+K114+K115+K116+K117+K118+K119+K120+K121+K122+K123+K124</f>
        <v>119591.15000000001</v>
      </c>
      <c r="L125" s="55">
        <f>L111+L112+L113+L114+L115+L116+L117+L118+L119+L120+L121+L122+L123+L124</f>
        <v>117597.59000000001</v>
      </c>
      <c r="M125" s="55">
        <f>M111+M112+M113+M114+M115+M116+M117+M118+M119+M120+M121+M122+M123+M124</f>
        <v>117597.59000000001</v>
      </c>
      <c r="N125" s="55">
        <f>N111+N112+N113+N114+N115+N116+N117+N118+N119+N120+N121+N122+N123+N124</f>
        <v>115578.99</v>
      </c>
      <c r="O125" s="55">
        <f>O111+O112+O113+O114+O115+O116+O117+O118+O119+O120+O121+O122+O123+O124</f>
        <v>268326.39999999997</v>
      </c>
      <c r="P125" s="55">
        <f>P111+P112+P113+P114+P115+P116+P117+P118+P119+P120+P121+P122+P123+P124</f>
        <v>233302.91999999998</v>
      </c>
      <c r="Q125" s="55">
        <f>Q111+Q112+Q113+Q114+Q115+Q116+Q117+Q118+Q119+Q120+Q121+Q122+Q123+Q124</f>
        <v>230703.93999999997</v>
      </c>
      <c r="R125" s="55">
        <f>R111+R112+R113+R114+R115+R116+R117+R118+R119+R120+R121+R122+R123+R124</f>
        <v>270275.76999999996</v>
      </c>
      <c r="S125" s="55">
        <f>S111+S112+S113+S114+S115+S116+S117+S118+S119+S120+S121+S122+S123+S124</f>
        <v>303940.73</v>
      </c>
      <c r="T125" s="55">
        <f>T111+T112+T113+T114+T115+T116+T117+T118+T119+T120+T121+T122+T123+T124</f>
        <v>300382.04</v>
      </c>
      <c r="U125" s="55">
        <f>U111+U112+U113+U114+U115+U116+U117+U118+U119+U120+U121+U122+U123+U124</f>
        <v>296326.87</v>
      </c>
      <c r="V125" s="55">
        <f>V111+V112+V113+V114+V115+V116+V117+V118+V119+V120+V121+V122+V123+V124</f>
        <v>292148.44</v>
      </c>
      <c r="W125" s="55">
        <f>W111+W112+W113+W114+W115+W116+W117+W118+W119+W120+W121+W122+W123+W124</f>
        <v>380683.7</v>
      </c>
      <c r="X125" s="55">
        <f>X111+X112+X113+X114+X115+X116+X117+X118+X119+X120+X121+X122+X123+X124</f>
        <v>342912.65</v>
      </c>
      <c r="Y125" s="55">
        <f>Y111+Y112+Y113+Y114+Y115+Y116+Y117+Y118+Y119+Y120+Y121+Y122+Y123+Y124</f>
        <v>339098.94999999995</v>
      </c>
      <c r="Z125" s="55">
        <f>Z111+Z112+Z113+Z114+Z115+Z116+Z117+Z118+Z119+Z120+Z121+Z122+Z123+Z124</f>
        <v>335340.25999999995</v>
      </c>
      <c r="AA125" s="55">
        <f>AA111+AA112+AA113+AA114+AA115+AA116+AA117+AA118+AA119+AA120+AA121+AA122+AA123+AA124</f>
        <v>331553.83</v>
      </c>
      <c r="AB125" s="55">
        <f>AB111+AB112+AB113+AB114+AB115+AB116+AB117+AB118+AB119+AB120+AB121+AB122+AB123+AB124</f>
        <v>327659.0</v>
      </c>
      <c r="AC125" s="55">
        <f>AC111+AC112+AC113+AC114+AC115+AC116+AC117+AC118+AC119+AC120+AC121+AC122+AC123+AC124</f>
        <v>323199.4199999999</v>
      </c>
      <c r="AD125" s="55">
        <f>AD111+AD112+AD113+AD114+AD115+AD116+AD117+AD118+AD119+AD120+AD121+AD122+AD123+AD124</f>
        <v>359676.35</v>
      </c>
      <c r="AE125" s="55">
        <f>AE111+AE112+AE113+AE114+AE115+AE116+AE117+AE118+AE119+AE120+AE121+AE122+AE123+AE124</f>
        <v>381503.80999999994</v>
      </c>
      <c r="AF125" s="55">
        <f>AF111+AF112+AF113+AF114+AF115+AF116+AF117+AF118+AF119+AF120+AF121+AF122+AF123+AF124</f>
        <v>377874.06</v>
      </c>
      <c r="AG125" s="55">
        <f>AG111+AG112+AG113+AG114+AG115+AG116+AG117+AG118+AG119+AG120+AG121+AG122+AG123+AG124</f>
        <v>433545.81999999995</v>
      </c>
      <c r="AH125" s="55">
        <f>AH111+AH112+AH113+AH114+AH115+AH116+AH117+AH118+AH119+AH120+AH121+AH122+AH123+AH124</f>
        <v>426533.85000000003</v>
      </c>
      <c r="AI125" s="55">
        <f>AI111+AI112+AI113+AI114+AI115+AI116+AI117+AI118+AI119+AI120+AI121+AI122+AI123+AI124</f>
        <v>419002.13999999996</v>
      </c>
      <c r="AJ125" s="55">
        <f>AJ111+AJ112+AJ113+AJ114+AJ115+AJ116+AJ117+AJ118+AJ119+AJ120+AJ121+AJ122+AJ123+AJ124</f>
        <v>413620.71</v>
      </c>
      <c r="AK125" s="55">
        <f>AK111+AK112+AK113+AK114+AK115+AK116+AK117+AK118+AK119+AK120+AK121+AK122+AK123+AK124</f>
        <v>405788.38</v>
      </c>
      <c r="AL125" s="55">
        <f>AL111+AL112+AL113+AL114+AL115+AL116+AL117+AL118+AL119+AL120+AL121+AL122+AL123+AL124</f>
        <v>398349.75999999995</v>
      </c>
      <c r="AM125" s="55">
        <f>AM111+AM112+AM113+AM114+AM115+AM116+AM117+AM118+AM119+AM120+AM121+AM122+AM123+AM124</f>
        <v>395164.37</v>
      </c>
      <c r="AN125" s="55">
        <f>AN111+AN112+AN113+AN114+AN115+AN116+AN117+AN118+AN119+AN120+AN121+AN122+AN123+AN124</f>
        <v>385958.57999999996</v>
      </c>
      <c r="AO125" s="55">
        <f>AO111+AO112+AO113+AO114+AO115+AO116+AO117+AO118+AO119+AO120+AO121+AO122+AO123+AO124</f>
        <v>383893.88999999996</v>
      </c>
      <c r="AP125" s="55">
        <f>AP111+AP112+AP113+AP114+AP115+AP116+AP117+AP118+AP119+AP120+AP121+AP122+AP123+AP124</f>
        <v>376232.65</v>
      </c>
      <c r="AQ125" s="55">
        <f>AQ111+AQ112+AQ113+AQ114+AQ115+AQ116+AQ117+AQ118+AQ119+AQ120+AQ121+AQ122+AQ123+AQ124</f>
        <v>370322.37999999995</v>
      </c>
      <c r="AR125" s="55">
        <f>AR111+AR112+AR113+AR114+AR115+AR116+AR117+AR118+AR119+AR120+AR121+AR122+AR123+AR124</f>
        <v>316050.70999999996</v>
      </c>
      <c r="AS125" s="55">
        <f>AS111+AS112+AS113+AS114+AS115+AS116+AS117+AS118+AS119+AS120+AS121+AS122+AS123+AS124</f>
        <v>261400.06999999998</v>
      </c>
      <c r="AT125" s="55">
        <f>AT111+AT112+AT113+AT114+AT115+AT116+AT117+AT118+AT119+AT120+AT121+AT122+AT123+AT124</f>
        <v>257319.13999999998</v>
      </c>
      <c r="AU125" s="55">
        <f>AU111+AU112+AU113+AU114+AU115+AU116+AU117+AU118+AU119+AU120+AU121+AU122+AU123+AU124</f>
        <v>253147.22</v>
      </c>
      <c r="AV125" s="55">
        <f>AV111+AV112+AV113+AV114+AV115+AV116+AV117+AV118+AV119+AV120+AV121+AV122+AV123+AV124</f>
        <v>249055.25999999998</v>
      </c>
      <c r="AW125" s="55">
        <f>AW111+AW112+AW113+AW114+AW115+AW116+AW117+AW118+AW119+AW120+AW121+AW122+AW123+AW124</f>
        <v>245477.01999999996</v>
      </c>
      <c r="AX125" s="55">
        <f>AX111+AX112+AX113+AX114+AX115+AX116+AX117+AX118+AX119+AX120+AX121+AX122+AX123+AX124</f>
        <v>172729.89999999997</v>
      </c>
      <c r="AY125" s="55">
        <f>AY111+AY112+AY113+AY114+AY115+AY116+AY117+AY118+AY119+AY120+AY121+AY122+AY123+AY124</f>
        <v>168547.15</v>
      </c>
      <c r="AZ125" s="55">
        <f>AZ111+AZ112+AZ113+AZ114+AZ115+AZ116+AZ117+AZ118+AZ119+AZ120+AZ121+AZ122+AZ123+AZ124</f>
        <v>165251.31999999998</v>
      </c>
      <c r="BA125" s="55">
        <f>BA111+BA112+BA113+BA114+BA115+BA116+BA117+BA118+BA119+BA120+BA121+BA122+BA123+BA124</f>
        <v>161972.25999999995</v>
      </c>
    </row>
    <row r="126" spans="1:53" ht="16" outlineLevel="3">
      <c r="A126" s="42" t="s">
        <v>123</v>
      </c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</row>
    <row r="127" spans="1:53" ht="16" outlineLevel="4">
      <c r="A127" s="46" t="s">
        <v>124</v>
      </c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4">
        <v>74720.52</v>
      </c>
      <c r="AD127" s="54">
        <v>51447.32000000001</v>
      </c>
      <c r="AE127" s="54">
        <v>50447.80000000001</v>
      </c>
      <c r="AF127" s="54">
        <v>49448.28000000001</v>
      </c>
      <c r="AG127" s="54">
        <v>49448.28000000001</v>
      </c>
      <c r="AH127" s="54">
        <v>1.4551915228366852E-11</v>
      </c>
      <c r="AI127" s="54">
        <v>1.4551915228366852E-11</v>
      </c>
      <c r="AJ127" s="54">
        <v>1.4551915228366852E-11</v>
      </c>
      <c r="AK127" s="54">
        <v>1.4551915228366852E-11</v>
      </c>
      <c r="AL127" s="54">
        <v>1.4551915228366852E-11</v>
      </c>
      <c r="AM127" s="54">
        <v>1.4551915228366852E-11</v>
      </c>
      <c r="AN127" s="54">
        <v>1.4551915228366852E-11</v>
      </c>
      <c r="AO127" s="54">
        <v>1.4551915228366852E-11</v>
      </c>
      <c r="AP127" s="54">
        <v>1.4551915228366852E-11</v>
      </c>
      <c r="AQ127" s="54">
        <v>1.4551915228366852E-11</v>
      </c>
      <c r="AR127" s="54">
        <v>1.4551915228366852E-11</v>
      </c>
      <c r="AS127" s="54">
        <v>1.4551915228366852E-11</v>
      </c>
      <c r="AT127" s="54">
        <v>1.4551915228366852E-11</v>
      </c>
      <c r="AU127" s="54">
        <v>1.4551915228366852E-11</v>
      </c>
      <c r="AV127" s="54">
        <v>1.4551915228366852E-11</v>
      </c>
      <c r="AW127" s="54">
        <v>1.4551915228366852E-11</v>
      </c>
      <c r="AX127" s="54">
        <v>1.4551915228366852E-11</v>
      </c>
      <c r="AY127" s="54">
        <v>1.4551915228366852E-11</v>
      </c>
      <c r="AZ127" s="54">
        <v>1.4551915228366852E-11</v>
      </c>
      <c r="BA127" s="54">
        <v>1.4551915228366852E-11</v>
      </c>
    </row>
    <row r="128" spans="1:53" ht="16" outlineLevel="4">
      <c r="A128" s="46" t="s">
        <v>125</v>
      </c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4">
        <v>71771.2</v>
      </c>
      <c r="AD128" s="54">
        <v>71771.2</v>
      </c>
      <c r="AE128" s="54">
        <v>0</v>
      </c>
      <c r="AF128" s="54">
        <v>0</v>
      </c>
      <c r="AG128" s="54">
        <v>0</v>
      </c>
      <c r="AH128" s="54">
        <v>0</v>
      </c>
      <c r="AI128" s="54">
        <v>0</v>
      </c>
      <c r="AJ128" s="54">
        <v>0</v>
      </c>
      <c r="AK128" s="54">
        <v>0</v>
      </c>
      <c r="AL128" s="54">
        <v>0</v>
      </c>
      <c r="AM128" s="54">
        <v>0</v>
      </c>
      <c r="AN128" s="54">
        <v>0</v>
      </c>
      <c r="AO128" s="54">
        <v>0</v>
      </c>
      <c r="AP128" s="54">
        <v>0</v>
      </c>
      <c r="AQ128" s="54">
        <v>0</v>
      </c>
      <c r="AR128" s="54">
        <v>0</v>
      </c>
      <c r="AS128" s="54">
        <v>0</v>
      </c>
      <c r="AT128" s="54">
        <v>0</v>
      </c>
      <c r="AU128" s="54">
        <v>0</v>
      </c>
      <c r="AV128" s="54">
        <v>0</v>
      </c>
      <c r="AW128" s="54">
        <v>0</v>
      </c>
      <c r="AX128" s="54">
        <v>0</v>
      </c>
      <c r="AY128" s="54">
        <v>0</v>
      </c>
      <c r="AZ128" s="54">
        <v>0</v>
      </c>
      <c r="BA128" s="54">
        <v>0</v>
      </c>
    </row>
    <row r="129" spans="1:53" ht="16" outlineLevel="4">
      <c r="A129" s="46" t="s">
        <v>126</v>
      </c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4">
        <v>30183.06</v>
      </c>
      <c r="Y129" s="54">
        <v>21238.160000000003</v>
      </c>
      <c r="Z129" s="54">
        <v>20412.08</v>
      </c>
      <c r="AA129" s="54">
        <v>19574.75</v>
      </c>
      <c r="AB129" s="54">
        <v>18828.67</v>
      </c>
      <c r="AC129" s="54">
        <v>18082.589999999997</v>
      </c>
      <c r="AD129" s="54">
        <v>17336.509999999995</v>
      </c>
      <c r="AE129" s="54">
        <v>23932.409999999996</v>
      </c>
      <c r="AF129" s="54">
        <v>23524.939999999995</v>
      </c>
      <c r="AG129" s="54">
        <v>23117.469999999994</v>
      </c>
      <c r="AH129" s="54">
        <v>22709.999999999993</v>
      </c>
      <c r="AI129" s="54">
        <v>22302.52999999999</v>
      </c>
      <c r="AJ129" s="54">
        <v>21895.05999999999</v>
      </c>
      <c r="AK129" s="54">
        <v>21511.02999999999</v>
      </c>
      <c r="AL129" s="54">
        <v>21124.249999999993</v>
      </c>
      <c r="AM129" s="54">
        <v>20734.719999999994</v>
      </c>
      <c r="AN129" s="54">
        <v>20342.399999999994</v>
      </c>
      <c r="AO129" s="54">
        <v>19947.269999999993</v>
      </c>
      <c r="AP129" s="54">
        <v>19549.329999999994</v>
      </c>
      <c r="AQ129" s="54">
        <v>19148.549999999996</v>
      </c>
      <c r="AR129" s="54">
        <v>18744.899999999994</v>
      </c>
      <c r="AS129" s="54">
        <v>18338.369999999995</v>
      </c>
      <c r="AT129" s="54">
        <v>17928.929999999997</v>
      </c>
      <c r="AU129" s="54">
        <v>17516.579999999998</v>
      </c>
      <c r="AV129" s="54">
        <v>17101.269999999997</v>
      </c>
      <c r="AW129" s="54">
        <v>16683.01</v>
      </c>
      <c r="AX129" s="54">
        <v>16261.749999999998</v>
      </c>
      <c r="AY129" s="54">
        <v>15837.489999999998</v>
      </c>
      <c r="AZ129" s="54">
        <v>15410.189999999999</v>
      </c>
      <c r="BA129" s="54">
        <v>14979.849999999999</v>
      </c>
    </row>
    <row r="130" spans="1:53" ht="16" outlineLevel="4">
      <c r="A130" s="46" t="s">
        <v>127</v>
      </c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4">
        <v>30208.8</v>
      </c>
      <c r="AD130" s="54">
        <v>21248.129999999997</v>
      </c>
      <c r="AE130" s="54">
        <v>25933.829999999998</v>
      </c>
      <c r="AF130" s="54">
        <v>25526.01</v>
      </c>
      <c r="AG130" s="54">
        <v>25118.19</v>
      </c>
      <c r="AH130" s="54">
        <v>24710.37</v>
      </c>
      <c r="AI130" s="54">
        <v>24302.55</v>
      </c>
      <c r="AJ130" s="54">
        <v>23894.73</v>
      </c>
      <c r="AK130" s="54">
        <v>23526.149999999998</v>
      </c>
      <c r="AL130" s="54">
        <v>23154.809999999998</v>
      </c>
      <c r="AM130" s="54">
        <v>22780.67</v>
      </c>
      <c r="AN130" s="54">
        <v>22403.71</v>
      </c>
      <c r="AO130" s="54">
        <v>22023.92</v>
      </c>
      <c r="AP130" s="54">
        <v>21641.269999999997</v>
      </c>
      <c r="AQ130" s="54">
        <v>21255.739999999998</v>
      </c>
      <c r="AR130" s="54">
        <v>20867.309999999998</v>
      </c>
      <c r="AS130" s="54">
        <v>20475.96</v>
      </c>
      <c r="AT130" s="54">
        <v>20081.66</v>
      </c>
      <c r="AU130" s="54">
        <v>19684.39</v>
      </c>
      <c r="AV130" s="54">
        <v>19284.14</v>
      </c>
      <c r="AW130" s="54">
        <v>18880.87</v>
      </c>
      <c r="AX130" s="54">
        <v>18474.57</v>
      </c>
      <c r="AY130" s="54">
        <v>18065.21</v>
      </c>
      <c r="AZ130" s="54">
        <v>17652.77</v>
      </c>
      <c r="BA130" s="54">
        <v>17237.23</v>
      </c>
    </row>
    <row r="131" spans="1:53" ht="16" outlineLevel="4">
      <c r="A131" s="46" t="s">
        <v>128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4">
        <v>30208.8</v>
      </c>
      <c r="AD131" s="54">
        <v>21248.129999999997</v>
      </c>
      <c r="AE131" s="54">
        <v>25933.829999999998</v>
      </c>
      <c r="AF131" s="54">
        <v>25526.01</v>
      </c>
      <c r="AG131" s="54">
        <v>25118.19</v>
      </c>
      <c r="AH131" s="54">
        <v>24710.37</v>
      </c>
      <c r="AI131" s="54">
        <v>24302.55</v>
      </c>
      <c r="AJ131" s="54">
        <v>23894.73</v>
      </c>
      <c r="AK131" s="54">
        <v>23526.149999999998</v>
      </c>
      <c r="AL131" s="54">
        <v>23154.809999999998</v>
      </c>
      <c r="AM131" s="54">
        <v>22780.67</v>
      </c>
      <c r="AN131" s="54">
        <v>22403.71</v>
      </c>
      <c r="AO131" s="54">
        <v>22023.92</v>
      </c>
      <c r="AP131" s="54">
        <v>21641.269999999997</v>
      </c>
      <c r="AQ131" s="54">
        <v>21255.739999999998</v>
      </c>
      <c r="AR131" s="54">
        <v>20867.309999999998</v>
      </c>
      <c r="AS131" s="54">
        <v>20475.96</v>
      </c>
      <c r="AT131" s="54">
        <v>20081.66</v>
      </c>
      <c r="AU131" s="54">
        <v>19684.39</v>
      </c>
      <c r="AV131" s="54">
        <v>19284.14</v>
      </c>
      <c r="AW131" s="54">
        <v>18880.87</v>
      </c>
      <c r="AX131" s="54">
        <v>18474.57</v>
      </c>
      <c r="AY131" s="54">
        <v>18065.21</v>
      </c>
      <c r="AZ131" s="54">
        <v>17652.77</v>
      </c>
      <c r="BA131" s="54">
        <v>17237.23</v>
      </c>
    </row>
    <row r="132" spans="1:53" ht="16" outlineLevel="4">
      <c r="A132" s="46" t="s">
        <v>129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4">
        <v>20332.97</v>
      </c>
      <c r="AH132" s="54">
        <v>26420.550000000003</v>
      </c>
      <c r="AI132" s="54">
        <v>26001.420000000002</v>
      </c>
      <c r="AJ132" s="54">
        <v>25582.29</v>
      </c>
      <c r="AK132" s="54">
        <v>25208.5</v>
      </c>
      <c r="AL132" s="54">
        <v>24832.06</v>
      </c>
      <c r="AM132" s="54">
        <v>24452.960000000003</v>
      </c>
      <c r="AN132" s="54">
        <v>24071.160000000003</v>
      </c>
      <c r="AO132" s="54">
        <v>23686.670000000002</v>
      </c>
      <c r="AP132" s="54">
        <v>23299.45</v>
      </c>
      <c r="AQ132" s="54">
        <v>22909.49</v>
      </c>
      <c r="AR132" s="54">
        <v>22516.760000000002</v>
      </c>
      <c r="AS132" s="54">
        <v>22121.260000000002</v>
      </c>
      <c r="AT132" s="54">
        <v>21722.95</v>
      </c>
      <c r="AU132" s="54">
        <v>21321.82</v>
      </c>
      <c r="AV132" s="54">
        <v>20917.85</v>
      </c>
      <c r="AW132" s="54">
        <v>20511.019999999997</v>
      </c>
      <c r="AX132" s="54">
        <v>20101.299999999996</v>
      </c>
      <c r="AY132" s="54">
        <v>19688.689999999995</v>
      </c>
      <c r="AZ132" s="54">
        <v>19273.149999999994</v>
      </c>
      <c r="BA132" s="54">
        <v>18854.669999999995</v>
      </c>
    </row>
    <row r="133" spans="1:53" ht="16" outlineLevel="4">
      <c r="A133" s="46" t="s">
        <v>130</v>
      </c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4">
        <v>14943.2</v>
      </c>
      <c r="AH133" s="54">
        <v>9819.87</v>
      </c>
      <c r="AI133" s="54">
        <v>8954.51</v>
      </c>
      <c r="AJ133" s="54">
        <v>8089.150000000001</v>
      </c>
      <c r="AK133" s="54">
        <v>7216.250000000001</v>
      </c>
      <c r="AL133" s="54">
        <v>6336.990000000001</v>
      </c>
      <c r="AM133" s="54">
        <v>5451.320000000001</v>
      </c>
      <c r="AN133" s="54">
        <v>4559.18</v>
      </c>
      <c r="AO133" s="54">
        <v>3660.55</v>
      </c>
      <c r="AP133" s="54">
        <v>2755.36</v>
      </c>
      <c r="AQ133" s="54">
        <v>1843.5700000000002</v>
      </c>
      <c r="AR133" s="54">
        <v>925.1300000000001</v>
      </c>
      <c r="AS133" s="54">
        <v>2502.1800000000003</v>
      </c>
      <c r="AT133" s="54">
        <v>1673.9900000000002</v>
      </c>
      <c r="AU133" s="54">
        <v>839.9500000000003</v>
      </c>
      <c r="AV133" s="54">
        <v>2.2737367544323206E-13</v>
      </c>
      <c r="AW133" s="54">
        <v>2.2737367544323206E-13</v>
      </c>
      <c r="AX133" s="54">
        <v>2.2737367544323206E-13</v>
      </c>
      <c r="AY133" s="54">
        <v>2.2737367544323206E-13</v>
      </c>
      <c r="AZ133" s="54">
        <v>2.2737367544323206E-13</v>
      </c>
      <c r="BA133" s="54">
        <v>2.2737367544323206E-13</v>
      </c>
    </row>
    <row r="134" spans="1:53" ht="16" outlineLevel="4">
      <c r="A134" s="46" t="s">
        <v>131</v>
      </c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4">
        <v>21397.72</v>
      </c>
      <c r="AJ134" s="54">
        <v>21058.43</v>
      </c>
      <c r="AK134" s="54">
        <v>20762.21</v>
      </c>
      <c r="AL134" s="54">
        <v>20463.78</v>
      </c>
      <c r="AM134" s="54">
        <v>20502.42</v>
      </c>
      <c r="AN134" s="54">
        <v>20199.519999999997</v>
      </c>
      <c r="AO134" s="54">
        <v>19894.369999999995</v>
      </c>
      <c r="AP134" s="54">
        <v>19586.939999999995</v>
      </c>
      <c r="AQ134" s="54">
        <v>19277.209999999995</v>
      </c>
      <c r="AR134" s="54">
        <v>18965.179999999997</v>
      </c>
      <c r="AS134" s="54">
        <v>18650.819999999996</v>
      </c>
      <c r="AT134" s="54">
        <v>18334.109999999997</v>
      </c>
      <c r="AU134" s="54">
        <v>18015.039999999997</v>
      </c>
      <c r="AV134" s="54">
        <v>17693.6</v>
      </c>
      <c r="AW134" s="54">
        <v>17369.75</v>
      </c>
      <c r="AX134" s="54">
        <v>17043.49</v>
      </c>
      <c r="AY134" s="54">
        <v>16714.800000000003</v>
      </c>
      <c r="AZ134" s="54">
        <v>16383.650000000003</v>
      </c>
      <c r="BA134" s="54">
        <v>16050.040000000003</v>
      </c>
    </row>
    <row r="135" spans="1:53" ht="16" outlineLevel="4">
      <c r="A135" s="46" t="s">
        <v>132</v>
      </c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4">
        <v>23785.74</v>
      </c>
      <c r="AU135" s="54">
        <v>12375.95</v>
      </c>
      <c r="AV135" s="54">
        <v>11290.060000000001</v>
      </c>
      <c r="AW135" s="54">
        <v>10196.490000000002</v>
      </c>
      <c r="AX135" s="54">
        <v>9095.2</v>
      </c>
      <c r="AY135" s="54">
        <v>7986.120000000001</v>
      </c>
      <c r="AZ135" s="54">
        <v>6869.200000000001</v>
      </c>
      <c r="BA135" s="54">
        <v>5744.400000000001</v>
      </c>
    </row>
    <row r="136" spans="1:53" ht="16" outlineLevel="3">
      <c r="A136" s="47" t="s">
        <v>133</v>
      </c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>
        <f>X126+X127+X128+X129+X130+X131+X132+X133+X134+X135</f>
        <v>30183.06</v>
      </c>
      <c r="Y136" s="55">
        <f>Y126+Y127+Y128+Y129+Y130+Y131+Y132+Y133+Y134+Y135</f>
        <v>21238.160000000003</v>
      </c>
      <c r="Z136" s="55">
        <f>Z126+Z127+Z128+Z129+Z130+Z131+Z132+Z133+Z134+Z135</f>
        <v>20412.08</v>
      </c>
      <c r="AA136" s="55">
        <f>AA126+AA127+AA128+AA129+AA130+AA131+AA132+AA133+AA134+AA135</f>
        <v>19574.75</v>
      </c>
      <c r="AB136" s="55">
        <f>AB126+AB127+AB128+AB129+AB130+AB131+AB132+AB133+AB134+AB135</f>
        <v>18828.67</v>
      </c>
      <c r="AC136" s="55">
        <f>AC126+AC127+AC128+AC129+AC130+AC131+AC132+AC133+AC134+AC135</f>
        <v>224991.90999999997</v>
      </c>
      <c r="AD136" s="55">
        <f>AD126+AD127+AD128+AD129+AD130+AD131+AD132+AD133+AD134+AD135</f>
        <v>183051.29</v>
      </c>
      <c r="AE136" s="55">
        <f>AE126+AE127+AE128+AE129+AE130+AE131+AE132+AE133+AE134+AE135</f>
        <v>126247.87000000001</v>
      </c>
      <c r="AF136" s="55">
        <f>AF126+AF127+AF128+AF129+AF130+AF131+AF132+AF133+AF134+AF135</f>
        <v>124025.23999999999</v>
      </c>
      <c r="AG136" s="55">
        <f>AG126+AG127+AG128+AG129+AG130+AG131+AG132+AG133+AG134+AG135</f>
        <v>158078.30000000002</v>
      </c>
      <c r="AH136" s="55">
        <f>AH126+AH127+AH128+AH129+AH130+AH131+AH132+AH133+AH134+AH135</f>
        <v>108371.16</v>
      </c>
      <c r="AI136" s="55">
        <f>AI126+AI127+AI128+AI129+AI130+AI131+AI132+AI133+AI134+AI135</f>
        <v>127261.28</v>
      </c>
      <c r="AJ136" s="55">
        <f>AJ126+AJ127+AJ128+AJ129+AJ130+AJ131+AJ132+AJ133+AJ134+AJ135</f>
        <v>124414.38999999998</v>
      </c>
      <c r="AK136" s="55">
        <f>AK126+AK127+AK128+AK129+AK130+AK131+AK132+AK133+AK134+AK135</f>
        <v>121750.29000000001</v>
      </c>
      <c r="AL136" s="55">
        <f>AL126+AL127+AL128+AL129+AL130+AL131+AL132+AL133+AL134+AL135</f>
        <v>119066.7</v>
      </c>
      <c r="AM136" s="55">
        <f>AM126+AM127+AM128+AM129+AM130+AM131+AM132+AM133+AM134+AM135</f>
        <v>116702.76000000001</v>
      </c>
      <c r="AN136" s="55">
        <f>AN126+AN127+AN128+AN129+AN130+AN131+AN132+AN133+AN134+AN135</f>
        <v>113979.68</v>
      </c>
      <c r="AO136" s="55">
        <f>AO126+AO127+AO128+AO129+AO130+AO131+AO132+AO133+AO134+AO135</f>
        <v>111236.7</v>
      </c>
      <c r="AP136" s="55">
        <f>AP126+AP127+AP128+AP129+AP130+AP131+AP132+AP133+AP134+AP135</f>
        <v>108473.62</v>
      </c>
      <c r="AQ136" s="55">
        <f>AQ126+AQ127+AQ128+AQ129+AQ130+AQ131+AQ132+AQ133+AQ134+AQ135</f>
        <v>105690.3</v>
      </c>
      <c r="AR136" s="55">
        <f>AR126+AR127+AR128+AR129+AR130+AR131+AR132+AR133+AR134+AR135</f>
        <v>102886.59</v>
      </c>
      <c r="AS136" s="55">
        <f>AS126+AS127+AS128+AS129+AS130+AS131+AS132+AS133+AS134+AS135</f>
        <v>102564.55</v>
      </c>
      <c r="AT136" s="55">
        <f>AT126+AT127+AT128+AT129+AT130+AT131+AT132+AT133+AT134+AT135</f>
        <v>123609.04000000002</v>
      </c>
      <c r="AU136" s="55">
        <f>AU126+AU127+AU128+AU129+AU130+AU131+AU132+AU133+AU134+AU135</f>
        <v>109438.12000000001</v>
      </c>
      <c r="AV136" s="55">
        <f>AV126+AV127+AV128+AV129+AV130+AV131+AV132+AV133+AV134+AV135</f>
        <v>105571.06</v>
      </c>
      <c r="AW136" s="55">
        <f>AW126+AW127+AW128+AW129+AW130+AW131+AW132+AW133+AW134+AW135</f>
        <v>102522.01000000002</v>
      </c>
      <c r="AX136" s="55">
        <f>AX126+AX127+AX128+AX129+AX130+AX131+AX132+AX133+AX134+AX135</f>
        <v>99450.88</v>
      </c>
      <c r="AY136" s="55">
        <f>AY126+AY127+AY128+AY129+AY130+AY131+AY132+AY133+AY134+AY135</f>
        <v>96357.52</v>
      </c>
      <c r="AZ136" s="55">
        <f>AZ126+AZ127+AZ128+AZ129+AZ130+AZ131+AZ132+AZ133+AZ134+AZ135</f>
        <v>93241.73000000001</v>
      </c>
      <c r="BA136" s="55">
        <f>BA126+BA127+BA128+BA129+BA130+BA131+BA132+BA133+BA134+BA135</f>
        <v>90103.42000000001</v>
      </c>
    </row>
    <row r="137" spans="1:53" ht="16" outlineLevel="3">
      <c r="A137" s="42" t="s">
        <v>134</v>
      </c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</row>
    <row r="138" spans="1:53" ht="16" outlineLevel="4">
      <c r="A138" s="46" t="s">
        <v>135</v>
      </c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4">
        <v>56363.05</v>
      </c>
      <c r="AC138" s="54">
        <v>52630.340000000004</v>
      </c>
      <c r="AD138" s="54">
        <v>51076.65</v>
      </c>
      <c r="AE138" s="54">
        <v>42558.090000000004</v>
      </c>
      <c r="AF138" s="54">
        <v>42558.090000000004</v>
      </c>
      <c r="AG138" s="54">
        <v>42558.090000000004</v>
      </c>
      <c r="AH138" s="54">
        <v>40708.76</v>
      </c>
      <c r="AI138" s="54">
        <v>39537.89</v>
      </c>
      <c r="AJ138" s="54">
        <v>39537.89</v>
      </c>
      <c r="AK138" s="54">
        <v>37486.93</v>
      </c>
      <c r="AL138" s="54">
        <v>35791.67</v>
      </c>
      <c r="AM138" s="54">
        <v>32826.49</v>
      </c>
      <c r="AN138" s="54">
        <v>31655.62</v>
      </c>
      <c r="AO138" s="54">
        <v>31655.62</v>
      </c>
      <c r="AP138" s="54">
        <v>34001.59</v>
      </c>
      <c r="AQ138" s="54">
        <v>33090.329999999994</v>
      </c>
      <c r="AR138" s="54">
        <v>33090.329999999994</v>
      </c>
      <c r="AS138" s="54">
        <v>31222.839999999993</v>
      </c>
      <c r="AT138" s="54">
        <v>30290.36999999999</v>
      </c>
      <c r="AU138" s="54">
        <v>29343.319999999992</v>
      </c>
      <c r="AV138" s="54">
        <v>28396.499999999993</v>
      </c>
      <c r="AW138" s="54">
        <v>27435.449999999993</v>
      </c>
      <c r="AX138" s="54">
        <v>27435.449999999993</v>
      </c>
      <c r="AY138" s="54">
        <v>25505.329999999994</v>
      </c>
      <c r="AZ138" s="54">
        <v>24522.919999999995</v>
      </c>
      <c r="BA138" s="54">
        <v>24522.919999999995</v>
      </c>
    </row>
    <row r="139" spans="1:53" ht="16" outlineLevel="4">
      <c r="A139" s="46" t="s">
        <v>136</v>
      </c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4">
        <v>12117.4</v>
      </c>
      <c r="AE139" s="54">
        <v>11983.109999999999</v>
      </c>
      <c r="AF139" s="54">
        <v>11847.109999999999</v>
      </c>
      <c r="AG139" s="54">
        <v>11699.699999999999</v>
      </c>
      <c r="AH139" s="54">
        <v>11560.109999999999</v>
      </c>
      <c r="AI139" s="54">
        <v>11414.029999999999</v>
      </c>
      <c r="AJ139" s="54">
        <v>11280.159999999998</v>
      </c>
      <c r="AK139" s="54">
        <v>11121.419999999998</v>
      </c>
      <c r="AL139" s="54">
        <v>10974.499999999998</v>
      </c>
      <c r="AM139" s="54">
        <v>10830.209999999997</v>
      </c>
      <c r="AN139" s="54">
        <v>10670.739999999998</v>
      </c>
      <c r="AO139" s="54">
        <v>10518.109999999999</v>
      </c>
      <c r="AP139" s="54">
        <v>10363.539999999999</v>
      </c>
      <c r="AQ139" s="54">
        <v>10208.97</v>
      </c>
      <c r="AR139" s="54">
        <v>10048.21</v>
      </c>
      <c r="AS139" s="54">
        <v>9875.41</v>
      </c>
      <c r="AT139" s="54">
        <v>9702.61</v>
      </c>
      <c r="AU139" s="54">
        <v>9531.87</v>
      </c>
      <c r="AV139" s="54">
        <v>9243.970000000001</v>
      </c>
      <c r="AW139" s="54">
        <v>9067.27</v>
      </c>
      <c r="AX139" s="54">
        <v>8896.0</v>
      </c>
      <c r="AY139" s="54">
        <v>8722.56</v>
      </c>
      <c r="AZ139" s="54">
        <v>8543.3</v>
      </c>
      <c r="BA139" s="54">
        <v>8372.48</v>
      </c>
    </row>
    <row r="140" spans="1:53" ht="16" outlineLevel="3">
      <c r="A140" s="47" t="s">
        <v>137</v>
      </c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>
        <f>AB137+AB138+AB139</f>
        <v>56363.05</v>
      </c>
      <c r="AC140" s="55">
        <f>AC137+AC138+AC139</f>
        <v>52630.340000000004</v>
      </c>
      <c r="AD140" s="55">
        <f>AD137+AD138+AD139</f>
        <v>63194.05</v>
      </c>
      <c r="AE140" s="55">
        <f>AE137+AE138+AE139</f>
        <v>54541.200000000004</v>
      </c>
      <c r="AF140" s="55">
        <f>AF137+AF138+AF139</f>
        <v>54405.200000000004</v>
      </c>
      <c r="AG140" s="55">
        <f>AG137+AG138+AG139</f>
        <v>54257.79</v>
      </c>
      <c r="AH140" s="55">
        <f>AH137+AH138+AH139</f>
        <v>52268.87</v>
      </c>
      <c r="AI140" s="55">
        <f>AI137+AI138+AI139</f>
        <v>50951.92</v>
      </c>
      <c r="AJ140" s="55">
        <f>AJ137+AJ138+AJ139</f>
        <v>50818.049999999996</v>
      </c>
      <c r="AK140" s="55">
        <f>AK137+AK138+AK139</f>
        <v>48608.35</v>
      </c>
      <c r="AL140" s="55">
        <f>AL137+AL138+AL139</f>
        <v>46766.17</v>
      </c>
      <c r="AM140" s="55">
        <f>AM137+AM138+AM139</f>
        <v>43656.7</v>
      </c>
      <c r="AN140" s="55">
        <f>AN137+AN138+AN139</f>
        <v>42326.36</v>
      </c>
      <c r="AO140" s="55">
        <f>AO137+AO138+AO139</f>
        <v>42173.729999999996</v>
      </c>
      <c r="AP140" s="55">
        <f>AP137+AP138+AP139</f>
        <v>44365.13</v>
      </c>
      <c r="AQ140" s="55">
        <f>AQ137+AQ138+AQ139</f>
        <v>43299.299999999996</v>
      </c>
      <c r="AR140" s="55">
        <f>AR137+AR138+AR139</f>
        <v>43138.53999999999</v>
      </c>
      <c r="AS140" s="55">
        <f>AS137+AS138+AS139</f>
        <v>41098.24999999999</v>
      </c>
      <c r="AT140" s="55">
        <f>AT137+AT138+AT139</f>
        <v>39992.979999999996</v>
      </c>
      <c r="AU140" s="55">
        <f>AU137+AU138+AU139</f>
        <v>38875.189999999995</v>
      </c>
      <c r="AV140" s="55">
        <f>AV137+AV138+AV139</f>
        <v>37640.469999999994</v>
      </c>
      <c r="AW140" s="55">
        <f>AW137+AW138+AW139</f>
        <v>36502.719999999994</v>
      </c>
      <c r="AX140" s="55">
        <f>AX137+AX138+AX139</f>
        <v>36331.45</v>
      </c>
      <c r="AY140" s="55">
        <f>AY137+AY138+AY139</f>
        <v>34227.88999999999</v>
      </c>
      <c r="AZ140" s="55">
        <f>AZ137+AZ138+AZ139</f>
        <v>33066.219999999994</v>
      </c>
      <c r="BA140" s="55">
        <f>BA137+BA138+BA139</f>
        <v>32895.399999999994</v>
      </c>
    </row>
    <row r="141" spans="1:53" ht="16" outlineLevel="2">
      <c r="A141" s="43" t="s">
        <v>138</v>
      </c>
      <c r="B141" s="55"/>
      <c r="C141" s="55"/>
      <c r="D141" s="55"/>
      <c r="E141" s="55"/>
      <c r="F141" s="55"/>
      <c r="G141" s="55"/>
      <c r="H141" s="55"/>
      <c r="I141" s="55">
        <f>I110+I125+I136+I140</f>
        <v>89110.91</v>
      </c>
      <c r="J141" s="55">
        <f>J110+J125+J136+J140</f>
        <v>89110.91</v>
      </c>
      <c r="K141" s="55">
        <f>K110+K125+K136+K140</f>
        <v>119591.15000000001</v>
      </c>
      <c r="L141" s="55">
        <f>L110+L125+L136+L140</f>
        <v>117597.59000000001</v>
      </c>
      <c r="M141" s="55">
        <f>M110+M125+M136+M140</f>
        <v>117597.59000000001</v>
      </c>
      <c r="N141" s="55">
        <f>N110+N125+N136+N140</f>
        <v>115578.99</v>
      </c>
      <c r="O141" s="55">
        <f>O110+O125+O136+O140</f>
        <v>268326.39999999997</v>
      </c>
      <c r="P141" s="55">
        <f>P110+P125+P136+P140</f>
        <v>233302.91999999998</v>
      </c>
      <c r="Q141" s="55">
        <f>Q110+Q125+Q136+Q140</f>
        <v>230703.93999999997</v>
      </c>
      <c r="R141" s="55">
        <f>R110+R125+R136+R140</f>
        <v>270275.76999999996</v>
      </c>
      <c r="S141" s="55">
        <f>S110+S125+S136+S140</f>
        <v>303940.73</v>
      </c>
      <c r="T141" s="55">
        <f>T110+T125+T136+T140</f>
        <v>300382.04</v>
      </c>
      <c r="U141" s="55">
        <f>U110+U125+U136+U140</f>
        <v>296326.87</v>
      </c>
      <c r="V141" s="55">
        <f>V110+V125+V136+V140</f>
        <v>292148.44</v>
      </c>
      <c r="W141" s="55">
        <f>W110+W125+W136+W140</f>
        <v>380683.7</v>
      </c>
      <c r="X141" s="55">
        <f>X110+X125+X136+X140</f>
        <v>373095.71</v>
      </c>
      <c r="Y141" s="55">
        <f>Y110+Y125+Y136+Y140</f>
        <v>360337.11</v>
      </c>
      <c r="Z141" s="55">
        <f>Z110+Z125+Z136+Z140</f>
        <v>355752.33999999997</v>
      </c>
      <c r="AA141" s="55">
        <f>AA110+AA125+AA136+AA140</f>
        <v>351128.58</v>
      </c>
      <c r="AB141" s="55">
        <f>AB110+AB125+AB136+AB140</f>
        <v>402850.72</v>
      </c>
      <c r="AC141" s="55">
        <f>AC110+AC125+AC136+AC140</f>
        <v>600821.6699999998</v>
      </c>
      <c r="AD141" s="55">
        <f>AD110+AD125+AD136+AD140</f>
        <v>605921.6900000001</v>
      </c>
      <c r="AE141" s="55">
        <f>AE110+AE125+AE136+AE140</f>
        <v>562292.8799999999</v>
      </c>
      <c r="AF141" s="55">
        <f>AF110+AF125+AF136+AF140</f>
        <v>556304.5</v>
      </c>
      <c r="AG141" s="55">
        <f>AG110+AG125+AG136+AG140</f>
        <v>645881.91</v>
      </c>
      <c r="AH141" s="55">
        <f>AH110+AH125+AH136+AH140</f>
        <v>587173.88</v>
      </c>
      <c r="AI141" s="55">
        <f>AI110+AI125+AI136+AI140</f>
        <v>597215.34</v>
      </c>
      <c r="AJ141" s="55">
        <f>AJ110+AJ125+AJ136+AJ140</f>
        <v>588853.15</v>
      </c>
      <c r="AK141" s="55">
        <f>AK110+AK125+AK136+AK140</f>
        <v>576147.02</v>
      </c>
      <c r="AL141" s="55">
        <f>AL110+AL125+AL136+AL140</f>
        <v>564182.63</v>
      </c>
      <c r="AM141" s="55">
        <f>AM110+AM125+AM136+AM140</f>
        <v>555523.83</v>
      </c>
      <c r="AN141" s="55">
        <f>AN110+AN125+AN136+AN140</f>
        <v>542264.62</v>
      </c>
      <c r="AO141" s="55">
        <f>AO110+AO125+AO136+AO140</f>
        <v>537304.32</v>
      </c>
      <c r="AP141" s="55">
        <f>AP110+AP125+AP136+AP140</f>
        <v>529071.4</v>
      </c>
      <c r="AQ141" s="55">
        <f>AQ110+AQ125+AQ136+AQ140</f>
        <v>519311.9799999999</v>
      </c>
      <c r="AR141" s="55">
        <f>AR110+AR125+AR136+AR140</f>
        <v>462075.8399999999</v>
      </c>
      <c r="AS141" s="55">
        <f>AS110+AS125+AS136+AS140</f>
        <v>405062.87</v>
      </c>
      <c r="AT141" s="55">
        <f>AT110+AT125+AT136+AT140</f>
        <v>420921.16</v>
      </c>
      <c r="AU141" s="55">
        <f>AU110+AU125+AU136+AU140</f>
        <v>401460.53</v>
      </c>
      <c r="AV141" s="55">
        <f>AV110+AV125+AV136+AV140</f>
        <v>392266.7899999999</v>
      </c>
      <c r="AW141" s="55">
        <f>AW110+AW125+AW136+AW140</f>
        <v>384501.74999999994</v>
      </c>
      <c r="AX141" s="55">
        <f>AX110+AX125+AX136+AX140</f>
        <v>308512.23</v>
      </c>
      <c r="AY141" s="55">
        <f>AY110+AY125+AY136+AY140</f>
        <v>299132.56</v>
      </c>
      <c r="AZ141" s="55">
        <f>AZ110+AZ125+AZ136+AZ140</f>
        <v>291559.26999999996</v>
      </c>
      <c r="BA141" s="55">
        <f>BA110+BA125+BA136+BA140</f>
        <v>284971.07999999996</v>
      </c>
    </row>
    <row r="142" spans="1:53" ht="16" outlineLevel="1">
      <c r="A142" s="44" t="s">
        <v>139</v>
      </c>
      <c r="B142" s="55">
        <f>B79+B109+B141</f>
        <v>2854.61</v>
      </c>
      <c r="C142" s="55">
        <f>C79+C109+C141</f>
        <v>10451.59</v>
      </c>
      <c r="D142" s="55">
        <f>D79+D109+D141</f>
        <v>12085.31</v>
      </c>
      <c r="E142" s="55">
        <f>E79+E109+E141</f>
        <v>645.7599999999995</v>
      </c>
      <c r="F142" s="55">
        <f>F79+F109+F141</f>
        <v>3905.3999999999996</v>
      </c>
      <c r="G142" s="55">
        <f>G79+G109+G141</f>
        <v>7020.19</v>
      </c>
      <c r="H142" s="55">
        <f>H79+H109+H141</f>
        <v>7022.91</v>
      </c>
      <c r="I142" s="55">
        <f>I79+I109+I141</f>
        <v>101005.77</v>
      </c>
      <c r="J142" s="55">
        <f>J79+J109+J141</f>
        <v>98729.43000000001</v>
      </c>
      <c r="K142" s="55">
        <f>K79+K109+K141</f>
        <v>138407.59000000003</v>
      </c>
      <c r="L142" s="55">
        <f>L79+L109+L141</f>
        <v>142642.71000000002</v>
      </c>
      <c r="M142" s="55">
        <f>M79+M109+M141</f>
        <v>162315.46000000002</v>
      </c>
      <c r="N142" s="55">
        <f>N79+N109+N141</f>
        <v>153948.22</v>
      </c>
      <c r="O142" s="55">
        <f>O79+O109+O141</f>
        <v>278786.27999999997</v>
      </c>
      <c r="P142" s="55">
        <f>P79+P109+P141</f>
        <v>249078.47</v>
      </c>
      <c r="Q142" s="55">
        <f>Q79+Q109+Q141</f>
        <v>251782.46999999997</v>
      </c>
      <c r="R142" s="55">
        <f>R79+R109+R141</f>
        <v>307284.25999999995</v>
      </c>
      <c r="S142" s="55">
        <f>S79+S109+S141</f>
        <v>322051.55</v>
      </c>
      <c r="T142" s="55">
        <f>T79+T109+T141</f>
        <v>355990.39</v>
      </c>
      <c r="U142" s="55">
        <f>U79+U109+U141</f>
        <v>322842.86</v>
      </c>
      <c r="V142" s="55">
        <f>V79+V109+V141</f>
        <v>310870.01</v>
      </c>
      <c r="W142" s="55">
        <f>W79+W109+W141</f>
        <v>405071.68</v>
      </c>
      <c r="X142" s="55">
        <f>X79+X109+X141</f>
        <v>405133.84</v>
      </c>
      <c r="Y142" s="55">
        <f>Y79+Y109+Y141</f>
        <v>386504.68</v>
      </c>
      <c r="Z142" s="55">
        <f>Z79+Z109+Z141</f>
        <v>390653.98</v>
      </c>
      <c r="AA142" s="55">
        <f>AA79+AA109+AA141</f>
        <v>416796.2</v>
      </c>
      <c r="AB142" s="55">
        <f>AB79+AB109+AB141</f>
        <v>470877.51</v>
      </c>
      <c r="AC142" s="55">
        <f>AC79+AC109+AC141</f>
        <v>632918.0699999998</v>
      </c>
      <c r="AD142" s="55">
        <f>AD79+AD109+AD141</f>
        <v>639588.3200000001</v>
      </c>
      <c r="AE142" s="55">
        <f>AE79+AE109+AE141</f>
        <v>601461.9899999999</v>
      </c>
      <c r="AF142" s="55">
        <f>AF79+AF109+AF141</f>
        <v>620256.06</v>
      </c>
      <c r="AG142" s="55">
        <f>AG79+AG109+AG141</f>
        <v>684557.43</v>
      </c>
      <c r="AH142" s="55">
        <f>AH79+AH109+AH141</f>
        <v>646982.28</v>
      </c>
      <c r="AI142" s="55">
        <f>AI79+AI109+AI141</f>
        <v>662829.6799999999</v>
      </c>
      <c r="AJ142" s="55">
        <f>AJ79+AJ109+AJ141</f>
        <v>622981.9500000001</v>
      </c>
      <c r="AK142" s="55">
        <f>AK79+AK109+AK141</f>
        <v>613596.01</v>
      </c>
      <c r="AL142" s="55">
        <f>AL79+AL109+AL141</f>
        <v>612557.71</v>
      </c>
      <c r="AM142" s="55">
        <f>AM79+AM109+AM141</f>
        <v>574561.6499999999</v>
      </c>
      <c r="AN142" s="55">
        <f>AN79+AN109+AN141</f>
        <v>585379.19</v>
      </c>
      <c r="AO142" s="55">
        <f>AO79+AO109+AO141</f>
        <v>571171.71</v>
      </c>
      <c r="AP142" s="55">
        <f>AP79+AP109+AP141</f>
        <v>661388.24</v>
      </c>
      <c r="AQ142" s="55">
        <f>AQ79+AQ109+AQ141</f>
        <v>659811.3699999999</v>
      </c>
      <c r="AR142" s="55">
        <f>AR79+AR109+AR141</f>
        <v>590916.48</v>
      </c>
      <c r="AS142" s="55">
        <f>AS79+AS109+AS141</f>
        <v>519045.52</v>
      </c>
      <c r="AT142" s="55">
        <f>AT79+AT109+AT141</f>
        <v>521307.93</v>
      </c>
      <c r="AU142" s="55">
        <f>AU79+AU109+AU141</f>
        <v>510883.91000000003</v>
      </c>
      <c r="AV142" s="55">
        <f>AV79+AV109+AV141</f>
        <v>503802.2699999999</v>
      </c>
      <c r="AW142" s="55">
        <f>AW79+AW109+AW141</f>
        <v>502247.23999999993</v>
      </c>
      <c r="AX142" s="55">
        <f>AX79+AX109+AX141</f>
        <v>505225.9</v>
      </c>
      <c r="AY142" s="55">
        <f>AY79+AY109+AY141</f>
        <v>508794.6</v>
      </c>
      <c r="AZ142" s="55">
        <f>AZ79+AZ109+AZ141</f>
        <v>496772.23</v>
      </c>
      <c r="BA142" s="55">
        <f>BA79+BA109+BA141</f>
        <v>485936.9099999999</v>
      </c>
    </row>
    <row r="143" spans="1:53" ht="16" outlineLevel="1">
      <c r="A143" s="40" t="s">
        <v>140</v>
      </c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</row>
    <row r="144" spans="1:53" ht="16" outlineLevel="2">
      <c r="A144" s="41" t="s">
        <v>141</v>
      </c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</row>
    <row r="145" spans="1:53" ht="16" outlineLevel="3">
      <c r="A145" s="42" t="s">
        <v>142</v>
      </c>
      <c r="B145" s="53"/>
      <c r="C145" s="54">
        <v>8500.0</v>
      </c>
      <c r="D145" s="54">
        <v>36377.78</v>
      </c>
      <c r="E145" s="54">
        <v>67377.78</v>
      </c>
      <c r="F145" s="54">
        <v>68452.98</v>
      </c>
      <c r="G145" s="54">
        <v>0</v>
      </c>
      <c r="H145" s="54">
        <v>0</v>
      </c>
      <c r="I145" s="54">
        <v>0</v>
      </c>
      <c r="J145" s="54">
        <v>0</v>
      </c>
      <c r="K145" s="54">
        <v>0</v>
      </c>
      <c r="L145" s="54">
        <v>0</v>
      </c>
      <c r="M145" s="54">
        <v>0</v>
      </c>
      <c r="N145" s="54">
        <v>0</v>
      </c>
      <c r="O145" s="54">
        <v>0</v>
      </c>
      <c r="P145" s="54">
        <v>0</v>
      </c>
      <c r="Q145" s="54">
        <v>0</v>
      </c>
      <c r="R145" s="54">
        <v>0</v>
      </c>
      <c r="S145" s="54">
        <v>0</v>
      </c>
      <c r="T145" s="54">
        <v>0</v>
      </c>
      <c r="U145" s="54">
        <v>0</v>
      </c>
      <c r="V145" s="54">
        <v>0</v>
      </c>
      <c r="W145" s="54">
        <v>0</v>
      </c>
      <c r="X145" s="54">
        <v>0</v>
      </c>
      <c r="Y145" s="54">
        <v>0</v>
      </c>
      <c r="Z145" s="54">
        <v>0</v>
      </c>
      <c r="AA145" s="54">
        <v>0</v>
      </c>
      <c r="AB145" s="54">
        <v>0</v>
      </c>
      <c r="AC145" s="54">
        <v>0</v>
      </c>
      <c r="AD145" s="54">
        <v>0</v>
      </c>
      <c r="AE145" s="54">
        <v>0</v>
      </c>
      <c r="AF145" s="54">
        <v>0</v>
      </c>
      <c r="AG145" s="54">
        <v>0</v>
      </c>
      <c r="AH145" s="54">
        <v>0</v>
      </c>
      <c r="AI145" s="54">
        <v>0</v>
      </c>
      <c r="AJ145" s="54">
        <v>0</v>
      </c>
      <c r="AK145" s="54">
        <v>0</v>
      </c>
      <c r="AL145" s="54">
        <v>0</v>
      </c>
      <c r="AM145" s="54">
        <v>0</v>
      </c>
      <c r="AN145" s="54">
        <v>0</v>
      </c>
      <c r="AO145" s="54">
        <v>0</v>
      </c>
      <c r="AP145" s="54">
        <v>0</v>
      </c>
      <c r="AQ145" s="54">
        <v>0</v>
      </c>
      <c r="AR145" s="54">
        <v>0</v>
      </c>
      <c r="AS145" s="54">
        <v>0</v>
      </c>
      <c r="AT145" s="54">
        <v>0</v>
      </c>
      <c r="AU145" s="54">
        <v>0</v>
      </c>
      <c r="AV145" s="54">
        <v>0</v>
      </c>
      <c r="AW145" s="54">
        <v>0</v>
      </c>
      <c r="AX145" s="54">
        <v>0</v>
      </c>
      <c r="AY145" s="54">
        <v>0</v>
      </c>
      <c r="AZ145" s="54">
        <v>0</v>
      </c>
      <c r="BA145" s="54">
        <v>0</v>
      </c>
    </row>
    <row r="146" spans="1:53" ht="16" outlineLevel="3">
      <c r="A146" s="42" t="s">
        <v>143</v>
      </c>
      <c r="B146" s="54">
        <v>100.0</v>
      </c>
      <c r="C146" s="54">
        <v>13045.98</v>
      </c>
      <c r="D146" s="54">
        <v>13800.02</v>
      </c>
      <c r="E146" s="54">
        <v>42425.020000000004</v>
      </c>
      <c r="F146" s="54">
        <v>51953.9</v>
      </c>
      <c r="G146" s="54">
        <v>0</v>
      </c>
      <c r="H146" s="54">
        <v>0</v>
      </c>
      <c r="I146" s="54">
        <v>0</v>
      </c>
      <c r="J146" s="54">
        <v>0</v>
      </c>
      <c r="K146" s="54">
        <v>0</v>
      </c>
      <c r="L146" s="54">
        <v>0</v>
      </c>
      <c r="M146" s="54">
        <v>0</v>
      </c>
      <c r="N146" s="54">
        <v>0</v>
      </c>
      <c r="O146" s="54">
        <v>0</v>
      </c>
      <c r="P146" s="54">
        <v>0</v>
      </c>
      <c r="Q146" s="54">
        <v>0</v>
      </c>
      <c r="R146" s="54">
        <v>0</v>
      </c>
      <c r="S146" s="54">
        <v>0</v>
      </c>
      <c r="T146" s="54">
        <v>0</v>
      </c>
      <c r="U146" s="54">
        <v>0</v>
      </c>
      <c r="V146" s="54">
        <v>0</v>
      </c>
      <c r="W146" s="54">
        <v>0</v>
      </c>
      <c r="X146" s="54">
        <v>0</v>
      </c>
      <c r="Y146" s="54">
        <v>0</v>
      </c>
      <c r="Z146" s="54">
        <v>0</v>
      </c>
      <c r="AA146" s="54">
        <v>0</v>
      </c>
      <c r="AB146" s="54">
        <v>0</v>
      </c>
      <c r="AC146" s="54">
        <v>0</v>
      </c>
      <c r="AD146" s="54">
        <v>0</v>
      </c>
      <c r="AE146" s="54">
        <v>0</v>
      </c>
      <c r="AF146" s="54">
        <v>6500.0</v>
      </c>
      <c r="AG146" s="54">
        <v>6500.0</v>
      </c>
      <c r="AH146" s="54">
        <v>6500.0</v>
      </c>
      <c r="AI146" s="54">
        <v>6500.0</v>
      </c>
      <c r="AJ146" s="54">
        <v>6500.0</v>
      </c>
      <c r="AK146" s="54">
        <v>6500.0</v>
      </c>
      <c r="AL146" s="54">
        <v>6500.0</v>
      </c>
      <c r="AM146" s="54">
        <v>6500.0</v>
      </c>
      <c r="AN146" s="54">
        <v>6500.0</v>
      </c>
      <c r="AO146" s="54">
        <v>6500.0</v>
      </c>
      <c r="AP146" s="54">
        <v>6500.0</v>
      </c>
      <c r="AQ146" s="54">
        <v>6500.0</v>
      </c>
      <c r="AR146" s="54">
        <v>6500.0</v>
      </c>
      <c r="AS146" s="54">
        <v>6500.0</v>
      </c>
      <c r="AT146" s="54">
        <v>6500.0</v>
      </c>
      <c r="AU146" s="54">
        <v>6500.0</v>
      </c>
      <c r="AV146" s="54">
        <v>6500.0</v>
      </c>
      <c r="AW146" s="54">
        <v>6500.0</v>
      </c>
      <c r="AX146" s="54">
        <v>6500.0</v>
      </c>
      <c r="AY146" s="54">
        <v>6500.0</v>
      </c>
      <c r="AZ146" s="54">
        <v>6500.0</v>
      </c>
      <c r="BA146" s="54">
        <v>6500.0</v>
      </c>
    </row>
    <row r="147" spans="1:53" ht="16" outlineLevel="2">
      <c r="A147" s="43" t="s">
        <v>144</v>
      </c>
      <c r="B147" s="55">
        <f>B144+B145+B146</f>
        <v>100.0</v>
      </c>
      <c r="C147" s="55">
        <f>C144+C145+C146</f>
        <v>21545.98</v>
      </c>
      <c r="D147" s="55">
        <f>D144+D145+D146</f>
        <v>50177.8</v>
      </c>
      <c r="E147" s="55">
        <f>E144+E145+E146</f>
        <v>109802.8</v>
      </c>
      <c r="F147" s="55">
        <f>F144+F145+F146</f>
        <v>120406.88</v>
      </c>
      <c r="G147" s="55">
        <f>G144+G145+G146</f>
        <v>0.0</v>
      </c>
      <c r="H147" s="55">
        <f>H144+H145+H146</f>
        <v>0.0</v>
      </c>
      <c r="I147" s="55">
        <f>I144+I145+I146</f>
        <v>0.0</v>
      </c>
      <c r="J147" s="55">
        <f>J144+J145+J146</f>
        <v>0.0</v>
      </c>
      <c r="K147" s="55">
        <f>K144+K145+K146</f>
        <v>0.0</v>
      </c>
      <c r="L147" s="55">
        <f>L144+L145+L146</f>
        <v>0.0</v>
      </c>
      <c r="M147" s="55">
        <f>M144+M145+M146</f>
        <v>0.0</v>
      </c>
      <c r="N147" s="55">
        <f>N144+N145+N146</f>
        <v>0.0</v>
      </c>
      <c r="O147" s="55">
        <f>O144+O145+O146</f>
        <v>0.0</v>
      </c>
      <c r="P147" s="55">
        <f>P144+P145+P146</f>
        <v>0.0</v>
      </c>
      <c r="Q147" s="55">
        <f>Q144+Q145+Q146</f>
        <v>0.0</v>
      </c>
      <c r="R147" s="55">
        <f>R144+R145+R146</f>
        <v>0.0</v>
      </c>
      <c r="S147" s="55">
        <f>S144+S145+S146</f>
        <v>0.0</v>
      </c>
      <c r="T147" s="55">
        <f>T144+T145+T146</f>
        <v>0.0</v>
      </c>
      <c r="U147" s="55">
        <f>U144+U145+U146</f>
        <v>0.0</v>
      </c>
      <c r="V147" s="55">
        <f>V144+V145+V146</f>
        <v>0.0</v>
      </c>
      <c r="W147" s="55">
        <f>W144+W145+W146</f>
        <v>0.0</v>
      </c>
      <c r="X147" s="55">
        <f>X144+X145+X146</f>
        <v>0.0</v>
      </c>
      <c r="Y147" s="55">
        <f>Y144+Y145+Y146</f>
        <v>0.0</v>
      </c>
      <c r="Z147" s="55">
        <f>Z144+Z145+Z146</f>
        <v>0.0</v>
      </c>
      <c r="AA147" s="55">
        <f>AA144+AA145+AA146</f>
        <v>0.0</v>
      </c>
      <c r="AB147" s="55">
        <f>AB144+AB145+AB146</f>
        <v>0.0</v>
      </c>
      <c r="AC147" s="55">
        <f>AC144+AC145+AC146</f>
        <v>0.0</v>
      </c>
      <c r="AD147" s="55">
        <f>AD144+AD145+AD146</f>
        <v>0.0</v>
      </c>
      <c r="AE147" s="55">
        <f>AE144+AE145+AE146</f>
        <v>0.0</v>
      </c>
      <c r="AF147" s="55">
        <f>AF144+AF145+AF146</f>
        <v>6500.0</v>
      </c>
      <c r="AG147" s="55">
        <f>AG144+AG145+AG146</f>
        <v>6500.0</v>
      </c>
      <c r="AH147" s="55">
        <f>AH144+AH145+AH146</f>
        <v>6500.0</v>
      </c>
      <c r="AI147" s="55">
        <f>AI144+AI145+AI146</f>
        <v>6500.0</v>
      </c>
      <c r="AJ147" s="55">
        <f>AJ144+AJ145+AJ146</f>
        <v>6500.0</v>
      </c>
      <c r="AK147" s="55">
        <f>AK144+AK145+AK146</f>
        <v>6500.0</v>
      </c>
      <c r="AL147" s="55">
        <f>AL144+AL145+AL146</f>
        <v>6500.0</v>
      </c>
      <c r="AM147" s="55">
        <f>AM144+AM145+AM146</f>
        <v>6500.0</v>
      </c>
      <c r="AN147" s="55">
        <f>AN144+AN145+AN146</f>
        <v>6500.0</v>
      </c>
      <c r="AO147" s="55">
        <f>AO144+AO145+AO146</f>
        <v>6500.0</v>
      </c>
      <c r="AP147" s="55">
        <f>AP144+AP145+AP146</f>
        <v>6500.0</v>
      </c>
      <c r="AQ147" s="55">
        <f>AQ144+AQ145+AQ146</f>
        <v>6500.0</v>
      </c>
      <c r="AR147" s="55">
        <f>AR144+AR145+AR146</f>
        <v>6500.0</v>
      </c>
      <c r="AS147" s="55">
        <f>AS144+AS145+AS146</f>
        <v>6500.0</v>
      </c>
      <c r="AT147" s="55">
        <f>AT144+AT145+AT146</f>
        <v>6500.0</v>
      </c>
      <c r="AU147" s="55">
        <f>AU144+AU145+AU146</f>
        <v>6500.0</v>
      </c>
      <c r="AV147" s="55">
        <f>AV144+AV145+AV146</f>
        <v>6500.0</v>
      </c>
      <c r="AW147" s="55">
        <f>AW144+AW145+AW146</f>
        <v>6500.0</v>
      </c>
      <c r="AX147" s="55">
        <f>AX144+AX145+AX146</f>
        <v>6500.0</v>
      </c>
      <c r="AY147" s="55">
        <f>AY144+AY145+AY146</f>
        <v>6500.0</v>
      </c>
      <c r="AZ147" s="55">
        <f>AZ144+AZ145+AZ146</f>
        <v>6500.0</v>
      </c>
      <c r="BA147" s="55">
        <f>BA144+BA145+BA146</f>
        <v>6500.0</v>
      </c>
    </row>
    <row r="148" spans="1:53" ht="16" outlineLevel="2">
      <c r="A148" s="41" t="s">
        <v>145</v>
      </c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</row>
    <row r="149" spans="1:53" ht="16" outlineLevel="3">
      <c r="A149" s="42" t="s">
        <v>146</v>
      </c>
      <c r="B149" s="53"/>
      <c r="C149" s="53"/>
      <c r="D149" s="54">
        <v>-36379.38</v>
      </c>
      <c r="E149" s="54">
        <v>-57379.38</v>
      </c>
      <c r="F149" s="54">
        <v>-57379.38</v>
      </c>
      <c r="G149" s="54">
        <v>0</v>
      </c>
      <c r="H149" s="54">
        <v>0</v>
      </c>
      <c r="I149" s="54">
        <v>0</v>
      </c>
      <c r="J149" s="54">
        <v>0</v>
      </c>
      <c r="K149" s="54">
        <v>-35000.0</v>
      </c>
      <c r="L149" s="54">
        <v>-35000.0</v>
      </c>
      <c r="M149" s="54">
        <v>-35000.0</v>
      </c>
      <c r="N149" s="54">
        <v>-35000.0</v>
      </c>
      <c r="O149" s="54">
        <v>-71000.0</v>
      </c>
      <c r="P149" s="54">
        <v>-71000.0</v>
      </c>
      <c r="Q149" s="54">
        <v>-71000.0</v>
      </c>
      <c r="R149" s="54">
        <v>-67400.0</v>
      </c>
      <c r="S149" s="54">
        <v>-71400.0</v>
      </c>
      <c r="T149" s="54">
        <v>-71400.0</v>
      </c>
      <c r="U149" s="54">
        <v>-71400.0</v>
      </c>
      <c r="V149" s="54">
        <v>-111400.0</v>
      </c>
      <c r="W149" s="54">
        <v>-111400.0</v>
      </c>
      <c r="X149" s="54">
        <v>-111400.0</v>
      </c>
      <c r="Y149" s="54">
        <v>-111400.0</v>
      </c>
      <c r="Z149" s="54">
        <v>-139923.09</v>
      </c>
      <c r="AA149" s="54">
        <v>-139938.09</v>
      </c>
      <c r="AB149" s="54">
        <v>-139938.09</v>
      </c>
      <c r="AC149" s="54">
        <v>-139938.09</v>
      </c>
      <c r="AD149" s="54">
        <v>-99814.01999999999</v>
      </c>
      <c r="AE149" s="54">
        <v>-99814.01999999999</v>
      </c>
      <c r="AF149" s="54">
        <v>-99814.01999999999</v>
      </c>
      <c r="AG149" s="54">
        <v>-99814.01999999999</v>
      </c>
      <c r="AH149" s="54">
        <v>-99814.01999999999</v>
      </c>
      <c r="AI149" s="54">
        <v>-99814.01999999999</v>
      </c>
      <c r="AJ149" s="54">
        <v>-99814.01999999999</v>
      </c>
      <c r="AK149" s="54">
        <v>-99814.01999999999</v>
      </c>
      <c r="AL149" s="54">
        <v>-99814.01999999999</v>
      </c>
      <c r="AM149" s="54">
        <v>-99814.01999999999</v>
      </c>
      <c r="AN149" s="54">
        <v>-106860.19999999998</v>
      </c>
      <c r="AO149" s="54">
        <v>-106860.19999999998</v>
      </c>
      <c r="AP149" s="54">
        <v>-7046.1799999999785</v>
      </c>
      <c r="AQ149" s="54">
        <v>-7046.1799999999785</v>
      </c>
      <c r="AR149" s="54">
        <v>-7046.1799999999785</v>
      </c>
      <c r="AS149" s="54">
        <v>-7046.1799999999785</v>
      </c>
      <c r="AT149" s="54">
        <v>-7046.1799999999785</v>
      </c>
      <c r="AU149" s="54">
        <v>-7046.1799999999785</v>
      </c>
      <c r="AV149" s="54">
        <v>-7046.1799999999785</v>
      </c>
      <c r="AW149" s="54">
        <v>-7046.1799999999785</v>
      </c>
      <c r="AX149" s="54">
        <v>-7046.1799999999785</v>
      </c>
      <c r="AY149" s="54">
        <v>-7046.1799999999785</v>
      </c>
      <c r="AZ149" s="54">
        <v>-7046.1799999999785</v>
      </c>
      <c r="BA149" s="54">
        <v>-7046.1799999999785</v>
      </c>
    </row>
    <row r="150" spans="1:53" ht="16" outlineLevel="3">
      <c r="A150" s="42" t="s">
        <v>147</v>
      </c>
      <c r="B150" s="53"/>
      <c r="C150" s="53"/>
      <c r="D150" s="54">
        <v>-8500.0</v>
      </c>
      <c r="E150" s="54">
        <v>-27125.0</v>
      </c>
      <c r="F150" s="54">
        <v>-27129.0</v>
      </c>
      <c r="G150" s="54">
        <v>0</v>
      </c>
      <c r="H150" s="54">
        <v>-3600.0</v>
      </c>
      <c r="I150" s="54">
        <v>-3600.0</v>
      </c>
      <c r="J150" s="54">
        <v>-3600.0</v>
      </c>
      <c r="K150" s="54">
        <v>-66751.0</v>
      </c>
      <c r="L150" s="54">
        <v>-66751.0</v>
      </c>
      <c r="M150" s="54">
        <v>-66751.0</v>
      </c>
      <c r="N150" s="54">
        <v>-66751.0</v>
      </c>
      <c r="O150" s="54">
        <v>-111751.0</v>
      </c>
      <c r="P150" s="54">
        <v>-111751.0</v>
      </c>
      <c r="Q150" s="54">
        <v>-111751.0</v>
      </c>
      <c r="R150" s="54">
        <v>-113051.0</v>
      </c>
      <c r="S150" s="54">
        <v>-113051.0</v>
      </c>
      <c r="T150" s="54">
        <v>-113051.0</v>
      </c>
      <c r="U150" s="54">
        <v>-101051.0</v>
      </c>
      <c r="V150" s="54">
        <v>-121051.0</v>
      </c>
      <c r="W150" s="54">
        <v>-91051.0</v>
      </c>
      <c r="X150" s="54">
        <v>-116051.0</v>
      </c>
      <c r="Y150" s="54">
        <v>-116051.0</v>
      </c>
      <c r="Z150" s="54">
        <v>-116051.0</v>
      </c>
      <c r="AA150" s="54">
        <v>-119551.0</v>
      </c>
      <c r="AB150" s="54">
        <v>-135815.9</v>
      </c>
      <c r="AC150" s="54">
        <v>-135815.9</v>
      </c>
      <c r="AD150" s="54">
        <v>-120344.15999999999</v>
      </c>
      <c r="AE150" s="54">
        <v>-120344.15999999999</v>
      </c>
      <c r="AF150" s="54">
        <v>-120344.15999999999</v>
      </c>
      <c r="AG150" s="54">
        <v>-120344.15999999999</v>
      </c>
      <c r="AH150" s="54">
        <v>-120344.15999999999</v>
      </c>
      <c r="AI150" s="54">
        <v>-120344.15999999999</v>
      </c>
      <c r="AJ150" s="54">
        <v>-120344.15999999999</v>
      </c>
      <c r="AK150" s="54">
        <v>-120344.15999999999</v>
      </c>
      <c r="AL150" s="54">
        <v>-120344.15999999999</v>
      </c>
      <c r="AM150" s="54">
        <v>-120344.15999999999</v>
      </c>
      <c r="AN150" s="54">
        <v>-120344.15999999999</v>
      </c>
      <c r="AO150" s="54">
        <v>-122770.35999999999</v>
      </c>
      <c r="AP150" s="54">
        <v>-2426.1999999999825</v>
      </c>
      <c r="AQ150" s="54">
        <v>-2426.1999999999825</v>
      </c>
      <c r="AR150" s="54">
        <v>-2426.1999999999825</v>
      </c>
      <c r="AS150" s="54">
        <v>-2426.1999999999825</v>
      </c>
      <c r="AT150" s="54">
        <v>-2426.1999999999825</v>
      </c>
      <c r="AU150" s="54">
        <v>-2426.1999999999825</v>
      </c>
      <c r="AV150" s="54">
        <v>-2426.1999999999825</v>
      </c>
      <c r="AW150" s="54">
        <v>-2426.1999999999825</v>
      </c>
      <c r="AX150" s="54">
        <v>-12426.199999999983</v>
      </c>
      <c r="AY150" s="54">
        <v>-12426.199999999983</v>
      </c>
      <c r="AZ150" s="54">
        <v>-12426.199999999983</v>
      </c>
      <c r="BA150" s="54">
        <v>-41796.69999999998</v>
      </c>
    </row>
    <row r="151" spans="1:53" ht="16" outlineLevel="3">
      <c r="A151" s="42" t="s">
        <v>148</v>
      </c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4">
        <v>-16016.32</v>
      </c>
      <c r="AA151" s="54">
        <v>-23500.95</v>
      </c>
      <c r="AB151" s="54">
        <v>-33404.8</v>
      </c>
      <c r="AC151" s="54">
        <v>-39347.11</v>
      </c>
      <c r="AD151" s="54">
        <v>-41327.88</v>
      </c>
      <c r="AE151" s="54">
        <v>-41327.88</v>
      </c>
      <c r="AF151" s="54">
        <v>-41327.88</v>
      </c>
      <c r="AG151" s="54">
        <v>-41327.88</v>
      </c>
      <c r="AH151" s="54">
        <v>-41327.88</v>
      </c>
      <c r="AI151" s="54">
        <v>-41327.88</v>
      </c>
      <c r="AJ151" s="54">
        <v>-41327.88</v>
      </c>
      <c r="AK151" s="54">
        <v>-41327.88</v>
      </c>
      <c r="AL151" s="54">
        <v>-41327.88</v>
      </c>
      <c r="AM151" s="54">
        <v>-41327.88</v>
      </c>
      <c r="AN151" s="54">
        <v>-41327.88</v>
      </c>
      <c r="AO151" s="54">
        <v>-41327.88</v>
      </c>
      <c r="AP151" s="54">
        <v>0</v>
      </c>
      <c r="AQ151" s="54">
        <v>0</v>
      </c>
      <c r="AR151" s="54">
        <v>0</v>
      </c>
      <c r="AS151" s="54">
        <v>0</v>
      </c>
      <c r="AT151" s="54">
        <v>0</v>
      </c>
      <c r="AU151" s="54">
        <v>0</v>
      </c>
      <c r="AV151" s="54">
        <v>0</v>
      </c>
      <c r="AW151" s="54">
        <v>0</v>
      </c>
      <c r="AX151" s="54">
        <v>0</v>
      </c>
      <c r="AY151" s="54">
        <v>0</v>
      </c>
      <c r="AZ151" s="54">
        <v>0</v>
      </c>
      <c r="BA151" s="54">
        <v>-29370.5</v>
      </c>
    </row>
    <row r="152" spans="1:53" ht="16" outlineLevel="2">
      <c r="A152" s="43" t="s">
        <v>149</v>
      </c>
      <c r="B152" s="55"/>
      <c r="C152" s="55"/>
      <c r="D152" s="55">
        <f>D148+D149+D150+D151</f>
        <v>-44879.38</v>
      </c>
      <c r="E152" s="55">
        <f>E148+E149+E150+E151</f>
        <v>-84504.38</v>
      </c>
      <c r="F152" s="55">
        <f>F148+F149+F150+F151</f>
        <v>-84508.38</v>
      </c>
      <c r="G152" s="55">
        <f>G148+G149+G150+G151</f>
        <v>0.0</v>
      </c>
      <c r="H152" s="55">
        <f>H148+H149+H150+H151</f>
        <v>-3600.0</v>
      </c>
      <c r="I152" s="55">
        <f>I148+I149+I150+I151</f>
        <v>-3600.0</v>
      </c>
      <c r="J152" s="55">
        <f>J148+J149+J150+J151</f>
        <v>-3600.0</v>
      </c>
      <c r="K152" s="55">
        <f>K148+K149+K150+K151</f>
        <v>-101751.0</v>
      </c>
      <c r="L152" s="55">
        <f>L148+L149+L150+L151</f>
        <v>-101751.0</v>
      </c>
      <c r="M152" s="55">
        <f>M148+M149+M150+M151</f>
        <v>-101751.0</v>
      </c>
      <c r="N152" s="55">
        <f>N148+N149+N150+N151</f>
        <v>-101751.0</v>
      </c>
      <c r="O152" s="55">
        <f>O148+O149+O150+O151</f>
        <v>-182751.0</v>
      </c>
      <c r="P152" s="55">
        <f>P148+P149+P150+P151</f>
        <v>-182751.0</v>
      </c>
      <c r="Q152" s="55">
        <f>Q148+Q149+Q150+Q151</f>
        <v>-182751.0</v>
      </c>
      <c r="R152" s="55">
        <f>R148+R149+R150+R151</f>
        <v>-180451.0</v>
      </c>
      <c r="S152" s="55">
        <f>S148+S149+S150+S151</f>
        <v>-184451.0</v>
      </c>
      <c r="T152" s="55">
        <f>T148+T149+T150+T151</f>
        <v>-184451.0</v>
      </c>
      <c r="U152" s="55">
        <f>U148+U149+U150+U151</f>
        <v>-172451.0</v>
      </c>
      <c r="V152" s="55">
        <f>V148+V149+V150+V151</f>
        <v>-232451.0</v>
      </c>
      <c r="W152" s="55">
        <f>W148+W149+W150+W151</f>
        <v>-202451.0</v>
      </c>
      <c r="X152" s="55">
        <f>X148+X149+X150+X151</f>
        <v>-227451.0</v>
      </c>
      <c r="Y152" s="55">
        <f>Y148+Y149+Y150+Y151</f>
        <v>-227451.0</v>
      </c>
      <c r="Z152" s="55">
        <f>Z148+Z149+Z150+Z151</f>
        <v>-271990.41</v>
      </c>
      <c r="AA152" s="55">
        <f>AA148+AA149+AA150+AA151</f>
        <v>-282990.04</v>
      </c>
      <c r="AB152" s="55">
        <f>AB148+AB149+AB150+AB151</f>
        <v>-309158.79</v>
      </c>
      <c r="AC152" s="55">
        <f>AC148+AC149+AC150+AC151</f>
        <v>-315101.1</v>
      </c>
      <c r="AD152" s="55">
        <f>AD148+AD149+AD150+AD151</f>
        <v>-261486.06</v>
      </c>
      <c r="AE152" s="55">
        <f>AE148+AE149+AE150+AE151</f>
        <v>-261486.06</v>
      </c>
      <c r="AF152" s="55">
        <f>AF148+AF149+AF150+AF151</f>
        <v>-261486.06</v>
      </c>
      <c r="AG152" s="55">
        <f>AG148+AG149+AG150+AG151</f>
        <v>-261486.06</v>
      </c>
      <c r="AH152" s="55">
        <f>AH148+AH149+AH150+AH151</f>
        <v>-261486.06</v>
      </c>
      <c r="AI152" s="55">
        <f>AI148+AI149+AI150+AI151</f>
        <v>-261486.06</v>
      </c>
      <c r="AJ152" s="55">
        <f>AJ148+AJ149+AJ150+AJ151</f>
        <v>-261486.06</v>
      </c>
      <c r="AK152" s="55">
        <f>AK148+AK149+AK150+AK151</f>
        <v>-261486.06</v>
      </c>
      <c r="AL152" s="55">
        <f>AL148+AL149+AL150+AL151</f>
        <v>-261486.06</v>
      </c>
      <c r="AM152" s="55">
        <f>AM148+AM149+AM150+AM151</f>
        <v>-261486.06</v>
      </c>
      <c r="AN152" s="55">
        <f>AN148+AN149+AN150+AN151</f>
        <v>-268532.24</v>
      </c>
      <c r="AO152" s="55">
        <f>AO148+AO149+AO150+AO151</f>
        <v>-270958.43999999994</v>
      </c>
      <c r="AP152" s="55">
        <f>AP148+AP149+AP150+AP151</f>
        <v>-9472.379999999961</v>
      </c>
      <c r="AQ152" s="55">
        <f>AQ148+AQ149+AQ150+AQ151</f>
        <v>-9472.379999999961</v>
      </c>
      <c r="AR152" s="55">
        <f>AR148+AR149+AR150+AR151</f>
        <v>-9472.379999999961</v>
      </c>
      <c r="AS152" s="55">
        <f>AS148+AS149+AS150+AS151</f>
        <v>-9472.379999999961</v>
      </c>
      <c r="AT152" s="55">
        <f>AT148+AT149+AT150+AT151</f>
        <v>-9472.379999999961</v>
      </c>
      <c r="AU152" s="55">
        <f>AU148+AU149+AU150+AU151</f>
        <v>-9472.379999999961</v>
      </c>
      <c r="AV152" s="55">
        <f>AV148+AV149+AV150+AV151</f>
        <v>-9472.379999999961</v>
      </c>
      <c r="AW152" s="55">
        <f>AW148+AW149+AW150+AW151</f>
        <v>-9472.379999999961</v>
      </c>
      <c r="AX152" s="55">
        <f>AX148+AX149+AX150+AX151</f>
        <v>-19472.37999999996</v>
      </c>
      <c r="AY152" s="55">
        <f>AY148+AY149+AY150+AY151</f>
        <v>-19472.37999999996</v>
      </c>
      <c r="AZ152" s="55">
        <f>AZ148+AZ149+AZ150+AZ151</f>
        <v>-19472.37999999996</v>
      </c>
      <c r="BA152" s="55">
        <f>BA148+BA149+BA150+BA151</f>
        <v>-78213.37999999996</v>
      </c>
    </row>
    <row r="153" spans="1:53" ht="16" outlineLevel="2">
      <c r="A153" s="41" t="s">
        <v>150</v>
      </c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</row>
    <row r="154" spans="1:53" ht="16" outlineLevel="3">
      <c r="A154" s="42" t="s">
        <v>151</v>
      </c>
      <c r="B154" s="53"/>
      <c r="C154" s="53"/>
      <c r="D154" s="53"/>
      <c r="E154" s="53"/>
      <c r="F154" s="53"/>
      <c r="G154" s="54">
        <v>35755.61</v>
      </c>
      <c r="H154" s="54">
        <v>35755.61</v>
      </c>
      <c r="I154" s="54">
        <v>35755.61</v>
      </c>
      <c r="J154" s="54">
        <v>35755.61</v>
      </c>
      <c r="K154" s="54">
        <v>35755.61</v>
      </c>
      <c r="L154" s="54">
        <v>35755.61</v>
      </c>
      <c r="M154" s="54">
        <v>35755.61</v>
      </c>
      <c r="N154" s="54">
        <v>35755.61</v>
      </c>
      <c r="O154" s="54">
        <v>35755.61</v>
      </c>
      <c r="P154" s="54">
        <v>35755.61</v>
      </c>
      <c r="Q154" s="54">
        <v>35755.61</v>
      </c>
      <c r="R154" s="54">
        <v>35755.61</v>
      </c>
      <c r="S154" s="54">
        <v>35755.61</v>
      </c>
      <c r="T154" s="54">
        <v>35755.61</v>
      </c>
      <c r="U154" s="54">
        <v>35755.61</v>
      </c>
      <c r="V154" s="54">
        <v>35755.61</v>
      </c>
      <c r="W154" s="54">
        <v>35755.61</v>
      </c>
      <c r="X154" s="54">
        <v>35755.61</v>
      </c>
      <c r="Y154" s="54">
        <v>35755.61</v>
      </c>
      <c r="Z154" s="54">
        <v>35755.61</v>
      </c>
      <c r="AA154" s="54">
        <v>35755.61</v>
      </c>
      <c r="AB154" s="54">
        <v>35755.61</v>
      </c>
      <c r="AC154" s="54">
        <v>35755.61</v>
      </c>
      <c r="AD154" s="54">
        <v>35755.61</v>
      </c>
      <c r="AE154" s="54">
        <v>35755.61</v>
      </c>
      <c r="AF154" s="54">
        <v>35755.61</v>
      </c>
      <c r="AG154" s="54">
        <v>35755.61</v>
      </c>
      <c r="AH154" s="54">
        <v>35755.61</v>
      </c>
      <c r="AI154" s="54">
        <v>35755.61</v>
      </c>
      <c r="AJ154" s="54">
        <v>35755.61</v>
      </c>
      <c r="AK154" s="54">
        <v>35755.61</v>
      </c>
      <c r="AL154" s="54">
        <v>35755.61</v>
      </c>
      <c r="AM154" s="54">
        <v>35755.61</v>
      </c>
      <c r="AN154" s="54">
        <v>35755.61</v>
      </c>
      <c r="AO154" s="54">
        <v>35755.61</v>
      </c>
      <c r="AP154" s="54">
        <v>0</v>
      </c>
      <c r="AQ154" s="54">
        <v>0</v>
      </c>
      <c r="AR154" s="54">
        <v>0</v>
      </c>
      <c r="AS154" s="54">
        <v>0</v>
      </c>
      <c r="AT154" s="54">
        <v>0</v>
      </c>
      <c r="AU154" s="54">
        <v>0</v>
      </c>
      <c r="AV154" s="54">
        <v>0</v>
      </c>
      <c r="AW154" s="54">
        <v>0</v>
      </c>
      <c r="AX154" s="54">
        <v>0</v>
      </c>
      <c r="AY154" s="54">
        <v>0</v>
      </c>
      <c r="AZ154" s="54">
        <v>0</v>
      </c>
      <c r="BA154" s="54">
        <v>0</v>
      </c>
    </row>
    <row r="155" spans="1:53" ht="16" outlineLevel="3">
      <c r="A155" s="42" t="s">
        <v>152</v>
      </c>
      <c r="B155" s="53"/>
      <c r="C155" s="53"/>
      <c r="D155" s="53"/>
      <c r="E155" s="53"/>
      <c r="F155" s="53"/>
      <c r="G155" s="54">
        <v>63795.91</v>
      </c>
      <c r="H155" s="54">
        <v>63795.91</v>
      </c>
      <c r="I155" s="54">
        <v>63795.91</v>
      </c>
      <c r="J155" s="54">
        <v>63795.91</v>
      </c>
      <c r="K155" s="54">
        <v>63795.91</v>
      </c>
      <c r="L155" s="54">
        <v>63795.91</v>
      </c>
      <c r="M155" s="54">
        <v>63795.91</v>
      </c>
      <c r="N155" s="54">
        <v>63795.91</v>
      </c>
      <c r="O155" s="54">
        <v>63795.91</v>
      </c>
      <c r="P155" s="54">
        <v>63795.91</v>
      </c>
      <c r="Q155" s="54">
        <v>63795.91</v>
      </c>
      <c r="R155" s="54">
        <v>63795.91</v>
      </c>
      <c r="S155" s="54">
        <v>63795.91</v>
      </c>
      <c r="T155" s="54">
        <v>63795.91</v>
      </c>
      <c r="U155" s="54">
        <v>63795.91</v>
      </c>
      <c r="V155" s="54">
        <v>63795.91</v>
      </c>
      <c r="W155" s="54">
        <v>63795.91</v>
      </c>
      <c r="X155" s="54">
        <v>63795.91</v>
      </c>
      <c r="Y155" s="54">
        <v>63795.91</v>
      </c>
      <c r="Z155" s="54">
        <v>63795.91</v>
      </c>
      <c r="AA155" s="54">
        <v>63795.91</v>
      </c>
      <c r="AB155" s="54">
        <v>63795.91</v>
      </c>
      <c r="AC155" s="54">
        <v>63795.91</v>
      </c>
      <c r="AD155" s="54">
        <v>63795.91</v>
      </c>
      <c r="AE155" s="54">
        <v>63795.91</v>
      </c>
      <c r="AF155" s="54">
        <v>63795.91</v>
      </c>
      <c r="AG155" s="54">
        <v>63795.91</v>
      </c>
      <c r="AH155" s="54">
        <v>63795.91</v>
      </c>
      <c r="AI155" s="54">
        <v>63795.91</v>
      </c>
      <c r="AJ155" s="54">
        <v>63795.91</v>
      </c>
      <c r="AK155" s="54">
        <v>63795.91</v>
      </c>
      <c r="AL155" s="54">
        <v>63795.91</v>
      </c>
      <c r="AM155" s="54">
        <v>63795.91</v>
      </c>
      <c r="AN155" s="54">
        <v>63795.91</v>
      </c>
      <c r="AO155" s="54">
        <v>63795.91</v>
      </c>
      <c r="AP155" s="54">
        <v>0</v>
      </c>
      <c r="AQ155" s="54">
        <v>0</v>
      </c>
      <c r="AR155" s="54">
        <v>0</v>
      </c>
      <c r="AS155" s="54">
        <v>0</v>
      </c>
      <c r="AT155" s="54">
        <v>0</v>
      </c>
      <c r="AU155" s="54">
        <v>0</v>
      </c>
      <c r="AV155" s="54">
        <v>0</v>
      </c>
      <c r="AW155" s="54">
        <v>0</v>
      </c>
      <c r="AX155" s="54">
        <v>0</v>
      </c>
      <c r="AY155" s="54">
        <v>0</v>
      </c>
      <c r="AZ155" s="54">
        <v>0</v>
      </c>
      <c r="BA155" s="54">
        <v>0</v>
      </c>
    </row>
    <row r="156" spans="1:53" ht="16" outlineLevel="3">
      <c r="A156" s="42" t="s">
        <v>153</v>
      </c>
      <c r="B156" s="53"/>
      <c r="C156" s="53"/>
      <c r="D156" s="53"/>
      <c r="E156" s="53"/>
      <c r="F156" s="53"/>
      <c r="G156" s="54">
        <v>66252.03</v>
      </c>
      <c r="H156" s="54">
        <v>66252.03</v>
      </c>
      <c r="I156" s="54">
        <v>66252.03</v>
      </c>
      <c r="J156" s="54">
        <v>66252.03</v>
      </c>
      <c r="K156" s="54">
        <v>66252.03</v>
      </c>
      <c r="L156" s="54">
        <v>66252.03</v>
      </c>
      <c r="M156" s="54">
        <v>66252.03</v>
      </c>
      <c r="N156" s="54">
        <v>66252.03</v>
      </c>
      <c r="O156" s="54">
        <v>66252.03</v>
      </c>
      <c r="P156" s="54">
        <v>66252.03</v>
      </c>
      <c r="Q156" s="54">
        <v>66252.03</v>
      </c>
      <c r="R156" s="54">
        <v>66252.03</v>
      </c>
      <c r="S156" s="54">
        <v>66252.03</v>
      </c>
      <c r="T156" s="54">
        <v>66252.03</v>
      </c>
      <c r="U156" s="54">
        <v>66252.03</v>
      </c>
      <c r="V156" s="54">
        <v>66252.03</v>
      </c>
      <c r="W156" s="54">
        <v>66252.03</v>
      </c>
      <c r="X156" s="54">
        <v>66252.03</v>
      </c>
      <c r="Y156" s="54">
        <v>66252.03</v>
      </c>
      <c r="Z156" s="54">
        <v>66252.03</v>
      </c>
      <c r="AA156" s="54">
        <v>66252.03</v>
      </c>
      <c r="AB156" s="54">
        <v>66252.03</v>
      </c>
      <c r="AC156" s="54">
        <v>66252.03</v>
      </c>
      <c r="AD156" s="54">
        <v>66252.03</v>
      </c>
      <c r="AE156" s="54">
        <v>66252.03</v>
      </c>
      <c r="AF156" s="54">
        <v>66252.03</v>
      </c>
      <c r="AG156" s="54">
        <v>66252.03</v>
      </c>
      <c r="AH156" s="54">
        <v>66252.03</v>
      </c>
      <c r="AI156" s="54">
        <v>66252.03</v>
      </c>
      <c r="AJ156" s="54">
        <v>66252.03</v>
      </c>
      <c r="AK156" s="54">
        <v>66252.03</v>
      </c>
      <c r="AL156" s="54">
        <v>66252.03</v>
      </c>
      <c r="AM156" s="54">
        <v>66252.03</v>
      </c>
      <c r="AN156" s="54">
        <v>66252.03</v>
      </c>
      <c r="AO156" s="54">
        <v>66252.03</v>
      </c>
      <c r="AP156" s="54">
        <v>0</v>
      </c>
      <c r="AQ156" s="54">
        <v>0</v>
      </c>
      <c r="AR156" s="54">
        <v>0</v>
      </c>
      <c r="AS156" s="54">
        <v>0</v>
      </c>
      <c r="AT156" s="54">
        <v>0</v>
      </c>
      <c r="AU156" s="54">
        <v>0</v>
      </c>
      <c r="AV156" s="54">
        <v>0</v>
      </c>
      <c r="AW156" s="54">
        <v>0</v>
      </c>
      <c r="AX156" s="54">
        <v>0</v>
      </c>
      <c r="AY156" s="54">
        <v>0</v>
      </c>
      <c r="AZ156" s="54">
        <v>0</v>
      </c>
      <c r="BA156" s="54">
        <v>0</v>
      </c>
    </row>
    <row r="157" spans="1:53" ht="16" outlineLevel="2">
      <c r="A157" s="43" t="s">
        <v>154</v>
      </c>
      <c r="B157" s="55"/>
      <c r="C157" s="55"/>
      <c r="D157" s="55"/>
      <c r="E157" s="55"/>
      <c r="F157" s="55"/>
      <c r="G157" s="55">
        <f>G153+G154+G155+G156</f>
        <v>165803.55</v>
      </c>
      <c r="H157" s="55">
        <f>H153+H154+H155+H156</f>
        <v>165803.55</v>
      </c>
      <c r="I157" s="55">
        <f>I153+I154+I155+I156</f>
        <v>165803.55</v>
      </c>
      <c r="J157" s="55">
        <f>J153+J154+J155+J156</f>
        <v>165803.55</v>
      </c>
      <c r="K157" s="55">
        <f>K153+K154+K155+K156</f>
        <v>165803.55</v>
      </c>
      <c r="L157" s="55">
        <f>L153+L154+L155+L156</f>
        <v>165803.55</v>
      </c>
      <c r="M157" s="55">
        <f>M153+M154+M155+M156</f>
        <v>165803.55</v>
      </c>
      <c r="N157" s="55">
        <f>N153+N154+N155+N156</f>
        <v>165803.55</v>
      </c>
      <c r="O157" s="55">
        <f>O153+O154+O155+O156</f>
        <v>165803.55</v>
      </c>
      <c r="P157" s="55">
        <f>P153+P154+P155+P156</f>
        <v>165803.55</v>
      </c>
      <c r="Q157" s="55">
        <f>Q153+Q154+Q155+Q156</f>
        <v>165803.55</v>
      </c>
      <c r="R157" s="55">
        <f>R153+R154+R155+R156</f>
        <v>165803.55</v>
      </c>
      <c r="S157" s="55">
        <f>S153+S154+S155+S156</f>
        <v>165803.55</v>
      </c>
      <c r="T157" s="55">
        <f>T153+T154+T155+T156</f>
        <v>165803.55</v>
      </c>
      <c r="U157" s="55">
        <f>U153+U154+U155+U156</f>
        <v>165803.55</v>
      </c>
      <c r="V157" s="55">
        <f>V153+V154+V155+V156</f>
        <v>165803.55</v>
      </c>
      <c r="W157" s="55">
        <f>W153+W154+W155+W156</f>
        <v>165803.55</v>
      </c>
      <c r="X157" s="55">
        <f>X153+X154+X155+X156</f>
        <v>165803.55</v>
      </c>
      <c r="Y157" s="55">
        <f>Y153+Y154+Y155+Y156</f>
        <v>165803.55</v>
      </c>
      <c r="Z157" s="55">
        <f>Z153+Z154+Z155+Z156</f>
        <v>165803.55</v>
      </c>
      <c r="AA157" s="55">
        <f>AA153+AA154+AA155+AA156</f>
        <v>165803.55</v>
      </c>
      <c r="AB157" s="55">
        <f>AB153+AB154+AB155+AB156</f>
        <v>165803.55</v>
      </c>
      <c r="AC157" s="55">
        <f>AC153+AC154+AC155+AC156</f>
        <v>165803.55</v>
      </c>
      <c r="AD157" s="55">
        <f>AD153+AD154+AD155+AD156</f>
        <v>165803.55</v>
      </c>
      <c r="AE157" s="55">
        <f>AE153+AE154+AE155+AE156</f>
        <v>165803.55</v>
      </c>
      <c r="AF157" s="55">
        <f>AF153+AF154+AF155+AF156</f>
        <v>165803.55</v>
      </c>
      <c r="AG157" s="55">
        <f>AG153+AG154+AG155+AG156</f>
        <v>165803.55</v>
      </c>
      <c r="AH157" s="55">
        <f>AH153+AH154+AH155+AH156</f>
        <v>165803.55</v>
      </c>
      <c r="AI157" s="55">
        <f>AI153+AI154+AI155+AI156</f>
        <v>165803.55</v>
      </c>
      <c r="AJ157" s="55">
        <f>AJ153+AJ154+AJ155+AJ156</f>
        <v>165803.55</v>
      </c>
      <c r="AK157" s="55">
        <f>AK153+AK154+AK155+AK156</f>
        <v>165803.55</v>
      </c>
      <c r="AL157" s="55">
        <f>AL153+AL154+AL155+AL156</f>
        <v>165803.55</v>
      </c>
      <c r="AM157" s="55">
        <f>AM153+AM154+AM155+AM156</f>
        <v>165803.55</v>
      </c>
      <c r="AN157" s="55">
        <f>AN153+AN154+AN155+AN156</f>
        <v>165803.55</v>
      </c>
      <c r="AO157" s="55">
        <f>AO153+AO154+AO155+AO156</f>
        <v>165803.55</v>
      </c>
      <c r="AP157" s="55">
        <f>AP153+AP154+AP155+AP156</f>
        <v>0.0</v>
      </c>
      <c r="AQ157" s="55">
        <f>AQ153+AQ154+AQ155+AQ156</f>
        <v>0.0</v>
      </c>
      <c r="AR157" s="55">
        <f>AR153+AR154+AR155+AR156</f>
        <v>0.0</v>
      </c>
      <c r="AS157" s="55">
        <f>AS153+AS154+AS155+AS156</f>
        <v>0.0</v>
      </c>
      <c r="AT157" s="55">
        <f>AT153+AT154+AT155+AT156</f>
        <v>0.0</v>
      </c>
      <c r="AU157" s="55">
        <f>AU153+AU154+AU155+AU156</f>
        <v>0.0</v>
      </c>
      <c r="AV157" s="55">
        <f>AV153+AV154+AV155+AV156</f>
        <v>0.0</v>
      </c>
      <c r="AW157" s="55">
        <f>AW153+AW154+AW155+AW156</f>
        <v>0.0</v>
      </c>
      <c r="AX157" s="55">
        <f>AX153+AX154+AX155+AX156</f>
        <v>0.0</v>
      </c>
      <c r="AY157" s="55">
        <f>AY153+AY154+AY155+AY156</f>
        <v>0.0</v>
      </c>
      <c r="AZ157" s="55">
        <f>AZ153+AZ154+AZ155+AZ156</f>
        <v>0.0</v>
      </c>
      <c r="BA157" s="55">
        <f>BA153+BA154+BA155+BA156</f>
        <v>0.0</v>
      </c>
    </row>
    <row r="158" spans="1:53" ht="16" outlineLevel="2">
      <c r="A158" s="41" t="s">
        <v>155</v>
      </c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</row>
    <row r="159" spans="1:53" ht="16" outlineLevel="3">
      <c r="A159" s="42" t="s">
        <v>156</v>
      </c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4">
        <v>2000.0</v>
      </c>
      <c r="S159" s="54">
        <v>2000.0</v>
      </c>
      <c r="T159" s="54">
        <v>2000.0</v>
      </c>
      <c r="U159" s="54">
        <v>2000.0</v>
      </c>
      <c r="V159" s="54">
        <v>2000.0</v>
      </c>
      <c r="W159" s="54">
        <v>2000.0</v>
      </c>
      <c r="X159" s="54">
        <v>2000.0</v>
      </c>
      <c r="Y159" s="54">
        <v>2000.0</v>
      </c>
      <c r="Z159" s="54">
        <v>2000.0</v>
      </c>
      <c r="AA159" s="54">
        <v>2000.0</v>
      </c>
      <c r="AB159" s="54">
        <v>2000.0</v>
      </c>
      <c r="AC159" s="54">
        <v>2000.0</v>
      </c>
      <c r="AD159" s="54">
        <v>2000.0</v>
      </c>
      <c r="AE159" s="54">
        <v>2000.0</v>
      </c>
      <c r="AF159" s="54">
        <v>2000.0</v>
      </c>
      <c r="AG159" s="54">
        <v>2000.0</v>
      </c>
      <c r="AH159" s="54">
        <v>2000.0</v>
      </c>
      <c r="AI159" s="54">
        <v>2000.0</v>
      </c>
      <c r="AJ159" s="54">
        <v>2000.0</v>
      </c>
      <c r="AK159" s="54">
        <v>2000.0</v>
      </c>
      <c r="AL159" s="54">
        <v>2000.0</v>
      </c>
      <c r="AM159" s="54">
        <v>2000.0</v>
      </c>
      <c r="AN159" s="54">
        <v>2000.0</v>
      </c>
      <c r="AO159" s="54">
        <v>2000.0</v>
      </c>
      <c r="AP159" s="54">
        <v>2000.0</v>
      </c>
      <c r="AQ159" s="54">
        <v>2000.0</v>
      </c>
      <c r="AR159" s="54">
        <v>2000.0</v>
      </c>
      <c r="AS159" s="54">
        <v>2000.0</v>
      </c>
      <c r="AT159" s="54">
        <v>2000.0</v>
      </c>
      <c r="AU159" s="54">
        <v>2000.0</v>
      </c>
      <c r="AV159" s="54">
        <v>2000.0</v>
      </c>
      <c r="AW159" s="54">
        <v>2000.0</v>
      </c>
      <c r="AX159" s="54">
        <v>2000.0</v>
      </c>
      <c r="AY159" s="54">
        <v>2000.0</v>
      </c>
      <c r="AZ159" s="54">
        <v>2000.0</v>
      </c>
      <c r="BA159" s="54">
        <v>2000.0</v>
      </c>
    </row>
    <row r="160" spans="1:53" ht="16" outlineLevel="3">
      <c r="A160" s="42" t="s">
        <v>157</v>
      </c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4">
        <v>500.0</v>
      </c>
      <c r="S160" s="54">
        <v>500.0</v>
      </c>
      <c r="T160" s="54">
        <v>500.0</v>
      </c>
      <c r="U160" s="54">
        <v>500.0</v>
      </c>
      <c r="V160" s="54">
        <v>500.0</v>
      </c>
      <c r="W160" s="54">
        <v>500.0</v>
      </c>
      <c r="X160" s="54">
        <v>500.0</v>
      </c>
      <c r="Y160" s="54">
        <v>500.0</v>
      </c>
      <c r="Z160" s="54">
        <v>500.0</v>
      </c>
      <c r="AA160" s="54">
        <v>500.0</v>
      </c>
      <c r="AB160" s="54">
        <v>500.0</v>
      </c>
      <c r="AC160" s="54">
        <v>500.0</v>
      </c>
      <c r="AD160" s="54">
        <v>500.0</v>
      </c>
      <c r="AE160" s="54">
        <v>500.0</v>
      </c>
      <c r="AF160" s="54">
        <v>500.0</v>
      </c>
      <c r="AG160" s="54">
        <v>500.0</v>
      </c>
      <c r="AH160" s="54">
        <v>500.0</v>
      </c>
      <c r="AI160" s="54">
        <v>500.0</v>
      </c>
      <c r="AJ160" s="54">
        <v>500.0</v>
      </c>
      <c r="AK160" s="54">
        <v>500.0</v>
      </c>
      <c r="AL160" s="54">
        <v>500.0</v>
      </c>
      <c r="AM160" s="54">
        <v>500.0</v>
      </c>
      <c r="AN160" s="54">
        <v>500.0</v>
      </c>
      <c r="AO160" s="54">
        <v>500.0</v>
      </c>
      <c r="AP160" s="54">
        <v>500.0</v>
      </c>
      <c r="AQ160" s="54">
        <v>500.0</v>
      </c>
      <c r="AR160" s="54">
        <v>500.0</v>
      </c>
      <c r="AS160" s="54">
        <v>500.0</v>
      </c>
      <c r="AT160" s="54">
        <v>500.0</v>
      </c>
      <c r="AU160" s="54">
        <v>500.0</v>
      </c>
      <c r="AV160" s="54">
        <v>500.0</v>
      </c>
      <c r="AW160" s="54">
        <v>500.0</v>
      </c>
      <c r="AX160" s="54">
        <v>500.0</v>
      </c>
      <c r="AY160" s="54">
        <v>500.0</v>
      </c>
      <c r="AZ160" s="54">
        <v>500.0</v>
      </c>
      <c r="BA160" s="54">
        <v>500.0</v>
      </c>
    </row>
    <row r="161" spans="1:53" ht="16" outlineLevel="3">
      <c r="A161" s="42" t="s">
        <v>158</v>
      </c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4">
        <v>4500.0</v>
      </c>
      <c r="S161" s="54">
        <v>4500.0</v>
      </c>
      <c r="T161" s="54">
        <v>4500.0</v>
      </c>
      <c r="U161" s="54">
        <v>4500.0</v>
      </c>
      <c r="V161" s="54">
        <v>4500.0</v>
      </c>
      <c r="W161" s="54">
        <v>4500.0</v>
      </c>
      <c r="X161" s="54">
        <v>4500.0</v>
      </c>
      <c r="Y161" s="54">
        <v>4500.0</v>
      </c>
      <c r="Z161" s="54">
        <v>4500.0</v>
      </c>
      <c r="AA161" s="54">
        <v>4500.0</v>
      </c>
      <c r="AB161" s="54">
        <v>4500.0</v>
      </c>
      <c r="AC161" s="54">
        <v>4500.0</v>
      </c>
      <c r="AD161" s="54">
        <v>4500.0</v>
      </c>
      <c r="AE161" s="54">
        <v>4500.0</v>
      </c>
      <c r="AF161" s="54">
        <v>4500.0</v>
      </c>
      <c r="AG161" s="54">
        <v>4500.0</v>
      </c>
      <c r="AH161" s="54">
        <v>4500.0</v>
      </c>
      <c r="AI161" s="54">
        <v>4500.0</v>
      </c>
      <c r="AJ161" s="54">
        <v>4500.0</v>
      </c>
      <c r="AK161" s="54">
        <v>4500.0</v>
      </c>
      <c r="AL161" s="54">
        <v>4500.0</v>
      </c>
      <c r="AM161" s="54">
        <v>4500.0</v>
      </c>
      <c r="AN161" s="54">
        <v>4500.0</v>
      </c>
      <c r="AO161" s="54">
        <v>4500.0</v>
      </c>
      <c r="AP161" s="54">
        <v>4500.0</v>
      </c>
      <c r="AQ161" s="54">
        <v>4500.0</v>
      </c>
      <c r="AR161" s="54">
        <v>4500.0</v>
      </c>
      <c r="AS161" s="54">
        <v>4500.0</v>
      </c>
      <c r="AT161" s="54">
        <v>4500.0</v>
      </c>
      <c r="AU161" s="54">
        <v>4500.0</v>
      </c>
      <c r="AV161" s="54">
        <v>4500.0</v>
      </c>
      <c r="AW161" s="54">
        <v>4500.0</v>
      </c>
      <c r="AX161" s="54">
        <v>4500.0</v>
      </c>
      <c r="AY161" s="54">
        <v>4500.0</v>
      </c>
      <c r="AZ161" s="54">
        <v>4500.0</v>
      </c>
      <c r="BA161" s="54">
        <v>4500.0</v>
      </c>
    </row>
    <row r="162" spans="1:53" ht="16" outlineLevel="2">
      <c r="A162" s="43" t="s">
        <v>159</v>
      </c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>
        <f>R158+R159+R160+R161</f>
        <v>7000.0</v>
      </c>
      <c r="S162" s="55">
        <f>S158+S159+S160+S161</f>
        <v>7000.0</v>
      </c>
      <c r="T162" s="55">
        <f>T158+T159+T160+T161</f>
        <v>7000.0</v>
      </c>
      <c r="U162" s="55">
        <f>U158+U159+U160+U161</f>
        <v>7000.0</v>
      </c>
      <c r="V162" s="55">
        <f>V158+V159+V160+V161</f>
        <v>7000.0</v>
      </c>
      <c r="W162" s="55">
        <f>W158+W159+W160+W161</f>
        <v>7000.0</v>
      </c>
      <c r="X162" s="55">
        <f>X158+X159+X160+X161</f>
        <v>7000.0</v>
      </c>
      <c r="Y162" s="55">
        <f>Y158+Y159+Y160+Y161</f>
        <v>7000.0</v>
      </c>
      <c r="Z162" s="55">
        <f>Z158+Z159+Z160+Z161</f>
        <v>7000.0</v>
      </c>
      <c r="AA162" s="55">
        <f>AA158+AA159+AA160+AA161</f>
        <v>7000.0</v>
      </c>
      <c r="AB162" s="55">
        <f>AB158+AB159+AB160+AB161</f>
        <v>7000.0</v>
      </c>
      <c r="AC162" s="55">
        <f>AC158+AC159+AC160+AC161</f>
        <v>7000.0</v>
      </c>
      <c r="AD162" s="55">
        <f>AD158+AD159+AD160+AD161</f>
        <v>7000.0</v>
      </c>
      <c r="AE162" s="55">
        <f>AE158+AE159+AE160+AE161</f>
        <v>7000.0</v>
      </c>
      <c r="AF162" s="55">
        <f>AF158+AF159+AF160+AF161</f>
        <v>7000.0</v>
      </c>
      <c r="AG162" s="55">
        <f>AG158+AG159+AG160+AG161</f>
        <v>7000.0</v>
      </c>
      <c r="AH162" s="55">
        <f>AH158+AH159+AH160+AH161</f>
        <v>7000.0</v>
      </c>
      <c r="AI162" s="55">
        <f>AI158+AI159+AI160+AI161</f>
        <v>7000.0</v>
      </c>
      <c r="AJ162" s="55">
        <f>AJ158+AJ159+AJ160+AJ161</f>
        <v>7000.0</v>
      </c>
      <c r="AK162" s="55">
        <f>AK158+AK159+AK160+AK161</f>
        <v>7000.0</v>
      </c>
      <c r="AL162" s="55">
        <f>AL158+AL159+AL160+AL161</f>
        <v>7000.0</v>
      </c>
      <c r="AM162" s="55">
        <f>AM158+AM159+AM160+AM161</f>
        <v>7000.0</v>
      </c>
      <c r="AN162" s="55">
        <f>AN158+AN159+AN160+AN161</f>
        <v>7000.0</v>
      </c>
      <c r="AO162" s="55">
        <f>AO158+AO159+AO160+AO161</f>
        <v>7000.0</v>
      </c>
      <c r="AP162" s="55">
        <f>AP158+AP159+AP160+AP161</f>
        <v>7000.0</v>
      </c>
      <c r="AQ162" s="55">
        <f>AQ158+AQ159+AQ160+AQ161</f>
        <v>7000.0</v>
      </c>
      <c r="AR162" s="55">
        <f>AR158+AR159+AR160+AR161</f>
        <v>7000.0</v>
      </c>
      <c r="AS162" s="55">
        <f>AS158+AS159+AS160+AS161</f>
        <v>7000.0</v>
      </c>
      <c r="AT162" s="55">
        <f>AT158+AT159+AT160+AT161</f>
        <v>7000.0</v>
      </c>
      <c r="AU162" s="55">
        <f>AU158+AU159+AU160+AU161</f>
        <v>7000.0</v>
      </c>
      <c r="AV162" s="55">
        <f>AV158+AV159+AV160+AV161</f>
        <v>7000.0</v>
      </c>
      <c r="AW162" s="55">
        <f>AW158+AW159+AW160+AW161</f>
        <v>7000.0</v>
      </c>
      <c r="AX162" s="55">
        <f>AX158+AX159+AX160+AX161</f>
        <v>7000.0</v>
      </c>
      <c r="AY162" s="55">
        <f>AY158+AY159+AY160+AY161</f>
        <v>7000.0</v>
      </c>
      <c r="AZ162" s="55">
        <f>AZ158+AZ159+AZ160+AZ161</f>
        <v>7000.0</v>
      </c>
      <c r="BA162" s="55">
        <f>BA158+BA159+BA160+BA161</f>
        <v>7000.0</v>
      </c>
    </row>
    <row r="163" spans="1:53" ht="16" outlineLevel="2">
      <c r="A163" s="41" t="s">
        <v>160</v>
      </c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4">
        <v>0</v>
      </c>
      <c r="AC163" s="54">
        <v>0</v>
      </c>
      <c r="AD163" s="54">
        <v>0</v>
      </c>
      <c r="AE163" s="54">
        <v>0</v>
      </c>
      <c r="AF163" s="54">
        <v>0</v>
      </c>
      <c r="AG163" s="54">
        <v>0</v>
      </c>
      <c r="AH163" s="54">
        <v>0</v>
      </c>
      <c r="AI163" s="54">
        <v>0</v>
      </c>
      <c r="AJ163" s="54">
        <v>0</v>
      </c>
      <c r="AK163" s="54">
        <v>0</v>
      </c>
      <c r="AL163" s="54">
        <v>0</v>
      </c>
      <c r="AM163" s="54">
        <v>0</v>
      </c>
      <c r="AN163" s="54">
        <v>0</v>
      </c>
      <c r="AO163" s="54">
        <v>12543.0</v>
      </c>
      <c r="AP163" s="54">
        <v>0</v>
      </c>
      <c r="AQ163" s="54">
        <v>0</v>
      </c>
      <c r="AR163" s="54">
        <v>0</v>
      </c>
      <c r="AS163" s="54">
        <v>0</v>
      </c>
      <c r="AT163" s="54">
        <v>0</v>
      </c>
      <c r="AU163" s="54">
        <v>0</v>
      </c>
      <c r="AV163" s="54">
        <v>0</v>
      </c>
      <c r="AW163" s="54">
        <v>0</v>
      </c>
      <c r="AX163" s="54">
        <v>0</v>
      </c>
      <c r="AY163" s="54">
        <v>0</v>
      </c>
      <c r="AZ163" s="54">
        <v>0</v>
      </c>
      <c r="BA163" s="54">
        <v>0</v>
      </c>
    </row>
    <row r="164" spans="1:53" ht="16" outlineLevel="2">
      <c r="A164" s="41" t="s">
        <v>161</v>
      </c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4">
        <v>-75000.0</v>
      </c>
      <c r="AO164" s="54">
        <v>-75000.0</v>
      </c>
      <c r="AP164" s="54">
        <v>-183061.22999999998</v>
      </c>
      <c r="AQ164" s="54">
        <v>-183061.22999999998</v>
      </c>
      <c r="AR164" s="54">
        <v>-183061.22999999998</v>
      </c>
      <c r="AS164" s="54">
        <v>-183061.22999999998</v>
      </c>
      <c r="AT164" s="54">
        <v>-183061.22999999998</v>
      </c>
      <c r="AU164" s="54">
        <v>-183061.22999999998</v>
      </c>
      <c r="AV164" s="54">
        <v>-183061.22999999998</v>
      </c>
      <c r="AW164" s="54">
        <v>-183061.22999999998</v>
      </c>
      <c r="AX164" s="54">
        <v>-183061.22999999998</v>
      </c>
      <c r="AY164" s="54">
        <v>-183061.22999999998</v>
      </c>
      <c r="AZ164" s="54">
        <v>-183061.22999999998</v>
      </c>
      <c r="BA164" s="54">
        <v>-183061.22999999998</v>
      </c>
    </row>
    <row r="165" spans="1:53" ht="16" outlineLevel="2">
      <c r="A165" s="41" t="s">
        <v>162</v>
      </c>
      <c r="B165" s="53"/>
      <c r="C165" s="53"/>
      <c r="D165" s="53"/>
      <c r="E165" s="53"/>
      <c r="F165" s="53"/>
      <c r="G165" s="54">
        <v>85907.50000000001</v>
      </c>
      <c r="H165" s="54">
        <v>85907.50000000001</v>
      </c>
      <c r="I165" s="54">
        <v>85907.50000000001</v>
      </c>
      <c r="J165" s="54">
        <v>85907.50000000001</v>
      </c>
      <c r="K165" s="54">
        <v>85907.50000000001</v>
      </c>
      <c r="L165" s="54">
        <v>85907.50000000001</v>
      </c>
      <c r="M165" s="54">
        <v>85907.50000000001</v>
      </c>
      <c r="N165" s="54">
        <v>85907.50000000001</v>
      </c>
      <c r="O165" s="54">
        <v>85907.50000000001</v>
      </c>
      <c r="P165" s="54">
        <v>85907.50000000001</v>
      </c>
      <c r="Q165" s="54">
        <v>85907.50000000001</v>
      </c>
      <c r="R165" s="54">
        <v>85907.50000000001</v>
      </c>
      <c r="S165" s="54">
        <v>159386.4099999998</v>
      </c>
      <c r="T165" s="54">
        <v>159386.4099999998</v>
      </c>
      <c r="U165" s="54">
        <v>159386.4099999998</v>
      </c>
      <c r="V165" s="54">
        <v>159386.4099999998</v>
      </c>
      <c r="W165" s="54">
        <v>159386.4099999998</v>
      </c>
      <c r="X165" s="54">
        <v>159386.4099999998</v>
      </c>
      <c r="Y165" s="54">
        <v>159386.4099999998</v>
      </c>
      <c r="Z165" s="54">
        <v>159386.4099999998</v>
      </c>
      <c r="AA165" s="54">
        <v>159386.4099999998</v>
      </c>
      <c r="AB165" s="54">
        <v>159386.4099999998</v>
      </c>
      <c r="AC165" s="54">
        <v>159386.4099999998</v>
      </c>
      <c r="AD165" s="54">
        <v>159386.4099999998</v>
      </c>
      <c r="AE165" s="54">
        <v>300926.66999999975</v>
      </c>
      <c r="AF165" s="54">
        <v>300926.66999999975</v>
      </c>
      <c r="AG165" s="54">
        <v>300926.66999999975</v>
      </c>
      <c r="AH165" s="54">
        <v>300926.66999999975</v>
      </c>
      <c r="AI165" s="54">
        <v>300926.66999999975</v>
      </c>
      <c r="AJ165" s="54">
        <v>300926.66999999975</v>
      </c>
      <c r="AK165" s="54">
        <v>300926.66999999975</v>
      </c>
      <c r="AL165" s="54">
        <v>300926.66999999975</v>
      </c>
      <c r="AM165" s="54">
        <v>300926.66999999975</v>
      </c>
      <c r="AN165" s="54">
        <v>300926.66999999975</v>
      </c>
      <c r="AO165" s="54">
        <v>300926.66999999975</v>
      </c>
      <c r="AP165" s="54">
        <v>213269.44999999975</v>
      </c>
      <c r="AQ165" s="54">
        <v>872501.5799999998</v>
      </c>
      <c r="AR165" s="54">
        <v>872501.5799999998</v>
      </c>
      <c r="AS165" s="54">
        <v>872501.5799999998</v>
      </c>
      <c r="AT165" s="54">
        <v>872501.5799999998</v>
      </c>
      <c r="AU165" s="54">
        <v>872501.5799999998</v>
      </c>
      <c r="AV165" s="54">
        <v>872501.5799999998</v>
      </c>
      <c r="AW165" s="54">
        <v>872501.5799999998</v>
      </c>
      <c r="AX165" s="54">
        <v>872501.5799999998</v>
      </c>
      <c r="AY165" s="54">
        <v>872501.5799999998</v>
      </c>
      <c r="AZ165" s="54">
        <v>872501.5799999998</v>
      </c>
      <c r="BA165" s="54">
        <v>872501.5799999998</v>
      </c>
    </row>
    <row r="166" spans="1:53" ht="16" outlineLevel="2">
      <c r="A166" s="41" t="s">
        <v>163</v>
      </c>
      <c r="B166" s="54">
        <v>-2189.61</v>
      </c>
      <c r="C166" s="54">
        <v>10308.730000000001</v>
      </c>
      <c r="D166" s="54">
        <v>63022.99000000002</v>
      </c>
      <c r="E166" s="54">
        <v>136828.34000000003</v>
      </c>
      <c r="F166" s="54">
        <v>215812.55000000002</v>
      </c>
      <c r="G166" s="54">
        <v>87560.39000000004</v>
      </c>
      <c r="H166" s="54">
        <v>150338.32000000004</v>
      </c>
      <c r="I166" s="54">
        <v>222655.28000000006</v>
      </c>
      <c r="J166" s="54">
        <v>402150.53000000014</v>
      </c>
      <c r="K166" s="54">
        <v>466977.8500000001</v>
      </c>
      <c r="L166" s="54">
        <v>518881.89000000013</v>
      </c>
      <c r="M166" s="54">
        <v>585308.79</v>
      </c>
      <c r="N166" s="54">
        <v>590071.73</v>
      </c>
      <c r="O166" s="54">
        <v>565683.25</v>
      </c>
      <c r="P166" s="54">
        <v>642332.22</v>
      </c>
      <c r="Q166" s="54">
        <v>632304.1</v>
      </c>
      <c r="R166" s="54">
        <v>73478.9099999998</v>
      </c>
      <c r="S166" s="54">
        <v>139636.31</v>
      </c>
      <c r="T166" s="54">
        <v>189535.17999999993</v>
      </c>
      <c r="U166" s="54">
        <v>192782.18999999994</v>
      </c>
      <c r="V166" s="54">
        <v>227612.57999999996</v>
      </c>
      <c r="W166" s="54">
        <v>214808.91000000003</v>
      </c>
      <c r="X166" s="54">
        <v>210810.2100000001</v>
      </c>
      <c r="Y166" s="54">
        <v>319215.5700000001</v>
      </c>
      <c r="Z166" s="54">
        <v>283549.1400000001</v>
      </c>
      <c r="AA166" s="54">
        <v>365794.75</v>
      </c>
      <c r="AB166" s="54">
        <v>315272.0</v>
      </c>
      <c r="AC166" s="54">
        <v>162283.10999999996</v>
      </c>
      <c r="AD166" s="54">
        <v>141540.25999999995</v>
      </c>
      <c r="AE166" s="54">
        <v>-3924.0999999999894</v>
      </c>
      <c r="AF166" s="54">
        <v>55211.77000000001</v>
      </c>
      <c r="AG166" s="54">
        <v>193845.3500000001</v>
      </c>
      <c r="AH166" s="54">
        <v>314983.90000000014</v>
      </c>
      <c r="AI166" s="54">
        <v>349225.85000000015</v>
      </c>
      <c r="AJ166" s="54">
        <v>462209.6400000002</v>
      </c>
      <c r="AK166" s="54">
        <v>585356.6200000002</v>
      </c>
      <c r="AL166" s="54">
        <v>637602.2800000003</v>
      </c>
      <c r="AM166" s="54">
        <v>724891.5800000003</v>
      </c>
      <c r="AN166" s="54">
        <v>710774.1900000002</v>
      </c>
      <c r="AO166" s="54">
        <v>881173.2000000002</v>
      </c>
      <c r="AP166" s="54">
        <v>659232.1300000001</v>
      </c>
      <c r="AQ166" s="54">
        <v>39794.75000000002</v>
      </c>
      <c r="AR166" s="54">
        <v>112349.97000000003</v>
      </c>
      <c r="AS166" s="54">
        <v>144567.59</v>
      </c>
      <c r="AT166" s="54">
        <v>121866.38</v>
      </c>
      <c r="AU166" s="54">
        <v>105421.76</v>
      </c>
      <c r="AV166" s="54">
        <v>166016.24000000005</v>
      </c>
      <c r="AW166" s="54">
        <v>153790.61000000004</v>
      </c>
      <c r="AX166" s="54">
        <v>144232.74000000005</v>
      </c>
      <c r="AY166" s="54">
        <v>265013.83999999997</v>
      </c>
      <c r="AZ166" s="54">
        <v>349225.2899999999</v>
      </c>
      <c r="BA166" s="54">
        <v>516281.0</v>
      </c>
    </row>
    <row r="167" spans="1:53" ht="16" outlineLevel="1">
      <c r="A167" s="44" t="s">
        <v>164</v>
      </c>
      <c r="B167" s="55">
        <f>B143+B147+B152+B157+B162+B163+B164+B165+B166</f>
        <v>-2089.61</v>
      </c>
      <c r="C167" s="55">
        <f>C143+C147+C152+C157+C162+C163+C164+C165+C166</f>
        <v>31854.71</v>
      </c>
      <c r="D167" s="55">
        <f>D143+D147+D152+D157+D162+D163+D164+D165+D166</f>
        <v>68321.41000000003</v>
      </c>
      <c r="E167" s="55">
        <f>E143+E147+E152+E157+E162+E163+E164+E165+E166</f>
        <v>162126.76</v>
      </c>
      <c r="F167" s="55">
        <f>F143+F147+F152+F157+F162+F163+F164+F165+F166</f>
        <v>251711.05000000002</v>
      </c>
      <c r="G167" s="55">
        <f>G143+G147+G152+G157+G162+G163+G164+G165+G166</f>
        <v>339271.44000000006</v>
      </c>
      <c r="H167" s="55">
        <f>H143+H147+H152+H157+H162+H163+H164+H165+H166</f>
        <v>398449.37</v>
      </c>
      <c r="I167" s="55">
        <f>I143+I147+I152+I157+I162+I163+I164+I165+I166</f>
        <v>470766.3300000001</v>
      </c>
      <c r="J167" s="55">
        <f>J143+J147+J152+J157+J162+J163+J164+J165+J166</f>
        <v>650261.5800000001</v>
      </c>
      <c r="K167" s="55">
        <f>K143+K147+K152+K157+K162+K163+K164+K165+K166</f>
        <v>616937.9000000001</v>
      </c>
      <c r="L167" s="55">
        <f>L143+L147+L152+L157+L162+L163+L164+L165+L166</f>
        <v>668841.9400000002</v>
      </c>
      <c r="M167" s="55">
        <f>M143+M147+M152+M157+M162+M163+M164+M165+M166</f>
        <v>735268.8400000001</v>
      </c>
      <c r="N167" s="55">
        <f>N143+N147+N152+N157+N162+N163+N164+N165+N166</f>
        <v>740031.78</v>
      </c>
      <c r="O167" s="55">
        <f>O143+O147+O152+O157+O162+O163+O164+O165+O166</f>
        <v>634643.3</v>
      </c>
      <c r="P167" s="55">
        <f>P143+P147+P152+P157+P162+P163+P164+P165+P166</f>
        <v>711292.27</v>
      </c>
      <c r="Q167" s="55">
        <f>Q143+Q147+Q152+Q157+Q162+Q163+Q164+Q165+Q166</f>
        <v>701264.15</v>
      </c>
      <c r="R167" s="55">
        <f>R143+R147+R152+R157+R162+R163+R164+R165+R166</f>
        <v>151738.9599999998</v>
      </c>
      <c r="S167" s="55">
        <f>S143+S147+S152+S157+S162+S163+S164+S165+S166</f>
        <v>287375.2699999998</v>
      </c>
      <c r="T167" s="55">
        <f>T143+T147+T152+T157+T162+T163+T164+T165+T166</f>
        <v>337274.1399999997</v>
      </c>
      <c r="U167" s="55">
        <f>U143+U147+U152+U157+U162+U163+U164+U165+U166</f>
        <v>352521.14999999973</v>
      </c>
      <c r="V167" s="55">
        <f>V143+V147+V152+V157+V162+V163+V164+V165+V166</f>
        <v>327351.53999999975</v>
      </c>
      <c r="W167" s="55">
        <f>W143+W147+W152+W157+W162+W163+W164+W165+W166</f>
        <v>344547.8699999998</v>
      </c>
      <c r="X167" s="55">
        <f>X143+X147+X152+X157+X162+X163+X164+X165+X166</f>
        <v>315549.1699999999</v>
      </c>
      <c r="Y167" s="55">
        <f>Y143+Y147+Y152+Y157+Y162+Y163+Y164+Y165+Y166</f>
        <v>423954.5299999999</v>
      </c>
      <c r="Z167" s="55">
        <f>Z143+Z147+Z152+Z157+Z162+Z163+Z164+Z165+Z166</f>
        <v>343748.6899999999</v>
      </c>
      <c r="AA167" s="55">
        <f>AA143+AA147+AA152+AA157+AA162+AA163+AA164+AA165+AA166</f>
        <v>414994.6699999998</v>
      </c>
      <c r="AB167" s="55">
        <f>AB143+AB147+AB152+AB157+AB162+AB163+AB164+AB165+AB166</f>
        <v>338303.1699999998</v>
      </c>
      <c r="AC167" s="55">
        <f>AC143+AC147+AC152+AC157+AC162+AC163+AC164+AC165+AC166</f>
        <v>179371.96999999977</v>
      </c>
      <c r="AD167" s="55">
        <f>AD143+AD147+AD152+AD157+AD162+AD163+AD164+AD165+AD166</f>
        <v>212244.15999999974</v>
      </c>
      <c r="AE167" s="55">
        <f>AE143+AE147+AE152+AE157+AE162+AE163+AE164+AE165+AE166</f>
        <v>208320.05999999976</v>
      </c>
      <c r="AF167" s="55">
        <f>AF143+AF147+AF152+AF157+AF162+AF163+AF164+AF165+AF166</f>
        <v>273955.92999999976</v>
      </c>
      <c r="AG167" s="55">
        <f>AG143+AG147+AG152+AG157+AG162+AG163+AG164+AG165+AG166</f>
        <v>412589.50999999983</v>
      </c>
      <c r="AH167" s="55">
        <f>AH143+AH147+AH152+AH157+AH162+AH163+AH164+AH165+AH166</f>
        <v>533728.0599999998</v>
      </c>
      <c r="AI167" s="55">
        <f>AI143+AI147+AI152+AI157+AI162+AI163+AI164+AI165+AI166</f>
        <v>567970.0099999999</v>
      </c>
      <c r="AJ167" s="55">
        <f>AJ143+AJ147+AJ152+AJ157+AJ162+AJ163+AJ164+AJ165+AJ166</f>
        <v>680953.7999999999</v>
      </c>
      <c r="AK167" s="55">
        <f>AK143+AK147+AK152+AK157+AK162+AK163+AK164+AK165+AK166</f>
        <v>804100.78</v>
      </c>
      <c r="AL167" s="55">
        <f>AL143+AL147+AL152+AL157+AL162+AL163+AL164+AL165+AL166</f>
        <v>856346.44</v>
      </c>
      <c r="AM167" s="55">
        <f>AM143+AM147+AM152+AM157+AM162+AM163+AM164+AM165+AM166</f>
        <v>943635.74</v>
      </c>
      <c r="AN167" s="55">
        <f>AN143+AN147+AN152+AN157+AN162+AN163+AN164+AN165+AN166</f>
        <v>847472.1699999999</v>
      </c>
      <c r="AO167" s="55">
        <f>AO143+AO147+AO152+AO157+AO162+AO163+AO164+AO165+AO166</f>
        <v>1027987.98</v>
      </c>
      <c r="AP167" s="55">
        <f>AP143+AP147+AP152+AP157+AP162+AP163+AP164+AP165+AP166</f>
        <v>693467.97</v>
      </c>
      <c r="AQ167" s="55">
        <f>AQ143+AQ147+AQ152+AQ157+AQ162+AQ163+AQ164+AQ165+AQ166</f>
        <v>733262.72</v>
      </c>
      <c r="AR167" s="55">
        <f>AR143+AR147+AR152+AR157+AR162+AR163+AR164+AR165+AR166</f>
        <v>805817.94</v>
      </c>
      <c r="AS167" s="55">
        <f>AS143+AS147+AS152+AS157+AS162+AS163+AS164+AS165+AS166</f>
        <v>838035.5599999999</v>
      </c>
      <c r="AT167" s="55">
        <f>AT143+AT147+AT152+AT157+AT162+AT163+AT164+AT165+AT166</f>
        <v>815334.35</v>
      </c>
      <c r="AU167" s="55">
        <f>AU143+AU147+AU152+AU157+AU162+AU163+AU164+AU165+AU166</f>
        <v>798889.73</v>
      </c>
      <c r="AV167" s="55">
        <f>AV143+AV147+AV152+AV157+AV162+AV163+AV164+AV165+AV166</f>
        <v>859484.21</v>
      </c>
      <c r="AW167" s="55">
        <f>AW143+AW147+AW152+AW157+AW162+AW163+AW164+AW165+AW166</f>
        <v>847258.5800000001</v>
      </c>
      <c r="AX167" s="55">
        <f>AX143+AX147+AX152+AX157+AX162+AX163+AX164+AX165+AX166</f>
        <v>827700.71</v>
      </c>
      <c r="AY167" s="55">
        <f>AY143+AY147+AY152+AY157+AY162+AY163+AY164+AY165+AY166</f>
        <v>948481.8099999999</v>
      </c>
      <c r="AZ167" s="55">
        <f>AZ143+AZ147+AZ152+AZ157+AZ162+AZ163+AZ164+AZ165+AZ166</f>
        <v>1032693.2599999999</v>
      </c>
      <c r="BA167" s="55">
        <f>BA143+BA147+BA152+BA157+BA162+BA163+BA164+BA165+BA166</f>
        <v>1141007.97</v>
      </c>
    </row>
    <row r="168" spans="1:53" ht="16">
      <c r="A168" s="45" t="s">
        <v>165</v>
      </c>
      <c r="B168" s="55">
        <f>B142+B167</f>
        <v>765.0</v>
      </c>
      <c r="C168" s="55">
        <f>C142+C167</f>
        <v>42306.3</v>
      </c>
      <c r="D168" s="55">
        <f>D142+D167</f>
        <v>80406.72000000003</v>
      </c>
      <c r="E168" s="55">
        <f>E142+E167</f>
        <v>162772.52000000002</v>
      </c>
      <c r="F168" s="55">
        <f>F142+F167</f>
        <v>255616.45</v>
      </c>
      <c r="G168" s="55">
        <f>G142+G167</f>
        <v>346291.63000000006</v>
      </c>
      <c r="H168" s="55">
        <f>H142+H167</f>
        <v>405472.27999999997</v>
      </c>
      <c r="I168" s="55">
        <f>I142+I167</f>
        <v>571772.1000000001</v>
      </c>
      <c r="J168" s="55">
        <f>J142+J167</f>
        <v>748991.0100000001</v>
      </c>
      <c r="K168" s="55">
        <f>K142+K167</f>
        <v>755345.4900000002</v>
      </c>
      <c r="L168" s="55">
        <f>L142+L167</f>
        <v>811484.6500000001</v>
      </c>
      <c r="M168" s="55">
        <f>M142+M167</f>
        <v>897584.3</v>
      </c>
      <c r="N168" s="55">
        <f>N142+N167</f>
        <v>893980.0</v>
      </c>
      <c r="O168" s="55">
        <f>O142+O167</f>
        <v>913429.5800000001</v>
      </c>
      <c r="P168" s="55">
        <f>P142+P167</f>
        <v>960370.74</v>
      </c>
      <c r="Q168" s="55">
        <f>Q142+Q167</f>
        <v>953046.62</v>
      </c>
      <c r="R168" s="55">
        <f>R142+R167</f>
        <v>459023.21999999974</v>
      </c>
      <c r="S168" s="55">
        <f>S142+S167</f>
        <v>609426.8199999998</v>
      </c>
      <c r="T168" s="55">
        <f>T142+T167</f>
        <v>693264.5299999998</v>
      </c>
      <c r="U168" s="55">
        <f>U142+U167</f>
        <v>675364.0099999998</v>
      </c>
      <c r="V168" s="55">
        <f>V142+V167</f>
        <v>638221.5499999998</v>
      </c>
      <c r="W168" s="55">
        <f>W142+W167</f>
        <v>749619.5499999998</v>
      </c>
      <c r="X168" s="55">
        <f>X142+X167</f>
        <v>720683.01</v>
      </c>
      <c r="Y168" s="55">
        <f>Y142+Y167</f>
        <v>810459.21</v>
      </c>
      <c r="Z168" s="55">
        <f>Z142+Z167</f>
        <v>734402.6699999999</v>
      </c>
      <c r="AA168" s="55">
        <f>AA142+AA167</f>
        <v>831790.8699999999</v>
      </c>
      <c r="AB168" s="55">
        <f>AB142+AB167</f>
        <v>809180.6799999998</v>
      </c>
      <c r="AC168" s="55">
        <f>AC142+AC167</f>
        <v>812290.0399999996</v>
      </c>
      <c r="AD168" s="55">
        <f>AD142+AD167</f>
        <v>851832.4799999997</v>
      </c>
      <c r="AE168" s="55">
        <f>AE142+AE167</f>
        <v>809782.0499999996</v>
      </c>
      <c r="AF168" s="55">
        <f>AF142+AF167</f>
        <v>894211.9899999998</v>
      </c>
      <c r="AG168" s="55">
        <f>AG142+AG167</f>
        <v>1097146.94</v>
      </c>
      <c r="AH168" s="55">
        <f>AH142+AH167</f>
        <v>1180710.3399999999</v>
      </c>
      <c r="AI168" s="55">
        <f>AI142+AI167</f>
        <v>1230799.69</v>
      </c>
      <c r="AJ168" s="55">
        <f>AJ142+AJ167</f>
        <v>1303935.75</v>
      </c>
      <c r="AK168" s="55">
        <f>AK142+AK167</f>
        <v>1417696.79</v>
      </c>
      <c r="AL168" s="55">
        <f>AL142+AL167</f>
        <v>1468904.15</v>
      </c>
      <c r="AM168" s="55">
        <f>AM142+AM167</f>
        <v>1518197.39</v>
      </c>
      <c r="AN168" s="55">
        <f>AN142+AN167</f>
        <v>1432851.3599999999</v>
      </c>
      <c r="AO168" s="55">
        <f>AO142+AO167</f>
        <v>1599159.69</v>
      </c>
      <c r="AP168" s="55">
        <f>AP142+AP167</f>
        <v>1354856.21</v>
      </c>
      <c r="AQ168" s="55">
        <f>AQ142+AQ167</f>
        <v>1393074.0899999999</v>
      </c>
      <c r="AR168" s="55">
        <f>AR142+AR167</f>
        <v>1396734.42</v>
      </c>
      <c r="AS168" s="55">
        <f>AS142+AS167</f>
        <v>1357081.08</v>
      </c>
      <c r="AT168" s="55">
        <f>AT142+AT167</f>
        <v>1336642.28</v>
      </c>
      <c r="AU168" s="55">
        <f>AU142+AU167</f>
        <v>1309773.6400000001</v>
      </c>
      <c r="AV168" s="55">
        <f>AV142+AV167</f>
        <v>1363286.48</v>
      </c>
      <c r="AW168" s="55">
        <f>AW142+AW167</f>
        <v>1349505.82</v>
      </c>
      <c r="AX168" s="55">
        <f>AX142+AX167</f>
        <v>1332926.6099999999</v>
      </c>
      <c r="AY168" s="55">
        <f>AY142+AY167</f>
        <v>1457276.41</v>
      </c>
      <c r="AZ168" s="55">
        <f>AZ142+AZ167</f>
        <v>1529465.4899999998</v>
      </c>
      <c r="BA168" s="55">
        <f>BA142+BA167</f>
        <v>1626944.88</v>
      </c>
    </row>
    <row r="172" spans="1:1" ht="16">
      <c r="A172" s="56" t="s">
        <v>219</v>
      </c>
    </row>
  </sheetData>
  <mergeCells count="4">
    <mergeCell ref="A1:BA1"/>
    <mergeCell ref="A2:BA2"/>
    <mergeCell ref="A3:BA3"/>
    <mergeCell ref="A172:BA17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