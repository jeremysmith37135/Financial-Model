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kumar97/dev/teps/app/src/test/resources/CrbReportsPlugin/Template/"/>
    </mc:Choice>
  </mc:AlternateContent>
  <bookViews>
    <workbookView xWindow="3880" yWindow="2200" windowWidth="28040" windowHeight="17440" activeTab="0"/>
  </bookViews>
  <sheets>
    <sheet name="Sheet1" sheetId="1" r:id="rId2"/>
  </sheets>
  <definedNames/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A130" i="1" l="1"/>
</calcChain>
</file>

<file path=xl/sharedStrings.xml><?xml version="1.0" encoding="utf-8"?>
<sst xmlns="http://schemas.openxmlformats.org/spreadsheetml/2006/main" count="183" uniqueCount="183">
  <si>
    <t>Profit and Loss</t>
  </si>
  <si>
    <t>Middle Tennessee Traffic Management LLC</t>
  </si>
  <si>
    <t>August 1, 2021-November 30, 2025</t>
  </si>
  <si>
    <t>Income</t>
  </si>
  <si>
    <t>4010 Traffic Control</t>
  </si>
  <si>
    <t>4050 Late Fee Income</t>
  </si>
  <si>
    <t>Sales of Product Income</t>
  </si>
  <si>
    <t>Unapplied Cash Payment Income</t>
  </si>
  <si>
    <t>Total for Income</t>
  </si>
  <si>
    <t>Cost of Goods Sold</t>
  </si>
  <si>
    <t>5010 Job Supplies</t>
  </si>
  <si>
    <t>5012 Uniforms</t>
  </si>
  <si>
    <t>5016 Bone Safety Signs (deleted)</t>
  </si>
  <si>
    <t>5017 Equipment Rentals</t>
  </si>
  <si>
    <t>5020 Contractors (deleted)</t>
  </si>
  <si>
    <t>5021 Outside Service (Third Party)</t>
  </si>
  <si>
    <t>5030 Payroll</t>
  </si>
  <si>
    <t>5031 Regular Hourly</t>
  </si>
  <si>
    <t>5032 Over Time</t>
  </si>
  <si>
    <t>5033 Bonus</t>
  </si>
  <si>
    <t>5034 Background &amp; Drug Screen</t>
  </si>
  <si>
    <t>5035 Employer Payroll Tax Hourly</t>
  </si>
  <si>
    <t>Total for 5030 Payroll</t>
  </si>
  <si>
    <t>5040 Training</t>
  </si>
  <si>
    <t>5103 Permits/TCPs</t>
  </si>
  <si>
    <t>5200 Fleet Expenses</t>
  </si>
  <si>
    <t>5201 Parking</t>
  </si>
  <si>
    <t>5204 Mileage</t>
  </si>
  <si>
    <t>5205 Lease Expense (deleted)</t>
  </si>
  <si>
    <t>5207 Tags &amp; Plates</t>
  </si>
  <si>
    <t>5208 Fleet Service &amp; Repairs</t>
  </si>
  <si>
    <t>5210 Fuel</t>
  </si>
  <si>
    <t>5708 Wraps &amp; Lights</t>
  </si>
  <si>
    <t>Total for 5200 Fleet Expenses</t>
  </si>
  <si>
    <t>Total for Cost of Goods Sold</t>
  </si>
  <si>
    <t>Gross Profit</t>
  </si>
  <si>
    <t>Expenses</t>
  </si>
  <si>
    <t>6010 Marketing</t>
  </si>
  <si>
    <t>6011 Advertising &amp; Marketing</t>
  </si>
  <si>
    <t>6012 Memberships</t>
  </si>
  <si>
    <t>Total for 6010 Marketing</t>
  </si>
  <si>
    <t>6015 Website Expense</t>
  </si>
  <si>
    <t>6110 Depreciation</t>
  </si>
  <si>
    <t>6200 Bank Charges &amp; Fees</t>
  </si>
  <si>
    <t>6300 Company Event (deleted)</t>
  </si>
  <si>
    <t>6500 Employee Gifts</t>
  </si>
  <si>
    <t>6501 Donation (deleted)</t>
  </si>
  <si>
    <t>6650 Insurance</t>
  </si>
  <si>
    <t>6651 Auto Insurance</t>
  </si>
  <si>
    <t>6652 General Liability &amp; Umbrella Insurance</t>
  </si>
  <si>
    <t>6653 Life Insurance</t>
  </si>
  <si>
    <t>6654 Commercial Property Insurance</t>
  </si>
  <si>
    <t>6656 Workers Comp Insurance</t>
  </si>
  <si>
    <t>6657 Notary Bond</t>
  </si>
  <si>
    <t>6658 Contractors Equipment Insurance</t>
  </si>
  <si>
    <t>6659 License Bond</t>
  </si>
  <si>
    <t>Total for 6650 Insurance</t>
  </si>
  <si>
    <t>6800 Legal &amp; Professional Services</t>
  </si>
  <si>
    <t>6801 C12 Expense</t>
  </si>
  <si>
    <t>6802 Legal &amp; Professional</t>
  </si>
  <si>
    <t>6803 Accounting Fees</t>
  </si>
  <si>
    <t>6804 WOTC Fees</t>
  </si>
  <si>
    <t>Total for 6800 Legal &amp; Professional Services</t>
  </si>
  <si>
    <t>6900 Meals</t>
  </si>
  <si>
    <t>6901 Entertainment (deleted)</t>
  </si>
  <si>
    <t>6902 Titans PSL</t>
  </si>
  <si>
    <t>6903 Travel</t>
  </si>
  <si>
    <t>6926 Advertising &amp; Marketing (deleted)</t>
  </si>
  <si>
    <t>6950 Office Supplies</t>
  </si>
  <si>
    <t>6951 Software &amp; Subscriptions</t>
  </si>
  <si>
    <t>6952 Office Equipment Rental</t>
  </si>
  <si>
    <t>7000 Payroll Expenses</t>
  </si>
  <si>
    <t>7010 Salary</t>
  </si>
  <si>
    <t>7011 Wage Garnishment (deleted)</t>
  </si>
  <si>
    <t>7020 Payroll Taxes (deleted)</t>
  </si>
  <si>
    <t>7021 Employer Benefit Contributions</t>
  </si>
  <si>
    <t>7022 Vacation</t>
  </si>
  <si>
    <t>7023 Salary Bonuses</t>
  </si>
  <si>
    <t>7025 Employer Payroll Tax</t>
  </si>
  <si>
    <t>7030 Payroll Service Fees</t>
  </si>
  <si>
    <t>7040 Per Diem (deleted)</t>
  </si>
  <si>
    <t>7041 401K Fees</t>
  </si>
  <si>
    <t>7050 Holiday Pay</t>
  </si>
  <si>
    <t>Total for 7000 Payroll Expenses</t>
  </si>
  <si>
    <t>7150 Postage &amp; Delivery</t>
  </si>
  <si>
    <t>7200 Rent &amp; Lease</t>
  </si>
  <si>
    <t>7300 QuickBooks Payments Fees</t>
  </si>
  <si>
    <t>7400 Taxes &amp; Licenses</t>
  </si>
  <si>
    <t>7410 Taxes &amp; Licenses</t>
  </si>
  <si>
    <t>7420 Dept. of Labor (deleted)</t>
  </si>
  <si>
    <t>7430 TN State FAE Taxes</t>
  </si>
  <si>
    <t>7450 TN Department of Revenue (deleted)</t>
  </si>
  <si>
    <t>7460 TN Annual Business Tax</t>
  </si>
  <si>
    <t>Total for 7400 Taxes &amp; Licenses</t>
  </si>
  <si>
    <t>7500 Travel (deleted)</t>
  </si>
  <si>
    <t>7550 Annual Company Event</t>
  </si>
  <si>
    <t>7560 Quarterly Management Event</t>
  </si>
  <si>
    <t>7600 Utilities</t>
  </si>
  <si>
    <t>7601 Phone Expense</t>
  </si>
  <si>
    <t>7602 Internet</t>
  </si>
  <si>
    <t>7603 Security</t>
  </si>
  <si>
    <t>Total for 7600 Utilities</t>
  </si>
  <si>
    <t>7701 Office Cleaning Expense</t>
  </si>
  <si>
    <t>7750 Charitable Gifts</t>
  </si>
  <si>
    <t>8000 Reimbursable Expense - Accountable Plan (deleted)</t>
  </si>
  <si>
    <t>8010 Jonathan Plan (deleted)</t>
  </si>
  <si>
    <t>8020 Justin Plan (deleted)</t>
  </si>
  <si>
    <t>Total for 8000 Reimbursable Expense - Accountable Plan (deleted)</t>
  </si>
  <si>
    <t>8700 Interest Paid</t>
  </si>
  <si>
    <t>Melio Service Fees (deleted)</t>
  </si>
  <si>
    <t>Unapplied Cash Bill Payment Expense</t>
  </si>
  <si>
    <t>Uncategorized Expense</t>
  </si>
  <si>
    <t>Total for Expenses</t>
  </si>
  <si>
    <t>Net Operating Income</t>
  </si>
  <si>
    <t>Other Income</t>
  </si>
  <si>
    <t>8600 Interest Income</t>
  </si>
  <si>
    <t>Total for Other Income</t>
  </si>
  <si>
    <t>Other Expenses</t>
  </si>
  <si>
    <t>8400 Other Business Expenses</t>
  </si>
  <si>
    <t>8500 Gain/Loss on Sale of Assets</t>
  </si>
  <si>
    <t>9000 Nondeductible Expense</t>
  </si>
  <si>
    <t>Management Fees (deleted)</t>
  </si>
  <si>
    <t>Jonathan (deleted)</t>
  </si>
  <si>
    <t>Justin (deleted)</t>
  </si>
  <si>
    <t>Total for Management Fees (deleted)</t>
  </si>
  <si>
    <t>Total for Other Expenses</t>
  </si>
  <si>
    <t>Net Other Income</t>
  </si>
  <si>
    <t>Net Income</t>
  </si>
  <si>
    <t>Distribution account</t>
  </si>
  <si>
    <t>August 2021</t>
  </si>
  <si>
    <t>September 2021</t>
  </si>
  <si>
    <t>October 2021</t>
  </si>
  <si>
    <t>November 2021</t>
  </si>
  <si>
    <t>December 2021</t>
  </si>
  <si>
    <t>January 2022</t>
  </si>
  <si>
    <t>February 2022</t>
  </si>
  <si>
    <t>March 2022</t>
  </si>
  <si>
    <t>April 2022</t>
  </si>
  <si>
    <t>May 2022</t>
  </si>
  <si>
    <t>June 2022</t>
  </si>
  <si>
    <t>July 2022</t>
  </si>
  <si>
    <t>August 2022</t>
  </si>
  <si>
    <t>September 2022</t>
  </si>
  <si>
    <t>October 2022</t>
  </si>
  <si>
    <t>November 2022</t>
  </si>
  <si>
    <t>December 2022</t>
  </si>
  <si>
    <t>January 2023</t>
  </si>
  <si>
    <t>February 2023</t>
  </si>
  <si>
    <t>March 2023</t>
  </si>
  <si>
    <t>April 2023</t>
  </si>
  <si>
    <t>May 2023</t>
  </si>
  <si>
    <t>June 2023</t>
  </si>
  <si>
    <t>July 2023</t>
  </si>
  <si>
    <t>August 2023</t>
  </si>
  <si>
    <t>September 2023</t>
  </si>
  <si>
    <t>October 2023</t>
  </si>
  <si>
    <t>November 2023</t>
  </si>
  <si>
    <t>December 2023</t>
  </si>
  <si>
    <t>January 2024</t>
  </si>
  <si>
    <t>February 2024</t>
  </si>
  <si>
    <t>March 2024</t>
  </si>
  <si>
    <t>April 2024</t>
  </si>
  <si>
    <t>May 2024</t>
  </si>
  <si>
    <t>June 2024</t>
  </si>
  <si>
    <t>July 2024</t>
  </si>
  <si>
    <t>August 2024</t>
  </si>
  <si>
    <t>September 2024</t>
  </si>
  <si>
    <t>October 2024</t>
  </si>
  <si>
    <t>November 2024</t>
  </si>
  <si>
    <t>December 2024</t>
  </si>
  <si>
    <t>January 2025</t>
  </si>
  <si>
    <t>February 2025</t>
  </si>
  <si>
    <t>March 2025</t>
  </si>
  <si>
    <t>April 2025</t>
  </si>
  <si>
    <t>May 2025</t>
  </si>
  <si>
    <t>June 2025</t>
  </si>
  <si>
    <t>July 2025</t>
  </si>
  <si>
    <t>August 2025</t>
  </si>
  <si>
    <t>September 2025</t>
  </si>
  <si>
    <t>October 2025</t>
  </si>
  <si>
    <t>November 2025</t>
  </si>
  <si>
    <t>Total</t>
  </si>
  <si>
    <t>Cash Basis Saturday, December 13, 2025 12:59 AM GMTZ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</si>
</sst>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7" formatCode="$#,##0.00"/>
    <numFmt numFmtId="178" formatCode="#,##0.00"/>
  </numFmts>
  <fonts count="9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</border>
    <border>
      <left/>
      <right/>
      <top style="thin">
        <color auto="1"/>
      </top>
      <bottom/>
    </border>
  </borders>
  <cellStyleXfs count="23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1">
      <alignment/>
      <protection/>
    </xf>
    <xf numFmtId="0" fontId="2" fillId="0" borderId="0">
      <alignment/>
      <protection/>
    </xf>
    <xf numFmtId="0" fontId="2" fillId="0" borderId="2">
      <alignment/>
      <protection/>
    </xf>
  </cellStyleXfs>
  <cellXfs count="44">
    <xf numFmtId="0" fontId="0" fillId="0" borderId="0" xfId="0"/>
    <xf numFmtId="0" fontId="2" fillId="0" borderId="0" xfId="0" applyFont="1"/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  <xf numFmtId="0" fontId="0" fillId="0" borderId="0" xfId="0" applyAlignment="1">
      <alignment horizontal="left" indent="1"/>
    </xf>
    <xf numFmtId="0" fontId="3" fillId="0" borderId="0" xfId="0" applyFont="1" applyAlignment="1">
      <alignment horizontal="left" indent="1"/>
    </xf>
    <xf numFmtId="178" fontId="0" fillId="0" borderId="0" xfId="0" applyNumberFormat="1"/>
    <xf numFmtId="178" fontId="3" fillId="0" borderId="0" xfId="0" applyNumberFormat="1" applyFont="1"/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177" fontId="0" fillId="0" borderId="0" xfId="0" applyNumberFormat="1"/>
    <xf numFmtId="177" fontId="2" fillId="0" borderId="0" xfId="0" applyNumberFormat="1" applyFont="1"/>
    <xf numFmtId="177" fontId="2" fillId="0" borderId="2" xfId="0" applyNumberFormat="1" applyFont="1" applyBorder="1"/>
    <xf numFmtId="177" fontId="4" fillId="0" borderId="2" xfId="0" applyNumberFormat="1" applyFont="1" applyBorder="1"/>
    <xf numFmtId="178" fontId="2" fillId="0" borderId="0" xfId="0" applyNumberFormat="1" applyFont="1"/>
    <xf numFmtId="178" fontId="2" fillId="0" borderId="2" xfId="0" applyNumberFormat="1" applyFont="1" applyBorder="1"/>
    <xf numFmtId="178" fontId="4" fillId="0" borderId="2" xfId="0" applyNumberFormat="1" applyFont="1" applyBorder="1"/>
    <xf numFmtId="0" fontId="0" fillId="0" borderId="0" xfId="0" applyAlignment="1">
      <alignment horizontal="left" indent="2"/>
    </xf>
    <xf numFmtId="0" fontId="3" fillId="0" borderId="0" xfId="0" applyFont="1" applyAlignment="1">
      <alignment horizontal="left" indent="2"/>
    </xf>
    <xf numFmtId="0" fontId="2" fillId="0" borderId="0" xfId="0" applyFont="1" applyAlignment="1">
      <alignment horizontal="left" indent="1"/>
    </xf>
    <xf numFmtId="0" fontId="4" fillId="0" borderId="0" xfId="0" applyFont="1" applyAlignment="1">
      <alignment horizontal="left" indent="1"/>
    </xf>
    <xf numFmtId="0" fontId="2" fillId="0" borderId="1" xfId="20">
      <alignment/>
      <protection/>
    </xf>
    <xf numFmtId="0" fontId="5" fillId="0" borderId="1" xfId="20" applyFont="1">
      <alignment/>
      <protection/>
    </xf>
    <xf numFmtId="0" fontId="8" fillId="0" borderId="0" xfId="0" applyFont="1" applyAlignment="1">
      <alignment horizontal="center" wrapText="1"/>
    </xf>
    <xf numFmtId="0" fontId="7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5" fillId="0" borderId="1" xfId="20" applyFont="1" applyAlignment="1">
      <alignment wrapText="1"/>
      <protection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left" wrapText="1" indent="1"/>
    </xf>
    <xf numFmtId="0" fontId="4" fillId="0" borderId="0" xfId="0" applyFont="1" applyAlignment="1">
      <alignment horizontal="left" wrapText="1"/>
    </xf>
    <xf numFmtId="0" fontId="3" fillId="0" borderId="0" xfId="0" applyFont="1" applyAlignment="1">
      <alignment horizontal="left" wrapText="1" indent="2"/>
    </xf>
    <xf numFmtId="0" fontId="4" fillId="0" borderId="0" xfId="0" applyFont="1" applyAlignment="1">
      <alignment horizontal="left" wrapText="1" indent="1"/>
    </xf>
    <xf numFmtId="0" fontId="0" fillId="0" borderId="0" xfId="0" applyAlignment="1">
      <alignment wrapText="1"/>
    </xf>
    <xf numFmtId="0" fontId="5" fillId="0" borderId="1" xfId="20" applyFont="1" applyBorder="1" applyAlignment="1">
      <alignment wrapText="1"/>
      <protection/>
    </xf>
    <xf numFmtId="0" fontId="5" fillId="0" borderId="1" xfId="20" applyFont="1" applyBorder="1" applyAlignment="1">
      <alignment horizontal="center" wrapText="1"/>
      <protection/>
    </xf>
    <xf numFmtId="0" fontId="3" fillId="0" borderId="0" xfId="0" applyFont="1" applyAlignment="1">
      <alignment wrapText="1"/>
    </xf>
    <xf numFmtId="178" fontId="3" fillId="0" borderId="0" xfId="0" applyNumberFormat="1" applyFont="1" applyAlignment="1">
      <alignment wrapText="1"/>
    </xf>
    <xf numFmtId="178" fontId="4" fillId="0" borderId="2" xfId="0" applyNumberFormat="1" applyFont="1" applyBorder="1" applyAlignment="1">
      <alignment wrapText="1"/>
    </xf>
    <xf numFmtId="177" fontId="4" fillId="0" borderId="2" xfId="0" applyNumberFormat="1" applyFont="1" applyBorder="1" applyAlignment="1">
      <alignment wrapText="1"/>
    </xf>
    <xf numFmtId="0" fontId="3" fillId="0" borderId="0" xfId="0" applyFont="1" applyAlignment="1">
      <alignment horizontal="center" wrapText="1"/>
    </xf>
  </cellXfs>
  <cellStyles count="9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HeaderCellStyle" xfId="20"/>
    <cellStyle name="GroupedCellStyle" xfId="21"/>
    <cellStyle name="TotalCellStyle" xfId="2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calcChain" Target="calcChain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8D4B3FEF-A70D-B944-82F4-C9836B181100}">
  <dimension ref="A1:BB134"/>
  <sheetViews>
    <sheetView tabSelected="1" workbookViewId="0" topLeftCell="A1"/>
  </sheetViews>
  <sheetFormatPr defaultColWidth="11.255" defaultRowHeight="16" outlineLevelRow="2"/>
  <cols>
    <col min="1" max="1" width="55.625" style="36" customWidth="1"/>
    <col min="2" max="2" width="17" style="36" customWidth="1"/>
    <col min="3" max="3" width="12.625" style="36" customWidth="1"/>
    <col min="4" max="4" width="16.125" style="36" customWidth="1"/>
    <col min="5" max="5" width="15.25" style="36" customWidth="1"/>
    <col min="6" max="6" width="16.125" style="36" customWidth="1"/>
    <col min="7" max="7" width="11" style="36" customWidth="1"/>
    <col min="8" max="8" width="16.125" style="36" customWidth="1"/>
    <col min="9" max="9" width="17" style="36" customWidth="1"/>
    <col min="10" max="10" width="16.125" style="36" customWidth="1"/>
    <col min="11" max="12" width="15.25" style="36" customWidth="1"/>
    <col min="13" max="14" width="16.125" style="36" customWidth="1"/>
    <col min="15" max="15" width="15.25" style="36" customWidth="1"/>
    <col min="16" max="17" width="16.125" style="36" customWidth="1"/>
    <col min="18" max="18" width="17" style="36" customWidth="1"/>
    <col min="19" max="19" width="16.125" style="36" customWidth="1"/>
    <col min="20" max="20" width="17" style="36" customWidth="1"/>
    <col min="21" max="24" width="16.125" style="36" customWidth="1"/>
    <col min="25" max="25" width="17" style="36" customWidth="1"/>
    <col min="26" max="26" width="16.125" style="36" customWidth="1"/>
    <col min="27" max="27" width="15.25" style="36" customWidth="1"/>
    <col min="28" max="28" width="17" style="36" customWidth="1"/>
    <col min="29" max="29" width="15.25" style="36" customWidth="1"/>
    <col min="30" max="37" width="16.125" style="36" customWidth="1"/>
    <col min="38" max="38" width="17" style="36" customWidth="1"/>
    <col min="39" max="40" width="16.125" style="36" customWidth="1"/>
    <col min="41" max="42" width="17" style="36" customWidth="1"/>
    <col min="43" max="49" width="16.125" style="36" customWidth="1"/>
    <col min="50" max="50" width="17" style="36" customWidth="1"/>
    <col min="51" max="53" width="16.125" style="36" customWidth="1"/>
    <col min="54" max="54" width="17" style="36" customWidth="1"/>
  </cols>
  <sheetData>
    <row r="1" spans="1:1" ht="16">
      <c r="A1" s="27" t="s">
        <v>0</v>
      </c>
    </row>
    <row r="2" spans="1:1" ht="16">
      <c r="A2" s="28" t="s">
        <v>1</v>
      </c>
    </row>
    <row r="3" spans="1:1" ht="16">
      <c r="A3" s="29" t="s">
        <v>2</v>
      </c>
    </row>
    <row r="5" spans="1:54" ht="16">
      <c r="A5" s="38" t="s">
        <v>128</v>
      </c>
      <c r="B5" s="38" t="s">
        <v>129</v>
      </c>
      <c r="C5" s="38" t="s">
        <v>130</v>
      </c>
      <c r="D5" s="38" t="s">
        <v>131</v>
      </c>
      <c r="E5" s="38" t="s">
        <v>132</v>
      </c>
      <c r="F5" s="38" t="s">
        <v>133</v>
      </c>
      <c r="G5" s="38" t="s">
        <v>134</v>
      </c>
      <c r="H5" s="38" t="s">
        <v>135</v>
      </c>
      <c r="I5" s="38" t="s">
        <v>136</v>
      </c>
      <c r="J5" s="38" t="s">
        <v>137</v>
      </c>
      <c r="K5" s="38" t="s">
        <v>138</v>
      </c>
      <c r="L5" s="38" t="s">
        <v>139</v>
      </c>
      <c r="M5" s="38" t="s">
        <v>140</v>
      </c>
      <c r="N5" s="38" t="s">
        <v>141</v>
      </c>
      <c r="O5" s="38" t="s">
        <v>142</v>
      </c>
      <c r="P5" s="38" t="s">
        <v>143</v>
      </c>
      <c r="Q5" s="38" t="s">
        <v>144</v>
      </c>
      <c r="R5" s="38" t="s">
        <v>145</v>
      </c>
      <c r="S5" s="38" t="s">
        <v>146</v>
      </c>
      <c r="T5" s="38" t="s">
        <v>147</v>
      </c>
      <c r="U5" s="38" t="s">
        <v>148</v>
      </c>
      <c r="V5" s="38" t="s">
        <v>149</v>
      </c>
      <c r="W5" s="38" t="s">
        <v>150</v>
      </c>
      <c r="X5" s="38" t="s">
        <v>151</v>
      </c>
      <c r="Y5" s="38" t="s">
        <v>152</v>
      </c>
      <c r="Z5" s="38" t="s">
        <v>153</v>
      </c>
      <c r="AA5" s="38" t="s">
        <v>154</v>
      </c>
      <c r="AB5" s="38" t="s">
        <v>155</v>
      </c>
      <c r="AC5" s="38" t="s">
        <v>156</v>
      </c>
      <c r="AD5" s="38" t="s">
        <v>157</v>
      </c>
      <c r="AE5" s="38" t="s">
        <v>158</v>
      </c>
      <c r="AF5" s="38" t="s">
        <v>159</v>
      </c>
      <c r="AG5" s="38" t="s">
        <v>160</v>
      </c>
      <c r="AH5" s="38" t="s">
        <v>161</v>
      </c>
      <c r="AI5" s="38" t="s">
        <v>162</v>
      </c>
      <c r="AJ5" s="38" t="s">
        <v>163</v>
      </c>
      <c r="AK5" s="38" t="s">
        <v>164</v>
      </c>
      <c r="AL5" s="38" t="s">
        <v>165</v>
      </c>
      <c r="AM5" s="38" t="s">
        <v>166</v>
      </c>
      <c r="AN5" s="38" t="s">
        <v>167</v>
      </c>
      <c r="AO5" s="38" t="s">
        <v>168</v>
      </c>
      <c r="AP5" s="38" t="s">
        <v>169</v>
      </c>
      <c r="AQ5" s="38" t="s">
        <v>170</v>
      </c>
      <c r="AR5" s="38" t="s">
        <v>171</v>
      </c>
      <c r="AS5" s="38" t="s">
        <v>172</v>
      </c>
      <c r="AT5" s="38" t="s">
        <v>173</v>
      </c>
      <c r="AU5" s="38" t="s">
        <v>174</v>
      </c>
      <c r="AV5" s="38" t="s">
        <v>175</v>
      </c>
      <c r="AW5" s="38" t="s">
        <v>176</v>
      </c>
      <c r="AX5" s="38" t="s">
        <v>177</v>
      </c>
      <c r="AY5" s="38" t="s">
        <v>178</v>
      </c>
      <c r="AZ5" s="38" t="s">
        <v>179</v>
      </c>
      <c r="BA5" s="38" t="s">
        <v>180</v>
      </c>
      <c r="BB5" s="38" t="s">
        <v>181</v>
      </c>
    </row>
    <row r="6" spans="1:53" ht="16">
      <c r="A6" s="31" t="s">
        <v>3</v>
      </c>
      <c r="B6" s="39"/>
      <c r="C6" s="39"/>
      <c r="D6" s="39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</row>
    <row r="7" spans="1:54" ht="16" outlineLevel="1">
      <c r="A7" s="32" t="s">
        <v>4</v>
      </c>
      <c r="B7" s="40">
        <v>200.0</v>
      </c>
      <c r="C7" s="40">
        <v>465.0</v>
      </c>
      <c r="D7" s="40">
        <v>74722.66</v>
      </c>
      <c r="E7" s="40">
        <v>144737.96</v>
      </c>
      <c r="F7" s="40">
        <v>219228.0</v>
      </c>
      <c r="G7" s="40">
        <v>118508.75</v>
      </c>
      <c r="H7" s="40">
        <v>209703.25</v>
      </c>
      <c r="I7" s="40">
        <v>120212.5</v>
      </c>
      <c r="J7" s="40">
        <v>467143.75</v>
      </c>
      <c r="K7" s="40">
        <v>306426.0</v>
      </c>
      <c r="L7" s="40">
        <v>289879.75</v>
      </c>
      <c r="M7" s="40">
        <v>296550.08</v>
      </c>
      <c r="N7" s="40">
        <v>327600.5</v>
      </c>
      <c r="O7" s="40">
        <v>301051.5</v>
      </c>
      <c r="P7" s="40">
        <v>154372.5</v>
      </c>
      <c r="Q7" s="40">
        <v>251806.25</v>
      </c>
      <c r="R7" s="40">
        <v>414712.25</v>
      </c>
      <c r="S7" s="40">
        <v>235139.75</v>
      </c>
      <c r="T7" s="40">
        <v>341210.75</v>
      </c>
      <c r="U7" s="40">
        <v>497084.5</v>
      </c>
      <c r="V7" s="40">
        <v>368901.72</v>
      </c>
      <c r="W7" s="40">
        <v>396357.9</v>
      </c>
      <c r="X7" s="40">
        <v>381260.75</v>
      </c>
      <c r="Y7" s="40">
        <v>290137.32</v>
      </c>
      <c r="Z7" s="40">
        <v>345511.5</v>
      </c>
      <c r="AA7" s="40">
        <v>536490.55</v>
      </c>
      <c r="AB7" s="40">
        <v>494871.15</v>
      </c>
      <c r="AC7" s="40">
        <v>432962.68</v>
      </c>
      <c r="AD7" s="40">
        <v>358016.05</v>
      </c>
      <c r="AE7" s="40">
        <v>400423.9</v>
      </c>
      <c r="AF7" s="40">
        <v>260427.73</v>
      </c>
      <c r="AG7" s="40">
        <v>357167.71</v>
      </c>
      <c r="AH7" s="40">
        <v>464321.2</v>
      </c>
      <c r="AI7" s="40">
        <v>320906.28</v>
      </c>
      <c r="AJ7" s="40">
        <v>340339.16</v>
      </c>
      <c r="AK7" s="40">
        <v>349508.4</v>
      </c>
      <c r="AL7" s="40">
        <v>319160.06</v>
      </c>
      <c r="AM7" s="40">
        <v>424054.22</v>
      </c>
      <c r="AN7" s="40">
        <v>443197.81</v>
      </c>
      <c r="AO7" s="40">
        <v>174847.64</v>
      </c>
      <c r="AP7" s="40">
        <v>375584.25</v>
      </c>
      <c r="AQ7" s="40">
        <v>269264.31</v>
      </c>
      <c r="AR7" s="40">
        <v>590755.5</v>
      </c>
      <c r="AS7" s="40">
        <v>300987.31</v>
      </c>
      <c r="AT7" s="40">
        <v>229642.16</v>
      </c>
      <c r="AU7" s="40">
        <v>350700.05</v>
      </c>
      <c r="AV7" s="40">
        <v>203894.36</v>
      </c>
      <c r="AW7" s="40">
        <v>222764.51</v>
      </c>
      <c r="AX7" s="40">
        <v>285091.62</v>
      </c>
      <c r="AY7" s="40">
        <v>190673.3</v>
      </c>
      <c r="AZ7" s="40">
        <v>275117.91</v>
      </c>
      <c r="BA7" s="40">
        <v>417519.71</v>
      </c>
      <c r="BB7" s="40">
        <f>B7+C7+D7+E7+F7+G7+H7+I7+J7+K7+L7+M7+N7+O7+P7+Q7+R7+S7+T7+U7+V7+W7+X7+Y7+Z7+AA7+AB7+AC7+AD7+AE7+AF7+AG7+AH7+AI7+AJ7+AK7+AL7+AM7+AN7+AO7+AP7+AQ7+AR7+AS7+AT7+AU7+AV7+AW7+AX7+AY7+AZ7+BA7</f>
        <v>1.5941614420000006E7</v>
      </c>
    </row>
    <row r="8" spans="1:54" ht="16" outlineLevel="1">
      <c r="A8" s="32" t="s">
        <v>5</v>
      </c>
      <c r="B8" s="39"/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40">
        <v>53.55</v>
      </c>
      <c r="AG8" s="39"/>
      <c r="AH8" s="40">
        <v>354.38</v>
      </c>
      <c r="AI8" s="39"/>
      <c r="AJ8" s="40">
        <v>198.62</v>
      </c>
      <c r="AK8" s="40">
        <v>126.77</v>
      </c>
      <c r="AL8" s="40">
        <v>1029.11</v>
      </c>
      <c r="AM8" s="40">
        <v>137.1</v>
      </c>
      <c r="AN8" s="39"/>
      <c r="AO8" s="39"/>
      <c r="AP8" s="40">
        <v>48.69</v>
      </c>
      <c r="AQ8" s="39"/>
      <c r="AR8" s="39"/>
      <c r="AS8" s="39"/>
      <c r="AT8" s="39"/>
      <c r="AU8" s="39"/>
      <c r="AV8" s="39"/>
      <c r="AW8" s="39"/>
      <c r="AX8" s="39"/>
      <c r="AY8" s="39"/>
      <c r="AZ8" s="40">
        <v>155.31</v>
      </c>
      <c r="BA8" s="40">
        <v>485.0</v>
      </c>
      <c r="BB8" s="40">
        <f>B8+C8+D8+E8+F8+G8+H8+I8+J8+K8+L8+M8+N8+O8+P8+Q8+R8+S8+T8+U8+V8+W8+X8+Y8+Z8+AA8+AB8+AC8+AD8+AE8+AF8+AG8+AH8+AI8+AJ8+AK8+AL8+AM8+AN8+AO8+AP8+AQ8+AR8+AS8+AT8+AU8+AV8+AW8+AX8+AY8+AZ8+BA8</f>
        <v>2588.5299999999997</v>
      </c>
    </row>
    <row r="9" spans="1:54" ht="16" outlineLevel="1">
      <c r="A9" s="32" t="s">
        <v>6</v>
      </c>
      <c r="B9" s="39"/>
      <c r="C9" s="39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40">
        <v>50.0</v>
      </c>
      <c r="AI9" s="39"/>
      <c r="AJ9" s="39"/>
      <c r="AK9" s="39"/>
      <c r="AL9" s="39"/>
      <c r="AM9" s="39"/>
      <c r="AN9" s="39"/>
      <c r="AO9" s="39"/>
      <c r="AP9" s="39"/>
      <c r="AQ9" s="39"/>
      <c r="AR9" s="39"/>
      <c r="AS9" s="39"/>
      <c r="AT9" s="39"/>
      <c r="AU9" s="39"/>
      <c r="AV9" s="39"/>
      <c r="AW9" s="39"/>
      <c r="AX9" s="39"/>
      <c r="AY9" s="39"/>
      <c r="AZ9" s="39"/>
      <c r="BA9" s="39"/>
      <c r="BB9" s="40">
        <f>B9+C9+D9+E9+F9+G9+H9+I9+J9+K9+L9+M9+N9+O9+P9+Q9+R9+S9+T9+U9+V9+W9+X9+Y9+Z9+AA9+AB9+AC9+AD9+AE9+AF9+AG9+AH9+AI9+AJ9+AK9+AL9+AM9+AN9+AO9+AP9+AQ9+AR9+AS9+AT9+AU9+AV9+AW9+AX9+AY9+AZ9+BA9</f>
        <v>50.0</v>
      </c>
    </row>
    <row r="10" spans="1:54" ht="16" outlineLevel="1">
      <c r="A10" s="32" t="s">
        <v>7</v>
      </c>
      <c r="B10" s="39"/>
      <c r="C10" s="39"/>
      <c r="D10" s="39"/>
      <c r="E10" s="39"/>
      <c r="F10" s="39"/>
      <c r="G10" s="39"/>
      <c r="H10" s="39"/>
      <c r="I10" s="40">
        <v>1005.0</v>
      </c>
      <c r="J10" s="39"/>
      <c r="K10" s="39"/>
      <c r="L10" s="39"/>
      <c r="M10" s="39"/>
      <c r="N10" s="39"/>
      <c r="O10" s="39"/>
      <c r="P10" s="39"/>
      <c r="Q10" s="39"/>
      <c r="R10" s="39"/>
      <c r="S10" s="40">
        <v>747.5</v>
      </c>
      <c r="T10" s="40">
        <v>9.0</v>
      </c>
      <c r="U10" s="40">
        <v>4083.2</v>
      </c>
      <c r="V10" s="40">
        <v>2306.0</v>
      </c>
      <c r="W10" s="40">
        <v>1712.5</v>
      </c>
      <c r="X10" s="40">
        <v>2082.5</v>
      </c>
      <c r="Y10" s="40">
        <v>1337.0</v>
      </c>
      <c r="Z10" s="40">
        <v>-1820.0</v>
      </c>
      <c r="AA10" s="40">
        <v>-728.41</v>
      </c>
      <c r="AB10" s="40">
        <v>-685.79</v>
      </c>
      <c r="AC10" s="39"/>
      <c r="AD10" s="39"/>
      <c r="AE10" s="40">
        <v>-4511.5</v>
      </c>
      <c r="AF10" s="40">
        <v>-1124.55</v>
      </c>
      <c r="AG10" s="40">
        <v>1600.0</v>
      </c>
      <c r="AH10" s="39"/>
      <c r="AI10" s="40">
        <v>0</v>
      </c>
      <c r="AJ10" s="40">
        <v>8000.0</v>
      </c>
      <c r="AK10" s="40">
        <v>161.5</v>
      </c>
      <c r="AL10" s="39"/>
      <c r="AM10" s="39"/>
      <c r="AN10" s="39"/>
      <c r="AO10" s="39"/>
      <c r="AP10" s="40">
        <v>-660.0</v>
      </c>
      <c r="AQ10" s="40">
        <v>20929.97</v>
      </c>
      <c r="AR10" s="40">
        <v>-20269.97</v>
      </c>
      <c r="AS10" s="39"/>
      <c r="AT10" s="39"/>
      <c r="AU10" s="39"/>
      <c r="AV10" s="40">
        <v>0</v>
      </c>
      <c r="AW10" s="39"/>
      <c r="AX10" s="39"/>
      <c r="AY10" s="39"/>
      <c r="AZ10" s="40">
        <v>0</v>
      </c>
      <c r="BA10" s="40">
        <v>1318.64</v>
      </c>
      <c r="BB10" s="40">
        <f>B10+C10+D10+E10+F10+G10+H10+I10+J10+K10+L10+M10+N10+O10+P10+Q10+R10+S10+T10+U10+V10+W10+X10+Y10+Z10+AA10+AB10+AC10+AD10+AE10+AF10+AG10+AH10+AI10+AJ10+AK10+AL10+AM10+AN10+AO10+AP10+AQ10+AR10+AS10+AT10+AU10+AV10+AW10+AX10+AY10+AZ10+BA10</f>
        <v>15492.589999999997</v>
      </c>
    </row>
    <row r="11" spans="1:54" ht="16">
      <c r="A11" s="33" t="s">
        <v>8</v>
      </c>
      <c r="B11" s="41">
        <f>B7+B8+B9+B10</f>
        <v>200.0</v>
      </c>
      <c r="C11" s="41">
        <f>C7+C8+C9+C10</f>
        <v>465.0</v>
      </c>
      <c r="D11" s="41">
        <f>D7+D8+D9+D10</f>
        <v>74722.66</v>
      </c>
      <c r="E11" s="41">
        <f>E7+E8+E9+E10</f>
        <v>144737.96</v>
      </c>
      <c r="F11" s="41">
        <f>F7+F8+F9+F10</f>
        <v>219228.0</v>
      </c>
      <c r="G11" s="41">
        <f>G7+G8+G9+G10</f>
        <v>118508.75</v>
      </c>
      <c r="H11" s="41">
        <f>H7+H8+H9+H10</f>
        <v>209703.25</v>
      </c>
      <c r="I11" s="41">
        <f>I7+I8+I9+I10</f>
        <v>121217.5</v>
      </c>
      <c r="J11" s="41">
        <f>J7+J8+J9+J10</f>
        <v>467143.75</v>
      </c>
      <c r="K11" s="41">
        <f>K7+K8+K9+K10</f>
        <v>306426.0</v>
      </c>
      <c r="L11" s="41">
        <f>L7+L8+L9+L10</f>
        <v>289879.75</v>
      </c>
      <c r="M11" s="41">
        <f>M7+M8+M9+M10</f>
        <v>296550.08</v>
      </c>
      <c r="N11" s="41">
        <f>N7+N8+N9+N10</f>
        <v>327600.5</v>
      </c>
      <c r="O11" s="41">
        <f>O7+O8+O9+O10</f>
        <v>301051.5</v>
      </c>
      <c r="P11" s="41">
        <f>P7+P8+P9+P10</f>
        <v>154372.5</v>
      </c>
      <c r="Q11" s="41">
        <f>Q7+Q8+Q9+Q10</f>
        <v>251806.25</v>
      </c>
      <c r="R11" s="41">
        <f>R7+R8+R9+R10</f>
        <v>414712.25</v>
      </c>
      <c r="S11" s="41">
        <f>S7+S8+S9+S10</f>
        <v>235887.25</v>
      </c>
      <c r="T11" s="41">
        <f>T7+T8+T9+T10</f>
        <v>341219.75</v>
      </c>
      <c r="U11" s="41">
        <f>U7+U8+U9+U10</f>
        <v>501167.7</v>
      </c>
      <c r="V11" s="41">
        <f>V7+V8+V9+V10</f>
        <v>371207.72</v>
      </c>
      <c r="W11" s="41">
        <f>W7+W8+W9+W10</f>
        <v>398070.4</v>
      </c>
      <c r="X11" s="41">
        <f>X7+X8+X9+X10</f>
        <v>383343.25</v>
      </c>
      <c r="Y11" s="41">
        <f>Y7+Y8+Y9+Y10</f>
        <v>291474.32</v>
      </c>
      <c r="Z11" s="41">
        <f>Z7+Z8+Z9+Z10</f>
        <v>343691.5</v>
      </c>
      <c r="AA11" s="41">
        <f>AA7+AA8+AA9+AA10</f>
        <v>535762.14</v>
      </c>
      <c r="AB11" s="41">
        <f>AB7+AB8+AB9+AB10</f>
        <v>494185.36000000004</v>
      </c>
      <c r="AC11" s="41">
        <f>AC7+AC8+AC9+AC10</f>
        <v>432962.68</v>
      </c>
      <c r="AD11" s="41">
        <f>AD7+AD8+AD9+AD10</f>
        <v>358016.05</v>
      </c>
      <c r="AE11" s="41">
        <f>AE7+AE8+AE9+AE10</f>
        <v>395912.4</v>
      </c>
      <c r="AF11" s="41">
        <f>AF7+AF8+AF9+AF10</f>
        <v>259356.73</v>
      </c>
      <c r="AG11" s="41">
        <f>AG7+AG8+AG9+AG10</f>
        <v>358767.71</v>
      </c>
      <c r="AH11" s="41">
        <f>AH7+AH8+AH9+AH10</f>
        <v>464725.58</v>
      </c>
      <c r="AI11" s="41">
        <f>AI7+AI8+AI9+AI10</f>
        <v>320906.28</v>
      </c>
      <c r="AJ11" s="41">
        <f>AJ7+AJ8+AJ9+AJ10</f>
        <v>348537.77999999997</v>
      </c>
      <c r="AK11" s="41">
        <f>AK7+AK8+AK9+AK10</f>
        <v>349796.67000000004</v>
      </c>
      <c r="AL11" s="41">
        <f>AL7+AL8+AL9+AL10</f>
        <v>320189.17</v>
      </c>
      <c r="AM11" s="41">
        <f>AM7+AM8+AM9+AM10</f>
        <v>424191.31999999995</v>
      </c>
      <c r="AN11" s="41">
        <f>AN7+AN8+AN9+AN10</f>
        <v>443197.81</v>
      </c>
      <c r="AO11" s="41">
        <f>AO7+AO8+AO9+AO10</f>
        <v>174847.64</v>
      </c>
      <c r="AP11" s="41">
        <f>AP7+AP8+AP9+AP10</f>
        <v>374972.94</v>
      </c>
      <c r="AQ11" s="41">
        <f>AQ7+AQ8+AQ9+AQ10</f>
        <v>290194.28</v>
      </c>
      <c r="AR11" s="41">
        <f>AR7+AR8+AR9+AR10</f>
        <v>570485.53</v>
      </c>
      <c r="AS11" s="41">
        <f>AS7+AS8+AS9+AS10</f>
        <v>300987.31</v>
      </c>
      <c r="AT11" s="41">
        <f>AT7+AT8+AT9+AT10</f>
        <v>229642.16</v>
      </c>
      <c r="AU11" s="41">
        <f>AU7+AU8+AU9+AU10</f>
        <v>350700.05</v>
      </c>
      <c r="AV11" s="41">
        <f>AV7+AV8+AV9+AV10</f>
        <v>203894.36</v>
      </c>
      <c r="AW11" s="41">
        <f>AW7+AW8+AW9+AW10</f>
        <v>222764.51</v>
      </c>
      <c r="AX11" s="41">
        <f>AX7+AX8+AX9+AX10</f>
        <v>285091.62</v>
      </c>
      <c r="AY11" s="41">
        <f>AY7+AY8+AY9+AY10</f>
        <v>190673.3</v>
      </c>
      <c r="AZ11" s="41">
        <f>AZ7+AZ8+AZ9+AZ10</f>
        <v>275273.22</v>
      </c>
      <c r="BA11" s="41">
        <f>BA7+BA8+BA9+BA10</f>
        <v>419323.35000000003</v>
      </c>
      <c r="BB11" s="42">
        <f>B11+C11+D11+E11+F11+G11+H11+I11+J11+K11+L11+M11+N11+O11+P11+Q11+R11+S11+T11+U11+V11+W11+X11+Y11+Z11+AA11+AB11+AC11+AD11+AE11+AF11+AG11+AH11+AI11+AJ11+AK11+AL11+AM11+AN11+AO11+AP11+AQ11+AR11+AS11+AT11+AU11+AV11+AW11+AX11+AY11+AZ11+BA11</f>
        <v>1.5959745540000001E7</v>
      </c>
    </row>
    <row r="12" spans="1:53" ht="16">
      <c r="A12" s="31" t="s">
        <v>9</v>
      </c>
      <c r="B12" s="39"/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39"/>
      <c r="AK12" s="39"/>
      <c r="AL12" s="39"/>
      <c r="AM12" s="39"/>
      <c r="AN12" s="39"/>
      <c r="AO12" s="39"/>
      <c r="AP12" s="39"/>
      <c r="AQ12" s="39"/>
      <c r="AR12" s="39"/>
      <c r="AS12" s="39"/>
      <c r="AT12" s="39"/>
      <c r="AU12" s="39"/>
      <c r="AV12" s="39"/>
      <c r="AW12" s="39"/>
      <c r="AX12" s="39"/>
      <c r="AY12" s="39"/>
      <c r="AZ12" s="39"/>
      <c r="BA12" s="39"/>
    </row>
    <row r="13" spans="1:54" ht="16" outlineLevel="1">
      <c r="A13" s="32" t="s">
        <v>10</v>
      </c>
      <c r="B13" s="40">
        <v>1040.21</v>
      </c>
      <c r="C13" s="40">
        <v>8173.79</v>
      </c>
      <c r="D13" s="40">
        <v>3680.01</v>
      </c>
      <c r="E13" s="40">
        <v>3287.15</v>
      </c>
      <c r="F13" s="40">
        <v>715.79</v>
      </c>
      <c r="G13" s="40">
        <v>817.8</v>
      </c>
      <c r="H13" s="40">
        <v>3876.33</v>
      </c>
      <c r="I13" s="40">
        <v>1807.8</v>
      </c>
      <c r="J13" s="40">
        <v>1676.98</v>
      </c>
      <c r="K13" s="40">
        <v>12280.16</v>
      </c>
      <c r="L13" s="40">
        <v>7311.16</v>
      </c>
      <c r="M13" s="40">
        <v>3008.88</v>
      </c>
      <c r="N13" s="40">
        <v>5297.27</v>
      </c>
      <c r="O13" s="40">
        <v>5501.92</v>
      </c>
      <c r="P13" s="40">
        <v>8547.91</v>
      </c>
      <c r="Q13" s="40">
        <v>15462.56</v>
      </c>
      <c r="R13" s="40">
        <v>15159.43</v>
      </c>
      <c r="S13" s="40">
        <v>5452.24</v>
      </c>
      <c r="T13" s="40">
        <v>10316.33</v>
      </c>
      <c r="U13" s="40">
        <v>7166.13</v>
      </c>
      <c r="V13" s="40">
        <v>3292.44</v>
      </c>
      <c r="W13" s="40">
        <v>9969.14</v>
      </c>
      <c r="X13" s="40">
        <v>12838.81</v>
      </c>
      <c r="Y13" s="40">
        <v>14760.25</v>
      </c>
      <c r="Z13" s="40">
        <v>23880.65</v>
      </c>
      <c r="AA13" s="40">
        <v>5159.92</v>
      </c>
      <c r="AB13" s="40">
        <v>41096.25</v>
      </c>
      <c r="AC13" s="40">
        <v>16279.69</v>
      </c>
      <c r="AD13" s="40">
        <v>6063.47</v>
      </c>
      <c r="AE13" s="40">
        <v>916.26</v>
      </c>
      <c r="AF13" s="40">
        <v>12363.21</v>
      </c>
      <c r="AG13" s="40">
        <v>10917.04</v>
      </c>
      <c r="AH13" s="40">
        <v>7415.98</v>
      </c>
      <c r="AI13" s="40">
        <v>8652.39</v>
      </c>
      <c r="AJ13" s="40">
        <v>5642.73</v>
      </c>
      <c r="AK13" s="40">
        <v>3738.4</v>
      </c>
      <c r="AL13" s="40">
        <v>13702.98</v>
      </c>
      <c r="AM13" s="40">
        <v>2008.6</v>
      </c>
      <c r="AN13" s="40">
        <v>5390.17</v>
      </c>
      <c r="AO13" s="40">
        <v>5465.48</v>
      </c>
      <c r="AP13" s="40">
        <v>2553.17</v>
      </c>
      <c r="AQ13" s="40">
        <v>2098.72</v>
      </c>
      <c r="AR13" s="40">
        <v>7119.26</v>
      </c>
      <c r="AS13" s="40">
        <v>15227.59</v>
      </c>
      <c r="AT13" s="40">
        <v>-532.95</v>
      </c>
      <c r="AU13" s="40">
        <v>-2351.09</v>
      </c>
      <c r="AV13" s="40">
        <v>147.78</v>
      </c>
      <c r="AW13" s="40">
        <v>11019.43</v>
      </c>
      <c r="AX13" s="40">
        <v>36144.85</v>
      </c>
      <c r="AY13" s="40">
        <v>11422.58</v>
      </c>
      <c r="AZ13" s="40">
        <v>29194.51</v>
      </c>
      <c r="BA13" s="40">
        <v>6892.88</v>
      </c>
      <c r="BB13" s="40">
        <f>B13+C13+D13+E13+F13+G13+H13+I13+J13+K13+L13+M13+N13+O13+P13+Q13+R13+S13+T13+U13+V13+W13+X13+Y13+Z13+AA13+AB13+AC13+AD13+AE13+AF13+AG13+AH13+AI13+AJ13+AK13+AL13+AM13+AN13+AO13+AP13+AQ13+AR13+AS13+AT13+AU13+AV13+AW13+AX13+AY13+AZ13+BA13</f>
        <v>449070.4399999999</v>
      </c>
    </row>
    <row r="14" spans="1:54" ht="16" outlineLevel="1">
      <c r="A14" s="32" t="s">
        <v>11</v>
      </c>
      <c r="B14" s="39"/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40">
        <v>89.34</v>
      </c>
      <c r="AA14" s="39"/>
      <c r="AB14" s="40">
        <v>1344.16</v>
      </c>
      <c r="AC14" s="40">
        <v>142.63</v>
      </c>
      <c r="AD14" s="40">
        <v>1820.69</v>
      </c>
      <c r="AE14" s="40">
        <v>824.27</v>
      </c>
      <c r="AF14" s="40">
        <v>38.66</v>
      </c>
      <c r="AG14" s="40">
        <v>1489.41</v>
      </c>
      <c r="AH14" s="39"/>
      <c r="AI14" s="40">
        <v>369.97</v>
      </c>
      <c r="AJ14" s="40">
        <v>-1006.39</v>
      </c>
      <c r="AK14" s="40">
        <v>-61.96</v>
      </c>
      <c r="AL14" s="40">
        <v>37284.63</v>
      </c>
      <c r="AM14" s="40">
        <v>-699.3</v>
      </c>
      <c r="AN14" s="40">
        <v>930.36</v>
      </c>
      <c r="AO14" s="40">
        <v>-899.4</v>
      </c>
      <c r="AP14" s="40">
        <v>-504.95</v>
      </c>
      <c r="AQ14" s="40">
        <v>-1318.22</v>
      </c>
      <c r="AR14" s="39"/>
      <c r="AS14" s="40">
        <v>-115.98</v>
      </c>
      <c r="AT14" s="40">
        <v>-410.58</v>
      </c>
      <c r="AU14" s="40">
        <v>-426.9</v>
      </c>
      <c r="AV14" s="39"/>
      <c r="AW14" s="40">
        <v>50.0</v>
      </c>
      <c r="AX14" s="40">
        <v>312.86</v>
      </c>
      <c r="AY14" s="40">
        <v>-651.04</v>
      </c>
      <c r="AZ14" s="40">
        <v>2679.05</v>
      </c>
      <c r="BA14" s="40">
        <v>-753.92</v>
      </c>
      <c r="BB14" s="40">
        <f>B14+C14+D14+E14+F14+G14+H14+I14+J14+K14+L14+M14+N14+O14+P14+Q14+R14+S14+T14+U14+V14+W14+X14+Y14+Z14+AA14+AB14+AC14+AD14+AE14+AF14+AG14+AH14+AI14+AJ14+AK14+AL14+AM14+AN14+AO14+AP14+AQ14+AR14+AS14+AT14+AU14+AV14+AW14+AX14+AY14+AZ14+BA14</f>
        <v>40527.38999999999</v>
      </c>
    </row>
    <row r="15" spans="1:54" ht="16" outlineLevel="1">
      <c r="A15" s="32" t="s">
        <v>12</v>
      </c>
      <c r="B15" s="39"/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40">
        <v>13192.27</v>
      </c>
      <c r="AD15" s="39"/>
      <c r="AE15" s="39"/>
      <c r="AF15" s="39"/>
      <c r="AG15" s="39"/>
      <c r="AH15" s="39"/>
      <c r="AI15" s="39"/>
      <c r="AJ15" s="39"/>
      <c r="AK15" s="39"/>
      <c r="AL15" s="39"/>
      <c r="AM15" s="39"/>
      <c r="AN15" s="39"/>
      <c r="AO15" s="39"/>
      <c r="AP15" s="39"/>
      <c r="AQ15" s="39"/>
      <c r="AR15" s="39"/>
      <c r="AS15" s="39"/>
      <c r="AT15" s="39"/>
      <c r="AU15" s="39"/>
      <c r="AV15" s="39"/>
      <c r="AW15" s="39"/>
      <c r="AX15" s="39"/>
      <c r="AY15" s="39"/>
      <c r="AZ15" s="39"/>
      <c r="BA15" s="39"/>
      <c r="BB15" s="40">
        <f>B15+C15+D15+E15+F15+G15+H15+I15+J15+K15+L15+M15+N15+O15+P15+Q15+R15+S15+T15+U15+V15+W15+X15+Y15+Z15+AA15+AB15+AC15+AD15+AE15+AF15+AG15+AH15+AI15+AJ15+AK15+AL15+AM15+AN15+AO15+AP15+AQ15+AR15+AS15+AT15+AU15+AV15+AW15+AX15+AY15+AZ15+BA15</f>
        <v>13192.27</v>
      </c>
    </row>
    <row r="16" spans="1:54" ht="16" outlineLevel="1">
      <c r="A16" s="32" t="s">
        <v>13</v>
      </c>
      <c r="B16" s="39"/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40">
        <v>16408.95</v>
      </c>
      <c r="AA16" s="40">
        <v>27540.52</v>
      </c>
      <c r="AB16" s="40">
        <v>37286.77</v>
      </c>
      <c r="AC16" s="40">
        <v>10978.76</v>
      </c>
      <c r="AD16" s="40">
        <v>2313.26</v>
      </c>
      <c r="AE16" s="40">
        <v>91858.87</v>
      </c>
      <c r="AF16" s="40">
        <v>1244.56</v>
      </c>
      <c r="AG16" s="40">
        <v>2877.76</v>
      </c>
      <c r="AH16" s="40">
        <v>3712.27</v>
      </c>
      <c r="AI16" s="40">
        <v>1309.37</v>
      </c>
      <c r="AJ16" s="40">
        <v>20082.46</v>
      </c>
      <c r="AK16" s="40">
        <v>4862.75</v>
      </c>
      <c r="AL16" s="40">
        <v>6601.0</v>
      </c>
      <c r="AM16" s="40">
        <v>11117.15</v>
      </c>
      <c r="AN16" s="40">
        <v>2319.33</v>
      </c>
      <c r="AO16" s="40">
        <v>3226.74</v>
      </c>
      <c r="AP16" s="40">
        <v>3021.09</v>
      </c>
      <c r="AQ16" s="40">
        <v>4656.1</v>
      </c>
      <c r="AR16" s="40">
        <v>2351.04</v>
      </c>
      <c r="AS16" s="40">
        <v>7712.5</v>
      </c>
      <c r="AT16" s="40">
        <v>6546.53</v>
      </c>
      <c r="AU16" s="40">
        <v>1132.84</v>
      </c>
      <c r="AV16" s="39"/>
      <c r="AW16" s="40">
        <v>5177.23</v>
      </c>
      <c r="AX16" s="40">
        <v>2400.0</v>
      </c>
      <c r="AY16" s="40">
        <v>574.0</v>
      </c>
      <c r="AZ16" s="40">
        <v>91.0</v>
      </c>
      <c r="BA16" s="40">
        <v>3790.02</v>
      </c>
      <c r="BB16" s="40">
        <f>B16+C16+D16+E16+F16+G16+H16+I16+J16+K16+L16+M16+N16+O16+P16+Q16+R16+S16+T16+U16+V16+W16+X16+Y16+Z16+AA16+AB16+AC16+AD16+AE16+AF16+AG16+AH16+AI16+AJ16+AK16+AL16+AM16+AN16+AO16+AP16+AQ16+AR16+AS16+AT16+AU16+AV16+AW16+AX16+AY16+AZ16+BA16</f>
        <v>281192.87</v>
      </c>
    </row>
    <row r="17" spans="1:54" ht="16" outlineLevel="1">
      <c r="A17" s="32" t="s">
        <v>14</v>
      </c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40">
        <v>2230.8</v>
      </c>
      <c r="AF17" s="40">
        <v>3685.19</v>
      </c>
      <c r="AG17" s="39"/>
      <c r="AH17" s="40">
        <v>247.25</v>
      </c>
      <c r="AI17" s="40">
        <v>2835.15</v>
      </c>
      <c r="AJ17" s="40">
        <v>2093.3</v>
      </c>
      <c r="AK17" s="40">
        <v>950.0</v>
      </c>
      <c r="AL17" s="39"/>
      <c r="AM17" s="39"/>
      <c r="AN17" s="39"/>
      <c r="AO17" s="39"/>
      <c r="AP17" s="39"/>
      <c r="AQ17" s="39"/>
      <c r="AR17" s="39"/>
      <c r="AS17" s="39"/>
      <c r="AT17" s="39"/>
      <c r="AU17" s="39"/>
      <c r="AV17" s="39"/>
      <c r="AW17" s="39"/>
      <c r="AX17" s="39"/>
      <c r="AY17" s="39"/>
      <c r="AZ17" s="39"/>
      <c r="BA17" s="39"/>
      <c r="BB17" s="40">
        <f>B17+C17+D17+E17+F17+G17+H17+I17+J17+K17+L17+M17+N17+O17+P17+Q17+R17+S17+T17+U17+V17+W17+X17+Y17+Z17+AA17+AB17+AC17+AD17+AE17+AF17+AG17+AH17+AI17+AJ17+AK17+AL17+AM17+AN17+AO17+AP17+AQ17+AR17+AS17+AT17+AU17+AV17+AW17+AX17+AY17+AZ17+BA17</f>
        <v>12041.689999999999</v>
      </c>
    </row>
    <row r="18" spans="1:54" ht="16" outlineLevel="1">
      <c r="A18" s="32" t="s">
        <v>15</v>
      </c>
      <c r="B18" s="39"/>
      <c r="C18" s="40">
        <v>156.0</v>
      </c>
      <c r="D18" s="40">
        <v>1831.87</v>
      </c>
      <c r="E18" s="40">
        <v>4829.5</v>
      </c>
      <c r="F18" s="40">
        <v>58008.92</v>
      </c>
      <c r="G18" s="39"/>
      <c r="H18" s="39"/>
      <c r="I18" s="39"/>
      <c r="J18" s="39"/>
      <c r="K18" s="40">
        <v>830.49</v>
      </c>
      <c r="L18" s="40">
        <v>1969.06</v>
      </c>
      <c r="M18" s="40">
        <v>19828.91</v>
      </c>
      <c r="N18" s="40">
        <v>18180.2</v>
      </c>
      <c r="O18" s="39"/>
      <c r="P18" s="40">
        <v>1500.0</v>
      </c>
      <c r="Q18" s="40">
        <v>10560.6</v>
      </c>
      <c r="R18" s="40">
        <v>29496.91</v>
      </c>
      <c r="S18" s="40">
        <v>44247.72</v>
      </c>
      <c r="T18" s="40">
        <v>56255.23</v>
      </c>
      <c r="U18" s="40">
        <v>46765.38</v>
      </c>
      <c r="V18" s="40">
        <v>35386.07</v>
      </c>
      <c r="W18" s="40">
        <v>38047.84</v>
      </c>
      <c r="X18" s="40">
        <v>42190.55</v>
      </c>
      <c r="Y18" s="40">
        <v>20877.25</v>
      </c>
      <c r="Z18" s="40">
        <v>100589.15</v>
      </c>
      <c r="AA18" s="40">
        <v>-1721.8</v>
      </c>
      <c r="AB18" s="40">
        <v>82768.97</v>
      </c>
      <c r="AC18" s="40">
        <v>20131.81</v>
      </c>
      <c r="AD18" s="40">
        <v>11902.41</v>
      </c>
      <c r="AE18" s="39"/>
      <c r="AF18" s="39"/>
      <c r="AG18" s="40">
        <v>600.0</v>
      </c>
      <c r="AH18" s="40">
        <v>300.0</v>
      </c>
      <c r="AI18" s="39"/>
      <c r="AJ18" s="39"/>
      <c r="AK18" s="40">
        <v>2281.02</v>
      </c>
      <c r="AL18" s="40">
        <v>17147.58</v>
      </c>
      <c r="AM18" s="40">
        <v>14792.09</v>
      </c>
      <c r="AN18" s="40">
        <v>8118.24</v>
      </c>
      <c r="AO18" s="40">
        <v>9544.22</v>
      </c>
      <c r="AP18" s="40">
        <v>4664.55</v>
      </c>
      <c r="AQ18" s="40">
        <v>971.23</v>
      </c>
      <c r="AR18" s="39"/>
      <c r="AS18" s="40">
        <v>5442.93</v>
      </c>
      <c r="AT18" s="39"/>
      <c r="AU18" s="40">
        <v>418.66</v>
      </c>
      <c r="AV18" s="39"/>
      <c r="AW18" s="40">
        <v>4092.52</v>
      </c>
      <c r="AX18" s="40">
        <v>4026.23</v>
      </c>
      <c r="AY18" s="40">
        <v>13171.19</v>
      </c>
      <c r="AZ18" s="40">
        <v>22716.87</v>
      </c>
      <c r="BA18" s="40">
        <v>3467.25</v>
      </c>
      <c r="BB18" s="40">
        <f>B18+C18+D18+E18+F18+G18+H18+I18+J18+K18+L18+M18+N18+O18+P18+Q18+R18+S18+T18+U18+V18+W18+X18+Y18+Z18+AA18+AB18+AC18+AD18+AE18+AF18+AG18+AH18+AI18+AJ18+AK18+AL18+AM18+AN18+AO18+AP18+AQ18+AR18+AS18+AT18+AU18+AV18+AW18+AX18+AY18+AZ18+BA18</f>
        <v>756387.6199999999</v>
      </c>
    </row>
    <row r="19" spans="1:54" ht="16" outlineLevel="1">
      <c r="A19" s="32" t="s">
        <v>16</v>
      </c>
      <c r="B19" s="39"/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39"/>
      <c r="AH19" s="39"/>
      <c r="AI19" s="39"/>
      <c r="AJ19" s="39"/>
      <c r="AK19" s="39"/>
      <c r="AL19" s="39"/>
      <c r="AM19" s="39"/>
      <c r="AN19" s="39"/>
      <c r="AO19" s="39"/>
      <c r="AP19" s="39"/>
      <c r="AQ19" s="39"/>
      <c r="AR19" s="39"/>
      <c r="AS19" s="39"/>
      <c r="AT19" s="39"/>
      <c r="AU19" s="39"/>
      <c r="AV19" s="39"/>
      <c r="AW19" s="39"/>
      <c r="AX19" s="39"/>
      <c r="AY19" s="39"/>
      <c r="AZ19" s="39"/>
      <c r="BA19" s="39"/>
      <c r="BB19" s="39"/>
    </row>
    <row r="20" spans="1:54" ht="16" outlineLevel="2">
      <c r="A20" s="34" t="s">
        <v>17</v>
      </c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40">
        <v>111779.17</v>
      </c>
      <c r="AF20" s="40">
        <v>155704.63</v>
      </c>
      <c r="AG20" s="40">
        <v>148116.64</v>
      </c>
      <c r="AH20" s="40">
        <v>124528.69</v>
      </c>
      <c r="AI20" s="40">
        <v>152827.53</v>
      </c>
      <c r="AJ20" s="40">
        <v>110876.62</v>
      </c>
      <c r="AK20" s="40">
        <v>105824.09</v>
      </c>
      <c r="AL20" s="40">
        <v>147510.49</v>
      </c>
      <c r="AM20" s="40">
        <v>113968.85</v>
      </c>
      <c r="AN20" s="40">
        <v>143932.69</v>
      </c>
      <c r="AO20" s="40">
        <v>133843.65</v>
      </c>
      <c r="AP20" s="40">
        <v>119534.83</v>
      </c>
      <c r="AQ20" s="40">
        <v>132822.18</v>
      </c>
      <c r="AR20" s="40">
        <v>107273.28</v>
      </c>
      <c r="AS20" s="40">
        <v>107565.59</v>
      </c>
      <c r="AT20" s="40">
        <v>77593.26</v>
      </c>
      <c r="AU20" s="40">
        <v>90408.84</v>
      </c>
      <c r="AV20" s="40">
        <v>69838.15</v>
      </c>
      <c r="AW20" s="40">
        <v>81041.59</v>
      </c>
      <c r="AX20" s="40">
        <v>99904.94</v>
      </c>
      <c r="AY20" s="40">
        <v>81630.05</v>
      </c>
      <c r="AZ20" s="40">
        <v>120370.05</v>
      </c>
      <c r="BA20" s="40">
        <v>99576.72</v>
      </c>
      <c r="BB20" s="40">
        <f>B20+C20+D20+E20+F20+G20+H20+I20+J20+K20+L20+M20+N20+O20+P20+Q20+R20+S20+T20+U20+V20+W20+X20+Y20+Z20+AA20+AB20+AC20+AD20+AE20+AF20+AG20+AH20+AI20+AJ20+AK20+AL20+AM20+AN20+AO20+AP20+AQ20+AR20+AS20+AT20+AU20+AV20+AW20+AX20+AY20+AZ20+BA20</f>
        <v>2636472.53</v>
      </c>
    </row>
    <row r="21" spans="1:54" ht="16" outlineLevel="2">
      <c r="A21" s="34" t="s">
        <v>18</v>
      </c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39"/>
      <c r="AE21" s="40">
        <v>2579.28</v>
      </c>
      <c r="AF21" s="40">
        <v>10895.66</v>
      </c>
      <c r="AG21" s="40">
        <v>17758.59</v>
      </c>
      <c r="AH21" s="40">
        <v>6485.39</v>
      </c>
      <c r="AI21" s="40">
        <v>18082.66</v>
      </c>
      <c r="AJ21" s="40">
        <v>9761.89</v>
      </c>
      <c r="AK21" s="40">
        <v>11503.87</v>
      </c>
      <c r="AL21" s="40">
        <v>19663.19</v>
      </c>
      <c r="AM21" s="40">
        <v>20300.75</v>
      </c>
      <c r="AN21" s="40">
        <v>24291.99</v>
      </c>
      <c r="AO21" s="40">
        <v>27622.08</v>
      </c>
      <c r="AP21" s="40">
        <v>7678.67</v>
      </c>
      <c r="AQ21" s="40">
        <v>7822.23</v>
      </c>
      <c r="AR21" s="40">
        <v>4357.37</v>
      </c>
      <c r="AS21" s="40">
        <v>6228.32</v>
      </c>
      <c r="AT21" s="40">
        <v>2213.23</v>
      </c>
      <c r="AU21" s="40">
        <v>2770.27</v>
      </c>
      <c r="AV21" s="40">
        <v>2552.33</v>
      </c>
      <c r="AW21" s="40">
        <v>9527.39</v>
      </c>
      <c r="AX21" s="40">
        <v>6817.96</v>
      </c>
      <c r="AY21" s="40">
        <v>14717.13</v>
      </c>
      <c r="AZ21" s="40">
        <v>25410.46</v>
      </c>
      <c r="BA21" s="40">
        <v>18581.63</v>
      </c>
      <c r="BB21" s="40">
        <f>B21+C21+D21+E21+F21+G21+H21+I21+J21+K21+L21+M21+N21+O21+P21+Q21+R21+S21+T21+U21+V21+W21+X21+Y21+Z21+AA21+AB21+AC21+AD21+AE21+AF21+AG21+AH21+AI21+AJ21+AK21+AL21+AM21+AN21+AO21+AP21+AQ21+AR21+AS21+AT21+AU21+AV21+AW21+AX21+AY21+AZ21+BA21</f>
        <v>277622.33999999997</v>
      </c>
    </row>
    <row r="22" spans="1:54" ht="16" outlineLevel="2">
      <c r="A22" s="34" t="s">
        <v>19</v>
      </c>
      <c r="B22" s="39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40">
        <v>2500.0</v>
      </c>
      <c r="AF22" s="39"/>
      <c r="AG22" s="39"/>
      <c r="AH22" s="39"/>
      <c r="AI22" s="40">
        <v>1000.0</v>
      </c>
      <c r="AJ22" s="40">
        <v>1000.0</v>
      </c>
      <c r="AK22" s="39"/>
      <c r="AL22" s="39"/>
      <c r="AM22" s="40">
        <v>2950.0</v>
      </c>
      <c r="AN22" s="40">
        <v>4475.0</v>
      </c>
      <c r="AO22" s="40">
        <v>5400.0</v>
      </c>
      <c r="AP22" s="40">
        <v>3250.0</v>
      </c>
      <c r="AQ22" s="40">
        <v>1000.0</v>
      </c>
      <c r="AR22" s="40">
        <v>1000.0</v>
      </c>
      <c r="AS22" s="40">
        <v>365.82</v>
      </c>
      <c r="AT22" s="40">
        <v>1941.0</v>
      </c>
      <c r="AU22" s="40">
        <v>51.0</v>
      </c>
      <c r="AV22" s="39"/>
      <c r="AW22" s="40">
        <v>2000.0</v>
      </c>
      <c r="AX22" s="39"/>
      <c r="AY22" s="39"/>
      <c r="AZ22" s="39"/>
      <c r="BA22" s="40">
        <v>2000.0</v>
      </c>
      <c r="BB22" s="40">
        <f>B22+C22+D22+E22+F22+G22+H22+I22+J22+K22+L22+M22+N22+O22+P22+Q22+R22+S22+T22+U22+V22+W22+X22+Y22+Z22+AA22+AB22+AC22+AD22+AE22+AF22+AG22+AH22+AI22+AJ22+AK22+AL22+AM22+AN22+AO22+AP22+AQ22+AR22+AS22+AT22+AU22+AV22+AW22+AX22+AY22+AZ22+BA22</f>
        <v>28932.82</v>
      </c>
    </row>
    <row r="23" spans="1:54" ht="16" outlineLevel="2">
      <c r="A23" s="34" t="s">
        <v>20</v>
      </c>
      <c r="B23" s="39"/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40">
        <v>66.99</v>
      </c>
      <c r="AH23" s="40">
        <v>39.99</v>
      </c>
      <c r="AI23" s="39"/>
      <c r="AJ23" s="39"/>
      <c r="AK23" s="40">
        <v>538.42</v>
      </c>
      <c r="AL23" s="40">
        <v>2204.0</v>
      </c>
      <c r="AM23" s="40">
        <v>2893.43</v>
      </c>
      <c r="AN23" s="40">
        <v>2977.39</v>
      </c>
      <c r="AO23" s="40">
        <v>2677.8</v>
      </c>
      <c r="AP23" s="40">
        <v>1513.01</v>
      </c>
      <c r="AQ23" s="40">
        <v>1782.28</v>
      </c>
      <c r="AR23" s="40">
        <v>1155.87</v>
      </c>
      <c r="AS23" s="40">
        <v>114.49</v>
      </c>
      <c r="AT23" s="40">
        <v>2252.31</v>
      </c>
      <c r="AU23" s="40">
        <v>2167.44</v>
      </c>
      <c r="AV23" s="40">
        <v>-10.0</v>
      </c>
      <c r="AW23" s="39"/>
      <c r="AX23" s="40">
        <v>712.93</v>
      </c>
      <c r="AY23" s="40">
        <v>1782.91</v>
      </c>
      <c r="AZ23" s="40">
        <v>1609.08</v>
      </c>
      <c r="BA23" s="40">
        <v>1637.73</v>
      </c>
      <c r="BB23" s="40">
        <f>B23+C23+D23+E23+F23+G23+H23+I23+J23+K23+L23+M23+N23+O23+P23+Q23+R23+S23+T23+U23+V23+W23+X23+Y23+Z23+AA23+AB23+AC23+AD23+AE23+AF23+AG23+AH23+AI23+AJ23+AK23+AL23+AM23+AN23+AO23+AP23+AQ23+AR23+AS23+AT23+AU23+AV23+AW23+AX23+AY23+AZ23+BA23</f>
        <v>26116.069999999996</v>
      </c>
    </row>
    <row r="24" spans="1:54" ht="16" outlineLevel="2">
      <c r="A24" s="34" t="s">
        <v>21</v>
      </c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  <c r="AI24" s="39"/>
      <c r="AJ24" s="39"/>
      <c r="AK24" s="39"/>
      <c r="AL24" s="39"/>
      <c r="AM24" s="39"/>
      <c r="AN24" s="39"/>
      <c r="AO24" s="39"/>
      <c r="AP24" s="39"/>
      <c r="AQ24" s="40">
        <v>16222.27</v>
      </c>
      <c r="AR24" s="40">
        <v>11321.78</v>
      </c>
      <c r="AS24" s="40">
        <v>10555.73</v>
      </c>
      <c r="AT24" s="40">
        <v>7130.41</v>
      </c>
      <c r="AU24" s="40">
        <v>8028.02</v>
      </c>
      <c r="AV24" s="40">
        <v>6340.47</v>
      </c>
      <c r="AW24" s="40">
        <v>7863.04</v>
      </c>
      <c r="AX24" s="40">
        <v>7545.94</v>
      </c>
      <c r="AY24" s="40">
        <v>7592.8</v>
      </c>
      <c r="AZ24" s="40">
        <v>10755.49</v>
      </c>
      <c r="BA24" s="40">
        <v>8275.8</v>
      </c>
      <c r="BB24" s="40">
        <f>B24+C24+D24+E24+F24+G24+H24+I24+J24+K24+L24+M24+N24+O24+P24+Q24+R24+S24+T24+U24+V24+W24+X24+Y24+Z24+AA24+AB24+AC24+AD24+AE24+AF24+AG24+AH24+AI24+AJ24+AK24+AL24+AM24+AN24+AO24+AP24+AQ24+AR24+AS24+AT24+AU24+AV24+AW24+AX24+AY24+AZ24+BA24</f>
        <v>101631.75000000001</v>
      </c>
    </row>
    <row r="25" spans="1:54" ht="16" outlineLevel="1">
      <c r="A25" s="35" t="s">
        <v>22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  <c r="AA25" s="41"/>
      <c r="AB25" s="41"/>
      <c r="AC25" s="41"/>
      <c r="AD25" s="41"/>
      <c r="AE25" s="41">
        <f>AE19+AE20+AE21+AE22+AE23+AE24</f>
        <v>116858.45</v>
      </c>
      <c r="AF25" s="41">
        <f>AF19+AF20+AF21+AF22+AF23+AF24</f>
        <v>166600.29</v>
      </c>
      <c r="AG25" s="41">
        <f>AG19+AG20+AG21+AG22+AG23+AG24</f>
        <v>165942.22</v>
      </c>
      <c r="AH25" s="41">
        <f>AH19+AH20+AH21+AH22+AH23+AH24</f>
        <v>131054.07</v>
      </c>
      <c r="AI25" s="41">
        <f>AI19+AI20+AI21+AI22+AI23+AI24</f>
        <v>171910.19</v>
      </c>
      <c r="AJ25" s="41">
        <f>AJ19+AJ20+AJ21+AJ22+AJ23+AJ24</f>
        <v>121638.51</v>
      </c>
      <c r="AK25" s="41">
        <f>AK19+AK20+AK21+AK22+AK23+AK24</f>
        <v>117866.37999999999</v>
      </c>
      <c r="AL25" s="41">
        <f>AL19+AL20+AL21+AL22+AL23+AL24</f>
        <v>169377.68</v>
      </c>
      <c r="AM25" s="41">
        <f>AM19+AM20+AM21+AM22+AM23+AM24</f>
        <v>140113.03</v>
      </c>
      <c r="AN25" s="41">
        <f>AN19+AN20+AN21+AN22+AN23+AN24</f>
        <v>175677.07</v>
      </c>
      <c r="AO25" s="41">
        <f>AO19+AO20+AO21+AO22+AO23+AO24</f>
        <v>169543.52999999997</v>
      </c>
      <c r="AP25" s="41">
        <f>AP19+AP20+AP21+AP22+AP23+AP24</f>
        <v>131976.51</v>
      </c>
      <c r="AQ25" s="41">
        <f>AQ19+AQ20+AQ21+AQ22+AQ23+AQ24</f>
        <v>159648.96</v>
      </c>
      <c r="AR25" s="41">
        <f>AR19+AR20+AR21+AR22+AR23+AR24</f>
        <v>125108.29999999999</v>
      </c>
      <c r="AS25" s="41">
        <f>AS19+AS20+AS21+AS22+AS23+AS24</f>
        <v>124829.95000000001</v>
      </c>
      <c r="AT25" s="41">
        <f>AT19+AT20+AT21+AT22+AT23+AT24</f>
        <v>91130.20999999999</v>
      </c>
      <c r="AU25" s="41">
        <f>AU19+AU20+AU21+AU22+AU23+AU24</f>
        <v>103425.57</v>
      </c>
      <c r="AV25" s="41">
        <f>AV19+AV20+AV21+AV22+AV23+AV24</f>
        <v>78720.95</v>
      </c>
      <c r="AW25" s="41">
        <f>AW19+AW20+AW21+AW22+AW23+AW24</f>
        <v>100432.01999999999</v>
      </c>
      <c r="AX25" s="41">
        <f>AX19+AX20+AX21+AX22+AX23+AX24</f>
        <v>114981.77</v>
      </c>
      <c r="AY25" s="41">
        <f>AY19+AY20+AY21+AY22+AY23+AY24</f>
        <v>105722.89000000001</v>
      </c>
      <c r="AZ25" s="41">
        <f>AZ19+AZ20+AZ21+AZ22+AZ23+AZ24</f>
        <v>158145.08</v>
      </c>
      <c r="BA25" s="41">
        <f>BA19+BA20+BA21+BA22+BA23+BA24</f>
        <v>130071.88</v>
      </c>
      <c r="BB25" s="42">
        <f>B25+C25+D25+E25+F25+G25+H25+I25+J25+K25+L25+M25+N25+O25+P25+Q25+R25+S25+T25+U25+V25+W25+X25+Y25+Z25+AA25+AB25+AC25+AD25+AE25+AF25+AG25+AH25+AI25+AJ25+AK25+AL25+AM25+AN25+AO25+AP25+AQ25+AR25+AS25+AT25+AU25+AV25+AW25+AX25+AY25+AZ25+BA25</f>
        <v>3070775.5100000002</v>
      </c>
    </row>
    <row r="26" spans="1:54" ht="16" outlineLevel="1">
      <c r="A26" s="32" t="s">
        <v>23</v>
      </c>
      <c r="B26" s="40">
        <v>140.0</v>
      </c>
      <c r="C26" s="40">
        <v>560.0</v>
      </c>
      <c r="D26" s="39"/>
      <c r="E26" s="40">
        <v>280.0</v>
      </c>
      <c r="F26" s="39"/>
      <c r="G26" s="39"/>
      <c r="H26" s="40">
        <v>280.0</v>
      </c>
      <c r="I26" s="39"/>
      <c r="J26" s="40">
        <v>280.0</v>
      </c>
      <c r="K26" s="40">
        <v>715.0</v>
      </c>
      <c r="L26" s="40">
        <v>4265.0</v>
      </c>
      <c r="M26" s="40">
        <v>-125.0</v>
      </c>
      <c r="N26" s="40">
        <v>1150.0</v>
      </c>
      <c r="O26" s="40">
        <v>835.0</v>
      </c>
      <c r="P26" s="40">
        <v>1790.0</v>
      </c>
      <c r="Q26" s="40">
        <v>1275.0</v>
      </c>
      <c r="R26" s="40">
        <v>715.0</v>
      </c>
      <c r="S26" s="40">
        <v>3310.0</v>
      </c>
      <c r="T26" s="40">
        <v>5045.0</v>
      </c>
      <c r="U26" s="40">
        <v>615.0</v>
      </c>
      <c r="V26" s="40">
        <v>60.0</v>
      </c>
      <c r="W26" s="40">
        <v>255.0</v>
      </c>
      <c r="X26" s="40">
        <v>700.0</v>
      </c>
      <c r="Y26" s="40">
        <v>715.0</v>
      </c>
      <c r="Z26" s="40">
        <v>3060.0</v>
      </c>
      <c r="AA26" s="39"/>
      <c r="AB26" s="40">
        <v>1419.96</v>
      </c>
      <c r="AC26" s="40">
        <v>4850.0</v>
      </c>
      <c r="AD26" s="40">
        <v>2560.0</v>
      </c>
      <c r="AE26" s="39"/>
      <c r="AF26" s="40">
        <v>781.0</v>
      </c>
      <c r="AG26" s="40">
        <v>520.0</v>
      </c>
      <c r="AH26" s="40">
        <v>1016.0</v>
      </c>
      <c r="AI26" s="40">
        <v>-260.0</v>
      </c>
      <c r="AJ26" s="39"/>
      <c r="AK26" s="40">
        <v>1251.85</v>
      </c>
      <c r="AL26" s="39"/>
      <c r="AM26" s="40">
        <v>1530.0</v>
      </c>
      <c r="AN26" s="40">
        <v>60.0</v>
      </c>
      <c r="AO26" s="40">
        <v>2575.0</v>
      </c>
      <c r="AP26" s="40">
        <v>1002.5</v>
      </c>
      <c r="AQ26" s="40">
        <v>-40.0</v>
      </c>
      <c r="AR26" s="39"/>
      <c r="AS26" s="39"/>
      <c r="AT26" s="40">
        <v>1898.26</v>
      </c>
      <c r="AU26" s="40">
        <v>1160.0</v>
      </c>
      <c r="AV26" s="40">
        <v>1665.0</v>
      </c>
      <c r="AW26" s="40">
        <v>193.5</v>
      </c>
      <c r="AX26" s="39"/>
      <c r="AY26" s="39"/>
      <c r="AZ26" s="40">
        <v>95.0</v>
      </c>
      <c r="BA26" s="40">
        <v>95.0</v>
      </c>
      <c r="BB26" s="40">
        <f>B26+C26+D26+E26+F26+G26+H26+I26+J26+K26+L26+M26+N26+O26+P26+Q26+R26+S26+T26+U26+V26+W26+X26+Y26+Z26+AA26+AB26+AC26+AD26+AE26+AF26+AG26+AH26+AI26+AJ26+AK26+AL26+AM26+AN26+AO26+AP26+AQ26+AR26+AS26+AT26+AU26+AV26+AW26+AX26+AY26+AZ26+BA26</f>
        <v>48293.07</v>
      </c>
    </row>
    <row r="27" spans="1:54" ht="16" outlineLevel="1">
      <c r="A27" s="32" t="s">
        <v>24</v>
      </c>
      <c r="B27" s="39"/>
      <c r="C27" s="39"/>
      <c r="D27" s="40">
        <v>220.48</v>
      </c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/>
      <c r="AD27" s="39"/>
      <c r="AE27" s="40">
        <v>1227.6</v>
      </c>
      <c r="AF27" s="40">
        <v>670.06</v>
      </c>
      <c r="AG27" s="40">
        <v>572.88</v>
      </c>
      <c r="AH27" s="40">
        <v>429.64</v>
      </c>
      <c r="AI27" s="40">
        <v>470.58</v>
      </c>
      <c r="AJ27" s="40">
        <v>1089.48</v>
      </c>
      <c r="AK27" s="40">
        <v>102.3</v>
      </c>
      <c r="AL27" s="40">
        <v>2752.54</v>
      </c>
      <c r="AM27" s="40">
        <v>521.72</v>
      </c>
      <c r="AN27" s="40">
        <v>3483.3</v>
      </c>
      <c r="AO27" s="40">
        <v>1023.0</v>
      </c>
      <c r="AP27" s="40">
        <v>56.26</v>
      </c>
      <c r="AQ27" s="40">
        <v>363.6</v>
      </c>
      <c r="AR27" s="40">
        <v>1538.26</v>
      </c>
      <c r="AS27" s="40">
        <v>1668.54</v>
      </c>
      <c r="AT27" s="40">
        <v>670.5</v>
      </c>
      <c r="AU27" s="40">
        <v>465.9</v>
      </c>
      <c r="AV27" s="40">
        <v>1596.9</v>
      </c>
      <c r="AW27" s="40">
        <v>410.46</v>
      </c>
      <c r="AX27" s="40">
        <v>1615.23</v>
      </c>
      <c r="AY27" s="40">
        <v>3551.42</v>
      </c>
      <c r="AZ27" s="40">
        <v>4086.12</v>
      </c>
      <c r="BA27" s="40">
        <v>1379.68</v>
      </c>
      <c r="BB27" s="40">
        <f>B27+C27+D27+E27+F27+G27+H27+I27+J27+K27+L27+M27+N27+O27+P27+Q27+R27+S27+T27+U27+V27+W27+X27+Y27+Z27+AA27+AB27+AC27+AD27+AE27+AF27+AG27+AH27+AI27+AJ27+AK27+AL27+AM27+AN27+AO27+AP27+AQ27+AR27+AS27+AT27+AU27+AV27+AW27+AX27+AY27+AZ27+BA27</f>
        <v>29966.45</v>
      </c>
    </row>
    <row r="28" spans="1:54" ht="16" outlineLevel="1">
      <c r="A28" s="32" t="s">
        <v>25</v>
      </c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/>
      <c r="AD28" s="39"/>
      <c r="AE28" s="39"/>
      <c r="AF28" s="39"/>
      <c r="AG28" s="39"/>
      <c r="AH28" s="39"/>
      <c r="AI28" s="39"/>
      <c r="AJ28" s="39"/>
      <c r="AK28" s="39"/>
      <c r="AL28" s="39"/>
      <c r="AM28" s="39"/>
      <c r="AN28" s="39"/>
      <c r="AO28" s="39"/>
      <c r="AP28" s="39"/>
      <c r="AQ28" s="39"/>
      <c r="AR28" s="39"/>
      <c r="AS28" s="39"/>
      <c r="AT28" s="39"/>
      <c r="AU28" s="39"/>
      <c r="AV28" s="39"/>
      <c r="AW28" s="39"/>
      <c r="AX28" s="39"/>
      <c r="AY28" s="39"/>
      <c r="AZ28" s="39"/>
      <c r="BA28" s="39"/>
      <c r="BB28" s="39"/>
    </row>
    <row r="29" spans="1:54" ht="16" outlineLevel="2">
      <c r="A29" s="34" t="s">
        <v>26</v>
      </c>
      <c r="B29" s="39"/>
      <c r="C29" s="39"/>
      <c r="D29" s="39"/>
      <c r="E29" s="39"/>
      <c r="F29" s="40">
        <v>16.78</v>
      </c>
      <c r="G29" s="39"/>
      <c r="H29" s="39"/>
      <c r="I29" s="39"/>
      <c r="J29" s="39"/>
      <c r="K29" s="39"/>
      <c r="L29" s="39"/>
      <c r="M29" s="39"/>
      <c r="N29" s="40">
        <v>154.0</v>
      </c>
      <c r="O29" s="39"/>
      <c r="P29" s="39"/>
      <c r="Q29" s="39"/>
      <c r="R29" s="39"/>
      <c r="S29" s="39"/>
      <c r="T29" s="40">
        <v>380.0</v>
      </c>
      <c r="U29" s="40">
        <v>190.0</v>
      </c>
      <c r="V29" s="40">
        <v>190.0</v>
      </c>
      <c r="W29" s="39"/>
      <c r="X29" s="40">
        <v>6.99</v>
      </c>
      <c r="Y29" s="39"/>
      <c r="Z29" s="39"/>
      <c r="AA29" s="39"/>
      <c r="AB29" s="39"/>
      <c r="AC29" s="40">
        <v>309.7</v>
      </c>
      <c r="AD29" s="40">
        <v>643.64</v>
      </c>
      <c r="AE29" s="40">
        <v>284.0</v>
      </c>
      <c r="AF29" s="40">
        <v>284.0</v>
      </c>
      <c r="AG29" s="40">
        <v>284.0</v>
      </c>
      <c r="AH29" s="40">
        <v>284.0</v>
      </c>
      <c r="AI29" s="40">
        <v>284.0</v>
      </c>
      <c r="AJ29" s="40">
        <v>284.0</v>
      </c>
      <c r="AK29" s="40">
        <v>4.18</v>
      </c>
      <c r="AL29" s="40">
        <v>284.0</v>
      </c>
      <c r="AM29" s="40">
        <v>284.0</v>
      </c>
      <c r="AN29" s="40">
        <v>284.0</v>
      </c>
      <c r="AO29" s="40">
        <v>313.96</v>
      </c>
      <c r="AP29" s="40">
        <v>284.0</v>
      </c>
      <c r="AQ29" s="40">
        <v>284.0</v>
      </c>
      <c r="AR29" s="40">
        <v>284.0</v>
      </c>
      <c r="AS29" s="40">
        <v>20.0</v>
      </c>
      <c r="AT29" s="39"/>
      <c r="AU29" s="39"/>
      <c r="AV29" s="40">
        <v>30.0</v>
      </c>
      <c r="AW29" s="40">
        <v>42.5</v>
      </c>
      <c r="AX29" s="39"/>
      <c r="AY29" s="39"/>
      <c r="AZ29" s="39"/>
      <c r="BA29" s="39"/>
      <c r="BB29" s="40">
        <f>B29+C29+D29+E29+F29+G29+H29+I29+J29+K29+L29+M29+N29+O29+P29+Q29+R29+S29+T29+U29+V29+W29+X29+Y29+Z29+AA29+AB29+AC29+AD29+AE29+AF29+AG29+AH29+AI29+AJ29+AK29+AL29+AM29+AN29+AO29+AP29+AQ29+AR29+AS29+AT29+AU29+AV29+AW29+AX29+AY29+AZ29+BA29</f>
        <v>5709.75</v>
      </c>
    </row>
    <row r="30" spans="1:54" ht="16" outlineLevel="2">
      <c r="A30" s="34" t="s">
        <v>27</v>
      </c>
      <c r="B30" s="39"/>
      <c r="C30" s="39"/>
      <c r="D30" s="39"/>
      <c r="E30" s="39"/>
      <c r="F30" s="40">
        <v>9600.08</v>
      </c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/>
      <c r="AD30" s="39"/>
      <c r="AE30" s="39"/>
      <c r="AF30" s="39"/>
      <c r="AG30" s="39"/>
      <c r="AH30" s="39"/>
      <c r="AI30" s="39"/>
      <c r="AJ30" s="39"/>
      <c r="AK30" s="39"/>
      <c r="AL30" s="40">
        <v>288.1</v>
      </c>
      <c r="AM30" s="39"/>
      <c r="AN30" s="39"/>
      <c r="AO30" s="39"/>
      <c r="AP30" s="39"/>
      <c r="AQ30" s="39"/>
      <c r="AR30" s="39"/>
      <c r="AS30" s="39"/>
      <c r="AT30" s="40">
        <v>38.5</v>
      </c>
      <c r="AU30" s="40">
        <v>42.0</v>
      </c>
      <c r="AV30" s="40">
        <v>50.4</v>
      </c>
      <c r="AW30" s="39"/>
      <c r="AX30" s="39"/>
      <c r="AY30" s="39"/>
      <c r="AZ30" s="39"/>
      <c r="BA30" s="39"/>
      <c r="BB30" s="40">
        <f>B30+C30+D30+E30+F30+G30+H30+I30+J30+K30+L30+M30+N30+O30+P30+Q30+R30+S30+T30+U30+V30+W30+X30+Y30+Z30+AA30+AB30+AC30+AD30+AE30+AF30+AG30+AH30+AI30+AJ30+AK30+AL30+AM30+AN30+AO30+AP30+AQ30+AR30+AS30+AT30+AU30+AV30+AW30+AX30+AY30+AZ30+BA30</f>
        <v>10019.08</v>
      </c>
    </row>
    <row r="31" spans="1:54" ht="16" outlineLevel="2">
      <c r="A31" s="34" t="s">
        <v>28</v>
      </c>
      <c r="B31" s="39"/>
      <c r="C31" s="39"/>
      <c r="D31" s="39"/>
      <c r="E31" s="39"/>
      <c r="F31" s="40">
        <v>1000.0</v>
      </c>
      <c r="G31" s="40">
        <v>503.5</v>
      </c>
      <c r="H31" s="40">
        <v>503.5</v>
      </c>
      <c r="I31" s="40">
        <v>503.5</v>
      </c>
      <c r="J31" s="40">
        <v>503.5</v>
      </c>
      <c r="K31" s="40">
        <v>503.5</v>
      </c>
      <c r="L31" s="40">
        <v>503.5</v>
      </c>
      <c r="M31" s="40">
        <v>503.5</v>
      </c>
      <c r="N31" s="40">
        <v>503.5</v>
      </c>
      <c r="O31" s="40">
        <v>503.5</v>
      </c>
      <c r="P31" s="40">
        <v>503.5</v>
      </c>
      <c r="Q31" s="40">
        <v>503.5</v>
      </c>
      <c r="R31" s="40">
        <v>503.5</v>
      </c>
      <c r="S31" s="40">
        <v>503.5</v>
      </c>
      <c r="T31" s="40">
        <v>503.5</v>
      </c>
      <c r="U31" s="40">
        <v>503.5</v>
      </c>
      <c r="V31" s="40">
        <v>503.5</v>
      </c>
      <c r="W31" s="40">
        <v>503.5</v>
      </c>
      <c r="X31" s="40">
        <v>503.5</v>
      </c>
      <c r="Y31" s="40">
        <v>503.5</v>
      </c>
      <c r="Z31" s="40">
        <v>503.5</v>
      </c>
      <c r="AA31" s="40">
        <v>503.5</v>
      </c>
      <c r="AB31" s="40">
        <v>503.5</v>
      </c>
      <c r="AC31" s="40">
        <v>651.56</v>
      </c>
      <c r="AD31" s="40">
        <v>621.2</v>
      </c>
      <c r="AE31" s="39"/>
      <c r="AF31" s="39"/>
      <c r="AG31" s="39"/>
      <c r="AH31" s="39"/>
      <c r="AI31" s="39"/>
      <c r="AJ31" s="39"/>
      <c r="AK31" s="39"/>
      <c r="AL31" s="39"/>
      <c r="AM31" s="39"/>
      <c r="AN31" s="39"/>
      <c r="AO31" s="39"/>
      <c r="AP31" s="39"/>
      <c r="AQ31" s="39"/>
      <c r="AR31" s="39"/>
      <c r="AS31" s="39"/>
      <c r="AT31" s="39"/>
      <c r="AU31" s="39"/>
      <c r="AV31" s="39"/>
      <c r="AW31" s="39"/>
      <c r="AX31" s="39"/>
      <c r="AY31" s="39"/>
      <c r="AZ31" s="39"/>
      <c r="BA31" s="39"/>
      <c r="BB31" s="40">
        <f>B31+C31+D31+E31+F31+G31+H31+I31+J31+K31+L31+M31+N31+O31+P31+Q31+R31+S31+T31+U31+V31+W31+X31+Y31+Z31+AA31+AB31+AC31+AD31+AE31+AF31+AG31+AH31+AI31+AJ31+AK31+AL31+AM31+AN31+AO31+AP31+AQ31+AR31+AS31+AT31+AU31+AV31+AW31+AX31+AY31+AZ31+BA31</f>
        <v>13349.76</v>
      </c>
    </row>
    <row r="32" spans="1:54" ht="16" outlineLevel="2">
      <c r="A32" s="34" t="s">
        <v>29</v>
      </c>
      <c r="B32" s="39"/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40">
        <v>210.0</v>
      </c>
      <c r="AD32" s="39"/>
      <c r="AE32" s="40">
        <v>167.43</v>
      </c>
      <c r="AF32" s="39"/>
      <c r="AG32" s="39"/>
      <c r="AH32" s="40">
        <v>60.07</v>
      </c>
      <c r="AI32" s="40">
        <v>95.87</v>
      </c>
      <c r="AJ32" s="40">
        <v>17.64</v>
      </c>
      <c r="AK32" s="39"/>
      <c r="AL32" s="40">
        <v>135.99</v>
      </c>
      <c r="AM32" s="40">
        <v>103.53</v>
      </c>
      <c r="AN32" s="40">
        <v>2019.15</v>
      </c>
      <c r="AO32" s="39"/>
      <c r="AP32" s="40">
        <v>470.1</v>
      </c>
      <c r="AQ32" s="39"/>
      <c r="AR32" s="40">
        <v>60.07</v>
      </c>
      <c r="AS32" s="39"/>
      <c r="AT32" s="40">
        <v>60.07</v>
      </c>
      <c r="AU32" s="40">
        <v>14.83</v>
      </c>
      <c r="AV32" s="40">
        <v>128.84</v>
      </c>
      <c r="AW32" s="40">
        <v>299.33</v>
      </c>
      <c r="AX32" s="39"/>
      <c r="AY32" s="40">
        <v>34.42</v>
      </c>
      <c r="AZ32" s="40">
        <v>688.41</v>
      </c>
      <c r="BA32" s="39"/>
      <c r="BB32" s="40">
        <f>B32+C32+D32+E32+F32+G32+H32+I32+J32+K32+L32+M32+N32+O32+P32+Q32+R32+S32+T32+U32+V32+W32+X32+Y32+Z32+AA32+AB32+AC32+AD32+AE32+AF32+AG32+AH32+AI32+AJ32+AK32+AL32+AM32+AN32+AO32+AP32+AQ32+AR32+AS32+AT32+AU32+AV32+AW32+AX32+AY32+AZ32+BA32</f>
        <v>4565.750000000001</v>
      </c>
    </row>
    <row r="33" spans="1:54" ht="16" outlineLevel="2">
      <c r="A33" s="34" t="s">
        <v>30</v>
      </c>
      <c r="B33" s="40">
        <v>29.69</v>
      </c>
      <c r="C33" s="40">
        <v>423.0</v>
      </c>
      <c r="D33" s="39"/>
      <c r="E33" s="40">
        <v>254.49</v>
      </c>
      <c r="F33" s="39"/>
      <c r="G33" s="40">
        <v>241.11</v>
      </c>
      <c r="H33" s="40">
        <v>884.14</v>
      </c>
      <c r="I33" s="40">
        <v>232.29</v>
      </c>
      <c r="J33" s="40">
        <v>677.22</v>
      </c>
      <c r="K33" s="40">
        <v>885.09</v>
      </c>
      <c r="L33" s="40">
        <v>924.72</v>
      </c>
      <c r="M33" s="40">
        <v>1015.57</v>
      </c>
      <c r="N33" s="40">
        <v>6980.36</v>
      </c>
      <c r="O33" s="40">
        <v>519.95</v>
      </c>
      <c r="P33" s="40">
        <v>4520.79</v>
      </c>
      <c r="Q33" s="40">
        <v>3125.58</v>
      </c>
      <c r="R33" s="40">
        <v>370.01</v>
      </c>
      <c r="S33" s="40">
        <v>307.33</v>
      </c>
      <c r="T33" s="40">
        <v>6791.01</v>
      </c>
      <c r="U33" s="40">
        <v>1971.53</v>
      </c>
      <c r="V33" s="40">
        <v>3225.12</v>
      </c>
      <c r="W33" s="40">
        <v>30.09</v>
      </c>
      <c r="X33" s="40">
        <v>2693.73</v>
      </c>
      <c r="Y33" s="40">
        <v>691.55</v>
      </c>
      <c r="Z33" s="40">
        <v>7843.62</v>
      </c>
      <c r="AA33" s="40">
        <v>1396.56</v>
      </c>
      <c r="AB33" s="40">
        <v>2850.84</v>
      </c>
      <c r="AC33" s="40">
        <v>1804.83</v>
      </c>
      <c r="AD33" s="40">
        <v>1251.88</v>
      </c>
      <c r="AE33" s="40">
        <v>1713.76</v>
      </c>
      <c r="AF33" s="40">
        <v>4694.95</v>
      </c>
      <c r="AG33" s="40">
        <v>2388.58</v>
      </c>
      <c r="AH33" s="40">
        <v>-765.62</v>
      </c>
      <c r="AI33" s="40">
        <v>-1566.48</v>
      </c>
      <c r="AJ33" s="40">
        <v>1863.15</v>
      </c>
      <c r="AK33" s="40">
        <v>5216.45</v>
      </c>
      <c r="AL33" s="40">
        <v>1810.08</v>
      </c>
      <c r="AM33" s="40">
        <v>21243.85</v>
      </c>
      <c r="AN33" s="40">
        <v>6044.61</v>
      </c>
      <c r="AO33" s="40">
        <v>-21276.27</v>
      </c>
      <c r="AP33" s="40">
        <v>33736.81</v>
      </c>
      <c r="AQ33" s="40">
        <v>2088.91</v>
      </c>
      <c r="AR33" s="40">
        <v>2584.58</v>
      </c>
      <c r="AS33" s="40">
        <v>5321.76</v>
      </c>
      <c r="AT33" s="40">
        <v>2182.7</v>
      </c>
      <c r="AU33" s="40">
        <v>3283.88</v>
      </c>
      <c r="AV33" s="40">
        <v>3799.52</v>
      </c>
      <c r="AW33" s="40">
        <v>3649.48</v>
      </c>
      <c r="AX33" s="40">
        <v>624.44</v>
      </c>
      <c r="AY33" s="40">
        <v>3821.46</v>
      </c>
      <c r="AZ33" s="40">
        <v>3031.89</v>
      </c>
      <c r="BA33" s="40">
        <v>2802.01</v>
      </c>
      <c r="BB33" s="40">
        <f>B33+C33+D33+E33+F33+G33+H33+I33+J33+K33+L33+M33+N33+O33+P33+Q33+R33+S33+T33+U33+V33+W33+X33+Y33+Z33+AA33+AB33+AC33+AD33+AE33+AF33+AG33+AH33+AI33+AJ33+AK33+AL33+AM33+AN33+AO33+AP33+AQ33+AR33+AS33+AT33+AU33+AV33+AW33+AX33+AY33+AZ33+BA33</f>
        <v>140236.6</v>
      </c>
    </row>
    <row r="34" spans="1:54" ht="16" outlineLevel="2">
      <c r="A34" s="34" t="s">
        <v>31</v>
      </c>
      <c r="B34" s="39"/>
      <c r="C34" s="40">
        <v>148.33</v>
      </c>
      <c r="D34" s="40">
        <v>1212.21</v>
      </c>
      <c r="E34" s="40">
        <v>1240.0</v>
      </c>
      <c r="F34" s="40">
        <v>950.12</v>
      </c>
      <c r="G34" s="40">
        <v>1489.76</v>
      </c>
      <c r="H34" s="40">
        <v>1282.18</v>
      </c>
      <c r="I34" s="40">
        <v>3003.1</v>
      </c>
      <c r="J34" s="40">
        <v>2385.76</v>
      </c>
      <c r="K34" s="40">
        <v>2625.67</v>
      </c>
      <c r="L34" s="40">
        <v>3109.75</v>
      </c>
      <c r="M34" s="40">
        <v>3973.53</v>
      </c>
      <c r="N34" s="40">
        <v>2266.39</v>
      </c>
      <c r="O34" s="40">
        <v>4499.99</v>
      </c>
      <c r="P34" s="40">
        <v>4422.12</v>
      </c>
      <c r="Q34" s="40">
        <v>5036.64</v>
      </c>
      <c r="R34" s="40">
        <v>3874.28</v>
      </c>
      <c r="S34" s="40">
        <v>5402.98</v>
      </c>
      <c r="T34" s="40">
        <v>6280.99</v>
      </c>
      <c r="U34" s="40">
        <v>5175.41</v>
      </c>
      <c r="V34" s="40">
        <v>4611.47</v>
      </c>
      <c r="W34" s="40">
        <v>4992.04</v>
      </c>
      <c r="X34" s="40">
        <v>5568.42</v>
      </c>
      <c r="Y34" s="40">
        <v>5655.07</v>
      </c>
      <c r="Z34" s="40">
        <v>4710.92</v>
      </c>
      <c r="AA34" s="40">
        <v>4702.01</v>
      </c>
      <c r="AB34" s="40">
        <v>11533.0</v>
      </c>
      <c r="AC34" s="40">
        <v>7574.64</v>
      </c>
      <c r="AD34" s="40">
        <v>5130.66</v>
      </c>
      <c r="AE34" s="40">
        <v>5528.84</v>
      </c>
      <c r="AF34" s="40">
        <v>5240.4</v>
      </c>
      <c r="AG34" s="40">
        <v>5997.65</v>
      </c>
      <c r="AH34" s="40">
        <v>5875.27</v>
      </c>
      <c r="AI34" s="40">
        <v>5972.44</v>
      </c>
      <c r="AJ34" s="40">
        <v>5294.82</v>
      </c>
      <c r="AK34" s="40">
        <v>5960.02</v>
      </c>
      <c r="AL34" s="40">
        <v>7966.38</v>
      </c>
      <c r="AM34" s="40">
        <v>7326.42</v>
      </c>
      <c r="AN34" s="40">
        <v>4586.99</v>
      </c>
      <c r="AO34" s="40">
        <v>6135.34</v>
      </c>
      <c r="AP34" s="40">
        <v>4948.19</v>
      </c>
      <c r="AQ34" s="40">
        <v>4245.47</v>
      </c>
      <c r="AR34" s="40">
        <v>4705.71</v>
      </c>
      <c r="AS34" s="40">
        <v>5119.58</v>
      </c>
      <c r="AT34" s="40">
        <v>4508.14</v>
      </c>
      <c r="AU34" s="40">
        <v>3956.87</v>
      </c>
      <c r="AV34" s="40">
        <v>3865.96</v>
      </c>
      <c r="AW34" s="40">
        <v>4007.53</v>
      </c>
      <c r="AX34" s="40">
        <v>4862.52</v>
      </c>
      <c r="AY34" s="40">
        <v>4659.25</v>
      </c>
      <c r="AZ34" s="40">
        <v>5401.5</v>
      </c>
      <c r="BA34" s="40">
        <v>5165.74</v>
      </c>
      <c r="BB34" s="40">
        <f>B34+C34+D34+E34+F34+G34+H34+I34+J34+K34+L34+M34+N34+O34+P34+Q34+R34+S34+T34+U34+V34+W34+X34+Y34+Z34+AA34+AB34+AC34+AD34+AE34+AF34+AG34+AH34+AI34+AJ34+AK34+AL34+AM34+AN34+AO34+AP34+AQ34+AR34+AS34+AT34+AU34+AV34+AW34+AX34+AY34+AZ34+BA34</f>
        <v>234188.46999999994</v>
      </c>
    </row>
    <row r="35" spans="1:54" ht="16" outlineLevel="2">
      <c r="A35" s="34" t="s">
        <v>32</v>
      </c>
      <c r="B35" s="39"/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/>
      <c r="AD35" s="39"/>
      <c r="AE35" s="39"/>
      <c r="AF35" s="39"/>
      <c r="AG35" s="39"/>
      <c r="AH35" s="39"/>
      <c r="AI35" s="39"/>
      <c r="AJ35" s="39"/>
      <c r="AK35" s="39"/>
      <c r="AL35" s="39"/>
      <c r="AM35" s="39"/>
      <c r="AN35" s="39"/>
      <c r="AO35" s="39"/>
      <c r="AP35" s="39"/>
      <c r="AQ35" s="39"/>
      <c r="AR35" s="39"/>
      <c r="AS35" s="40">
        <v>3980.44</v>
      </c>
      <c r="AT35" s="40">
        <v>2103.0</v>
      </c>
      <c r="AU35" s="39"/>
      <c r="AV35" s="39"/>
      <c r="AW35" s="39"/>
      <c r="AX35" s="39"/>
      <c r="AY35" s="39"/>
      <c r="AZ35" s="39"/>
      <c r="BA35" s="39"/>
      <c r="BB35" s="40">
        <f>B35+C35+D35+E35+F35+G35+H35+I35+J35+K35+L35+M35+N35+O35+P35+Q35+R35+S35+T35+U35+V35+W35+X35+Y35+Z35+AA35+AB35+AC35+AD35+AE35+AF35+AG35+AH35+AI35+AJ35+AK35+AL35+AM35+AN35+AO35+AP35+AQ35+AR35+AS35+AT35+AU35+AV35+AW35+AX35+AY35+AZ35+BA35</f>
        <v>6083.4400000000005</v>
      </c>
    </row>
    <row r="36" spans="1:54" ht="16" outlineLevel="1">
      <c r="A36" s="35" t="s">
        <v>33</v>
      </c>
      <c r="B36" s="41">
        <f>B28+B29+B30+B31+B32+B33+B34+B35</f>
        <v>29.69</v>
      </c>
      <c r="C36" s="41">
        <f>C28+C29+C30+C31+C32+C33+C34+C35</f>
        <v>571.33</v>
      </c>
      <c r="D36" s="41">
        <f>D28+D29+D30+D31+D32+D33+D34+D35</f>
        <v>1212.21</v>
      </c>
      <c r="E36" s="41">
        <f>E28+E29+E30+E31+E32+E33+E34+E35</f>
        <v>1494.49</v>
      </c>
      <c r="F36" s="41">
        <f>F28+F29+F30+F31+F32+F33+F34+F35</f>
        <v>11566.980000000001</v>
      </c>
      <c r="G36" s="41">
        <f>G28+G29+G30+G31+G32+G33+G34+G35</f>
        <v>2234.37</v>
      </c>
      <c r="H36" s="41">
        <f>H28+H29+H30+H31+H32+H33+H34+H35</f>
        <v>2669.8199999999997</v>
      </c>
      <c r="I36" s="41">
        <f>I28+I29+I30+I31+I32+I33+I34+I35</f>
        <v>3738.89</v>
      </c>
      <c r="J36" s="41">
        <f>J28+J29+J30+J31+J32+J33+J34+J35</f>
        <v>3566.4800000000005</v>
      </c>
      <c r="K36" s="41">
        <f>K28+K29+K30+K31+K32+K33+K34+K35</f>
        <v>4014.26</v>
      </c>
      <c r="L36" s="41">
        <f>L28+L29+L30+L31+L32+L33+L34+L35</f>
        <v>4537.97</v>
      </c>
      <c r="M36" s="41">
        <f>M28+M29+M30+M31+M32+M33+M34+M35</f>
        <v>5492.6</v>
      </c>
      <c r="N36" s="41">
        <f>N28+N29+N30+N31+N32+N33+N34+N35</f>
        <v>9904.25</v>
      </c>
      <c r="O36" s="41">
        <f>O28+O29+O30+O31+O32+O33+O34+O35</f>
        <v>5523.44</v>
      </c>
      <c r="P36" s="41">
        <f>P28+P29+P30+P31+P32+P33+P34+P35</f>
        <v>9446.41</v>
      </c>
      <c r="Q36" s="41">
        <f>Q28+Q29+Q30+Q31+Q32+Q33+Q34+Q35</f>
        <v>8665.720000000001</v>
      </c>
      <c r="R36" s="41">
        <f>R28+R29+R30+R31+R32+R33+R34+R35</f>
        <v>4747.79</v>
      </c>
      <c r="S36" s="41">
        <f>S28+S29+S30+S31+S32+S33+S34+S35</f>
        <v>6213.8099999999995</v>
      </c>
      <c r="T36" s="41">
        <f>T28+T29+T30+T31+T32+T33+T34+T35</f>
        <v>13955.5</v>
      </c>
      <c r="U36" s="41">
        <f>U28+U29+U30+U31+U32+U33+U34+U35</f>
        <v>7840.44</v>
      </c>
      <c r="V36" s="41">
        <f>V28+V29+V30+V31+V32+V33+V34+V35</f>
        <v>8530.09</v>
      </c>
      <c r="W36" s="41">
        <f>W28+W29+W30+W31+W32+W33+W34+W35</f>
        <v>5525.63</v>
      </c>
      <c r="X36" s="41">
        <f>X28+X29+X30+X31+X32+X33+X34+X35</f>
        <v>8772.64</v>
      </c>
      <c r="Y36" s="41">
        <f>Y28+Y29+Y30+Y31+Y32+Y33+Y34+Y35</f>
        <v>6850.12</v>
      </c>
      <c r="Z36" s="41">
        <f>Z28+Z29+Z30+Z31+Z32+Z33+Z34+Z35</f>
        <v>13058.039999999999</v>
      </c>
      <c r="AA36" s="41">
        <f>AA28+AA29+AA30+AA31+AA32+AA33+AA34+AA35</f>
        <v>6602.07</v>
      </c>
      <c r="AB36" s="41">
        <f>AB28+AB29+AB30+AB31+AB32+AB33+AB34+AB35</f>
        <v>14887.34</v>
      </c>
      <c r="AC36" s="41">
        <f>AC28+AC29+AC30+AC31+AC32+AC33+AC34+AC35</f>
        <v>10550.73</v>
      </c>
      <c r="AD36" s="41">
        <f>AD28+AD29+AD30+AD31+AD32+AD33+AD34+AD35</f>
        <v>7647.38</v>
      </c>
      <c r="AE36" s="41">
        <f>AE28+AE29+AE30+AE31+AE32+AE33+AE34+AE35</f>
        <v>7694.030000000001</v>
      </c>
      <c r="AF36" s="41">
        <f>AF28+AF29+AF30+AF31+AF32+AF33+AF34+AF35</f>
        <v>10219.349999999999</v>
      </c>
      <c r="AG36" s="41">
        <f>AG28+AG29+AG30+AG31+AG32+AG33+AG34+AG35</f>
        <v>8670.23</v>
      </c>
      <c r="AH36" s="41">
        <f>AH28+AH29+AH30+AH31+AH32+AH33+AH34+AH35</f>
        <v>5453.72</v>
      </c>
      <c r="AI36" s="41">
        <f>AI28+AI29+AI30+AI31+AI32+AI33+AI34+AI35</f>
        <v>4785.83</v>
      </c>
      <c r="AJ36" s="41">
        <f>AJ28+AJ29+AJ30+AJ31+AJ32+AJ33+AJ34+AJ35</f>
        <v>7459.61</v>
      </c>
      <c r="AK36" s="41">
        <f>AK28+AK29+AK30+AK31+AK32+AK33+AK34+AK35</f>
        <v>11180.650000000001</v>
      </c>
      <c r="AL36" s="41">
        <f>AL28+AL29+AL30+AL31+AL32+AL33+AL34+AL35</f>
        <v>10484.55</v>
      </c>
      <c r="AM36" s="41">
        <f>AM28+AM29+AM30+AM31+AM32+AM33+AM34+AM35</f>
        <v>28957.799999999996</v>
      </c>
      <c r="AN36" s="41">
        <f>AN28+AN29+AN30+AN31+AN32+AN33+AN34+AN35</f>
        <v>12934.75</v>
      </c>
      <c r="AO36" s="41">
        <f>AO28+AO29+AO30+AO31+AO32+AO33+AO34+AO35</f>
        <v>-14826.970000000001</v>
      </c>
      <c r="AP36" s="41">
        <f>AP28+AP29+AP30+AP31+AP32+AP33+AP34+AP35</f>
        <v>39439.1</v>
      </c>
      <c r="AQ36" s="41">
        <f>AQ28+AQ29+AQ30+AQ31+AQ32+AQ33+AQ34+AQ35</f>
        <v>6618.38</v>
      </c>
      <c r="AR36" s="41">
        <f>AR28+AR29+AR30+AR31+AR32+AR33+AR34+AR35</f>
        <v>7634.360000000001</v>
      </c>
      <c r="AS36" s="41">
        <f>AS28+AS29+AS30+AS31+AS32+AS33+AS34+AS35</f>
        <v>14441.78</v>
      </c>
      <c r="AT36" s="41">
        <f>AT28+AT29+AT30+AT31+AT32+AT33+AT34+AT35</f>
        <v>8892.41</v>
      </c>
      <c r="AU36" s="41">
        <f>AU28+AU29+AU30+AU31+AU32+AU33+AU34+AU35</f>
        <v>7297.58</v>
      </c>
      <c r="AV36" s="41">
        <f>AV28+AV29+AV30+AV31+AV32+AV33+AV34+AV35</f>
        <v>7874.72</v>
      </c>
      <c r="AW36" s="41">
        <f>AW28+AW29+AW30+AW31+AW32+AW33+AW34+AW35</f>
        <v>7998.84</v>
      </c>
      <c r="AX36" s="41">
        <f>AX28+AX29+AX30+AX31+AX32+AX33+AX34+AX35</f>
        <v>5486.960000000001</v>
      </c>
      <c r="AY36" s="41">
        <f>AY28+AY29+AY30+AY31+AY32+AY33+AY34+AY35</f>
        <v>8515.130000000001</v>
      </c>
      <c r="AZ36" s="41">
        <f>AZ28+AZ29+AZ30+AZ31+AZ32+AZ33+AZ34+AZ35</f>
        <v>9121.8</v>
      </c>
      <c r="BA36" s="41">
        <f>BA28+BA29+BA30+BA31+BA32+BA33+BA34+BA35</f>
        <v>7967.75</v>
      </c>
      <c r="BB36" s="42">
        <f>B36+C36+D36+E36+F36+G36+H36+I36+J36+K36+L36+M36+N36+O36+P36+Q36+R36+S36+T36+U36+V36+W36+X36+Y36+Z36+AA36+AB36+AC36+AD36+AE36+AF36+AG36+AH36+AI36+AJ36+AK36+AL36+AM36+AN36+AO36+AP36+AQ36+AR36+AS36+AT36+AU36+AV36+AW36+AX36+AY36+AZ36+BA36</f>
        <v>414152.85000000003</v>
      </c>
    </row>
    <row r="37" spans="1:54" ht="16">
      <c r="A37" s="33" t="s">
        <v>34</v>
      </c>
      <c r="B37" s="41">
        <f>B13+B14+B15+B16+B17+B18+B25+B26+B27+B36</f>
        <v>1209.9</v>
      </c>
      <c r="C37" s="41">
        <f>C13+C14+C15+C16+C17+C18+C25+C26+C27+C36</f>
        <v>9461.12</v>
      </c>
      <c r="D37" s="41">
        <f>D13+D14+D15+D16+D17+D18+D25+D26+D27+D36</f>
        <v>6944.57</v>
      </c>
      <c r="E37" s="41">
        <f>E13+E14+E15+E16+E17+E18+E25+E26+E27+E36</f>
        <v>9891.14</v>
      </c>
      <c r="F37" s="41">
        <f>F13+F14+F15+F16+F17+F18+F25+F26+F27+F36</f>
        <v>70291.69</v>
      </c>
      <c r="G37" s="41">
        <f>G13+G14+G15+G16+G17+G18+G25+G26+G27+G36</f>
        <v>3052.17</v>
      </c>
      <c r="H37" s="41">
        <f>H13+H14+H15+H16+H17+H18+H25+H26+H27+H36</f>
        <v>6826.15</v>
      </c>
      <c r="I37" s="41">
        <f>I13+I14+I15+I16+I17+I18+I25+I26+I27+I36</f>
        <v>5546.69</v>
      </c>
      <c r="J37" s="41">
        <f>J13+J14+J15+J16+J17+J18+J25+J26+J27+J36</f>
        <v>5523.460000000001</v>
      </c>
      <c r="K37" s="41">
        <f>K13+K14+K15+K16+K17+K18+K25+K26+K27+K36</f>
        <v>17839.91</v>
      </c>
      <c r="L37" s="41">
        <f>L13+L14+L15+L16+L17+L18+L25+L26+L27+L36</f>
        <v>18083.19</v>
      </c>
      <c r="M37" s="41">
        <f>M13+M14+M15+M16+M17+M18+M25+M26+M27+M36</f>
        <v>28205.39</v>
      </c>
      <c r="N37" s="41">
        <f>N13+N14+N15+N16+N17+N18+N25+N26+N27+N36</f>
        <v>34531.72</v>
      </c>
      <c r="O37" s="41">
        <f>O13+O14+O15+O16+O17+O18+O25+O26+O27+O36</f>
        <v>11860.36</v>
      </c>
      <c r="P37" s="41">
        <f>P13+P14+P15+P16+P17+P18+P25+P26+P27+P36</f>
        <v>21284.32</v>
      </c>
      <c r="Q37" s="41">
        <f>Q13+Q14+Q15+Q16+Q17+Q18+Q25+Q26+Q27+Q36</f>
        <v>35963.880000000005</v>
      </c>
      <c r="R37" s="41">
        <f>R13+R14+R15+R16+R17+R18+R25+R26+R27+R36</f>
        <v>50119.13</v>
      </c>
      <c r="S37" s="41">
        <f>S13+S14+S15+S16+S17+S18+S25+S26+S27+S36</f>
        <v>59223.77</v>
      </c>
      <c r="T37" s="41">
        <f>T13+T14+T15+T16+T17+T18+T25+T26+T27+T36</f>
        <v>85572.06</v>
      </c>
      <c r="U37" s="41">
        <f>U13+U14+U15+U16+U17+U18+U25+U26+U27+U36</f>
        <v>62386.95</v>
      </c>
      <c r="V37" s="41">
        <f>V13+V14+V15+V16+V17+V18+V25+V26+V27+V36</f>
        <v>47268.600000000006</v>
      </c>
      <c r="W37" s="41">
        <f>W13+W14+W15+W16+W17+W18+W25+W26+W27+W36</f>
        <v>53797.60999999999</v>
      </c>
      <c r="X37" s="41">
        <f>X13+X14+X15+X16+X17+X18+X25+X26+X27+X36</f>
        <v>64502.0</v>
      </c>
      <c r="Y37" s="41">
        <f>Y13+Y14+Y15+Y16+Y17+Y18+Y25+Y26+Y27+Y36</f>
        <v>43202.62</v>
      </c>
      <c r="Z37" s="41">
        <f>Z13+Z14+Z15+Z16+Z17+Z18+Z25+Z26+Z27+Z36</f>
        <v>157086.13</v>
      </c>
      <c r="AA37" s="41">
        <f>AA13+AA14+AA15+AA16+AA17+AA18+AA25+AA26+AA27+AA36</f>
        <v>37580.71000000001</v>
      </c>
      <c r="AB37" s="41">
        <f>AB13+AB14+AB15+AB16+AB17+AB18+AB25+AB26+AB27+AB36</f>
        <v>178803.44999999998</v>
      </c>
      <c r="AC37" s="41">
        <f>AC13+AC14+AC15+AC16+AC17+AC18+AC25+AC26+AC27+AC36</f>
        <v>76125.89</v>
      </c>
      <c r="AD37" s="41">
        <f>AD13+AD14+AD15+AD16+AD17+AD18+AD25+AD26+AD27+AD36</f>
        <v>32307.210000000003</v>
      </c>
      <c r="AE37" s="41">
        <f>AE13+AE14+AE15+AE16+AE17+AE18+AE25+AE26+AE27+AE36</f>
        <v>221610.28</v>
      </c>
      <c r="AF37" s="41">
        <f>AF13+AF14+AF15+AF16+AF17+AF18+AF25+AF26+AF27+AF36</f>
        <v>195602.32</v>
      </c>
      <c r="AG37" s="41">
        <f>AG13+AG14+AG15+AG16+AG17+AG18+AG25+AG26+AG27+AG36</f>
        <v>191589.54</v>
      </c>
      <c r="AH37" s="41">
        <f>AH13+AH14+AH15+AH16+AH17+AH18+AH25+AH26+AH27+AH36</f>
        <v>149628.93000000002</v>
      </c>
      <c r="AI37" s="41">
        <f>AI13+AI14+AI15+AI16+AI17+AI18+AI25+AI26+AI27+AI36</f>
        <v>190073.47999999998</v>
      </c>
      <c r="AJ37" s="41">
        <f>AJ13+AJ14+AJ15+AJ16+AJ17+AJ18+AJ25+AJ26+AJ27+AJ36</f>
        <v>156999.69999999998</v>
      </c>
      <c r="AK37" s="41">
        <f>AK13+AK14+AK15+AK16+AK17+AK18+AK25+AK26+AK27+AK36</f>
        <v>142171.39</v>
      </c>
      <c r="AL37" s="41">
        <f>AL13+AL14+AL15+AL16+AL17+AL18+AL25+AL26+AL27+AL36</f>
        <v>257350.96</v>
      </c>
      <c r="AM37" s="41">
        <f>AM13+AM14+AM15+AM16+AM17+AM18+AM25+AM26+AM27+AM36</f>
        <v>198341.09</v>
      </c>
      <c r="AN37" s="41">
        <f>AN13+AN14+AN15+AN16+AN17+AN18+AN25+AN26+AN27+AN36</f>
        <v>208913.22</v>
      </c>
      <c r="AO37" s="41">
        <f>AO13+AO14+AO15+AO16+AO17+AO18+AO25+AO26+AO27+AO36</f>
        <v>175651.59999999998</v>
      </c>
      <c r="AP37" s="41">
        <f>AP13+AP14+AP15+AP16+AP17+AP18+AP25+AP26+AP27+AP36</f>
        <v>182208.23</v>
      </c>
      <c r="AQ37" s="41">
        <f>AQ13+AQ14+AQ15+AQ16+AQ17+AQ18+AQ25+AQ26+AQ27+AQ36</f>
        <v>172998.77</v>
      </c>
      <c r="AR37" s="41">
        <f>AR13+AR14+AR15+AR16+AR17+AR18+AR25+AR26+AR27+AR36</f>
        <v>143751.21999999997</v>
      </c>
      <c r="AS37" s="41">
        <f>AS13+AS14+AS15+AS16+AS17+AS18+AS25+AS26+AS27+AS36</f>
        <v>169207.31000000003</v>
      </c>
      <c r="AT37" s="41">
        <f>AT13+AT14+AT15+AT16+AT17+AT18+AT25+AT26+AT27+AT36</f>
        <v>108194.37999999999</v>
      </c>
      <c r="AU37" s="41">
        <f>AU13+AU14+AU15+AU16+AU17+AU18+AU25+AU26+AU27+AU36</f>
        <v>111122.56</v>
      </c>
      <c r="AV37" s="41">
        <f>AV13+AV14+AV15+AV16+AV17+AV18+AV25+AV26+AV27+AV36</f>
        <v>90005.34999999999</v>
      </c>
      <c r="AW37" s="41">
        <f>AW13+AW14+AW15+AW16+AW17+AW18+AW25+AW26+AW27+AW36</f>
        <v>129373.99999999999</v>
      </c>
      <c r="AX37" s="41">
        <f>AX13+AX14+AX15+AX16+AX17+AX18+AX25+AX26+AX27+AX36</f>
        <v>164967.90000000002</v>
      </c>
      <c r="AY37" s="41">
        <f>AY13+AY14+AY15+AY16+AY17+AY18+AY25+AY26+AY27+AY36</f>
        <v>142306.17000000004</v>
      </c>
      <c r="AZ37" s="41">
        <f>AZ13+AZ14+AZ15+AZ16+AZ17+AZ18+AZ25+AZ26+AZ27+AZ36</f>
        <v>226129.42999999996</v>
      </c>
      <c r="BA37" s="41">
        <f>BA13+BA14+BA15+BA16+BA17+BA18+BA25+BA26+BA27+BA36</f>
        <v>152910.54</v>
      </c>
      <c r="BB37" s="42">
        <f>B37+C37+D37+E37+F37+G37+H37+I37+J37+K37+L37+M37+N37+O37+P37+Q37+R37+S37+T37+U37+V37+W37+X37+Y37+Z37+AA37+AB37+AC37+AD37+AE37+AF37+AG37+AH37+AI37+AJ37+AK37+AL37+AM37+AN37+AO37+AP37+AQ37+AR37+AS37+AT37+AU37+AV37+AW37+AX37+AY37+AZ37+BA37</f>
        <v>5115600.16</v>
      </c>
    </row>
    <row r="38" spans="1:54" ht="16">
      <c r="A38" s="33" t="s">
        <v>35</v>
      </c>
      <c r="B38" s="41">
        <f>B11-B37</f>
        <v>-1009.9000000000001</v>
      </c>
      <c r="C38" s="41">
        <f>C11-C37</f>
        <v>-8996.12</v>
      </c>
      <c r="D38" s="41">
        <f>D11-D37</f>
        <v>67778.09</v>
      </c>
      <c r="E38" s="41">
        <f>E11-E37</f>
        <v>134846.82</v>
      </c>
      <c r="F38" s="41">
        <f>F11-F37</f>
        <v>148936.31</v>
      </c>
      <c r="G38" s="41">
        <f>G11-G37</f>
        <v>115456.58</v>
      </c>
      <c r="H38" s="41">
        <f>H11-H37</f>
        <v>202877.1</v>
      </c>
      <c r="I38" s="41">
        <f>I11-I37</f>
        <v>115670.81</v>
      </c>
      <c r="J38" s="41">
        <f>J11-J37</f>
        <v>461620.29</v>
      </c>
      <c r="K38" s="41">
        <f>K11-K37</f>
        <v>288586.09</v>
      </c>
      <c r="L38" s="41">
        <f>L11-L37</f>
        <v>271796.56</v>
      </c>
      <c r="M38" s="41">
        <f>M11-M37</f>
        <v>268344.69</v>
      </c>
      <c r="N38" s="41">
        <f>N11-N37</f>
        <v>293068.78</v>
      </c>
      <c r="O38" s="41">
        <f>O11-O37</f>
        <v>289191.14</v>
      </c>
      <c r="P38" s="41">
        <f>P11-P37</f>
        <v>133088.18</v>
      </c>
      <c r="Q38" s="41">
        <f>Q11-Q37</f>
        <v>215842.37</v>
      </c>
      <c r="R38" s="41">
        <f>R11-R37</f>
        <v>364593.12</v>
      </c>
      <c r="S38" s="41">
        <f>S11-S37</f>
        <v>176663.48</v>
      </c>
      <c r="T38" s="41">
        <f>T11-T37</f>
        <v>255647.69</v>
      </c>
      <c r="U38" s="41">
        <f>U11-U37</f>
        <v>438780.75</v>
      </c>
      <c r="V38" s="41">
        <f>V11-V37</f>
        <v>323939.12</v>
      </c>
      <c r="W38" s="41">
        <f>W11-W37</f>
        <v>344272.79000000004</v>
      </c>
      <c r="X38" s="41">
        <f>X11-X37</f>
        <v>318841.25</v>
      </c>
      <c r="Y38" s="41">
        <f>Y11-Y37</f>
        <v>248271.7</v>
      </c>
      <c r="Z38" s="41">
        <f>Z11-Z37</f>
        <v>186605.37</v>
      </c>
      <c r="AA38" s="41">
        <f>AA11-AA37</f>
        <v>498181.43</v>
      </c>
      <c r="AB38" s="41">
        <f>AB11-AB37</f>
        <v>315381.91000000003</v>
      </c>
      <c r="AC38" s="41">
        <f>AC11-AC37</f>
        <v>356836.79</v>
      </c>
      <c r="AD38" s="41">
        <f>AD11-AD37</f>
        <v>325708.83999999997</v>
      </c>
      <c r="AE38" s="41">
        <f>AE11-AE37</f>
        <v>174302.12000000002</v>
      </c>
      <c r="AF38" s="41">
        <f>AF11-AF37</f>
        <v>63754.41</v>
      </c>
      <c r="AG38" s="41">
        <f>AG11-AG37</f>
        <v>167178.17</v>
      </c>
      <c r="AH38" s="41">
        <f>AH11-AH37</f>
        <v>315096.65</v>
      </c>
      <c r="AI38" s="41">
        <f>AI11-AI37</f>
        <v>130832.80000000005</v>
      </c>
      <c r="AJ38" s="41">
        <f>AJ11-AJ37</f>
        <v>191538.08</v>
      </c>
      <c r="AK38" s="41">
        <f>AK11-AK37</f>
        <v>207625.28000000003</v>
      </c>
      <c r="AL38" s="41">
        <f>AL11-AL37</f>
        <v>62838.20999999999</v>
      </c>
      <c r="AM38" s="41">
        <f>AM11-AM37</f>
        <v>225850.22999999995</v>
      </c>
      <c r="AN38" s="41">
        <f>AN11-AN37</f>
        <v>234284.59</v>
      </c>
      <c r="AO38" s="41">
        <f>AO11-AO37</f>
        <v>-803.9599999999627</v>
      </c>
      <c r="AP38" s="41">
        <f>AP11-AP37</f>
        <v>192764.71</v>
      </c>
      <c r="AQ38" s="41">
        <f>AQ11-AQ37</f>
        <v>117195.51000000004</v>
      </c>
      <c r="AR38" s="41">
        <f>AR11-AR37</f>
        <v>426734.31000000006</v>
      </c>
      <c r="AS38" s="41">
        <f>AS11-AS37</f>
        <v>131779.99999999997</v>
      </c>
      <c r="AT38" s="41">
        <f>AT11-AT37</f>
        <v>121447.78000000001</v>
      </c>
      <c r="AU38" s="41">
        <f>AU11-AU37</f>
        <v>239577.49</v>
      </c>
      <c r="AV38" s="41">
        <f>AV11-AV37</f>
        <v>113889.01</v>
      </c>
      <c r="AW38" s="41">
        <f>AW11-AW37</f>
        <v>93390.51000000002</v>
      </c>
      <c r="AX38" s="41">
        <f>AX11-AX37</f>
        <v>120123.71999999997</v>
      </c>
      <c r="AY38" s="41">
        <f>AY11-AY37</f>
        <v>48367.12999999995</v>
      </c>
      <c r="AZ38" s="41">
        <f>AZ11-AZ37</f>
        <v>49143.79000000001</v>
      </c>
      <c r="BA38" s="41">
        <f>BA11-BA37</f>
        <v>266412.81000000006</v>
      </c>
      <c r="BB38" s="42">
        <f>B38+C38+D38+E38+F38+G38+H38+I38+J38+K38+L38+M38+N38+O38+P38+Q38+R38+S38+T38+U38+V38+W38+X38+Y38+Z38+AA38+AB38+AC38+AD38+AE38+AF38+AG38+AH38+AI38+AJ38+AK38+AL38+AM38+AN38+AO38+AP38+AQ38+AR38+AS38+AT38+AU38+AV38+AW38+AX38+AY38+AZ38+BA38</f>
        <v>1.0844145380000005E7</v>
      </c>
    </row>
    <row r="39" spans="1:53" ht="16">
      <c r="A39" s="31" t="s">
        <v>36</v>
      </c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/>
      <c r="AD39" s="39"/>
      <c r="AE39" s="39"/>
      <c r="AF39" s="39"/>
      <c r="AG39" s="39"/>
      <c r="AH39" s="39"/>
      <c r="AI39" s="39"/>
      <c r="AJ39" s="39"/>
      <c r="AK39" s="39"/>
      <c r="AL39" s="39"/>
      <c r="AM39" s="39"/>
      <c r="AN39" s="39"/>
      <c r="AO39" s="39"/>
      <c r="AP39" s="39"/>
      <c r="AQ39" s="39"/>
      <c r="AR39" s="39"/>
      <c r="AS39" s="39"/>
      <c r="AT39" s="39"/>
      <c r="AU39" s="39"/>
      <c r="AV39" s="39"/>
      <c r="AW39" s="39"/>
      <c r="AX39" s="39"/>
      <c r="AY39" s="39"/>
      <c r="AZ39" s="39"/>
      <c r="BA39" s="39"/>
    </row>
    <row r="40" spans="1:54" ht="16" outlineLevel="1">
      <c r="A40" s="32" t="s">
        <v>37</v>
      </c>
      <c r="B40" s="40">
        <v>26.33</v>
      </c>
      <c r="C40" s="40">
        <v>157.25</v>
      </c>
      <c r="D40" s="40">
        <v>120.03</v>
      </c>
      <c r="E40" s="40">
        <v>33.54</v>
      </c>
      <c r="F40" s="40">
        <v>378.54</v>
      </c>
      <c r="G40" s="40">
        <v>450.86</v>
      </c>
      <c r="H40" s="40">
        <v>220.02</v>
      </c>
      <c r="I40" s="40">
        <v>1863.39</v>
      </c>
      <c r="J40" s="40">
        <v>353.47</v>
      </c>
      <c r="K40" s="40">
        <v>318.39</v>
      </c>
      <c r="L40" s="40">
        <v>1278.52</v>
      </c>
      <c r="M40" s="40">
        <v>345.33</v>
      </c>
      <c r="N40" s="40">
        <v>1295.27</v>
      </c>
      <c r="O40" s="40">
        <v>633.86</v>
      </c>
      <c r="P40" s="40">
        <v>4155.09</v>
      </c>
      <c r="Q40" s="40">
        <v>1942.05</v>
      </c>
      <c r="R40" s="40">
        <v>1905.08</v>
      </c>
      <c r="S40" s="40">
        <v>1392.92</v>
      </c>
      <c r="T40" s="40">
        <v>422.44</v>
      </c>
      <c r="U40" s="40">
        <v>586.63</v>
      </c>
      <c r="V40" s="40">
        <v>379.94</v>
      </c>
      <c r="W40" s="40">
        <v>151.91</v>
      </c>
      <c r="X40" s="40">
        <v>1216.55</v>
      </c>
      <c r="Y40" s="40">
        <v>1435.64</v>
      </c>
      <c r="Z40" s="40">
        <v>222.44</v>
      </c>
      <c r="AA40" s="40">
        <v>894.3</v>
      </c>
      <c r="AB40" s="40">
        <v>24310.72</v>
      </c>
      <c r="AC40" s="40">
        <v>1093.57</v>
      </c>
      <c r="AD40" s="40">
        <v>2841.81</v>
      </c>
      <c r="AE40" s="40">
        <v>4413.56</v>
      </c>
      <c r="AF40" s="40">
        <v>1745.03</v>
      </c>
      <c r="AG40" s="40">
        <v>1616.46</v>
      </c>
      <c r="AH40" s="40">
        <v>1979.3</v>
      </c>
      <c r="AI40" s="40">
        <v>50.0</v>
      </c>
      <c r="AJ40" s="39"/>
      <c r="AK40" s="39"/>
      <c r="AL40" s="40">
        <v>359.08</v>
      </c>
      <c r="AM40" s="40">
        <v>386.34</v>
      </c>
      <c r="AN40" s="40">
        <v>960.47</v>
      </c>
      <c r="AO40" s="40">
        <v>970.39</v>
      </c>
      <c r="AP40" s="40">
        <v>28.0</v>
      </c>
      <c r="AQ40" s="39"/>
      <c r="AR40" s="39"/>
      <c r="AS40" s="39"/>
      <c r="AT40" s="39"/>
      <c r="AU40" s="39"/>
      <c r="AV40" s="39"/>
      <c r="AW40" s="39"/>
      <c r="AX40" s="40">
        <v>305.51</v>
      </c>
      <c r="AY40" s="40">
        <v>2289.17</v>
      </c>
      <c r="AZ40" s="40">
        <v>481.12</v>
      </c>
      <c r="BA40" s="39"/>
      <c r="BB40" s="40">
        <f>B40+C40+D40+E40+F40+G40+H40+I40+J40+K40+L40+M40+N40+O40+P40+Q40+R40+S40+T40+U40+V40+W40+X40+Y40+Z40+AA40+AB40+AC40+AD40+AE40+AF40+AG40+AH40+AI40+AJ40+AK40+AL40+AM40+AN40+AO40+AP40+AQ40+AR40+AS40+AT40+AU40+AV40+AW40+AX40+AY40+AZ40+BA40</f>
        <v>66010.31999999999</v>
      </c>
    </row>
    <row r="41" spans="1:54" ht="16" outlineLevel="2">
      <c r="A41" s="34" t="s">
        <v>38</v>
      </c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/>
      <c r="AD41" s="39"/>
      <c r="AE41" s="39"/>
      <c r="AF41" s="39"/>
      <c r="AG41" s="39"/>
      <c r="AH41" s="39"/>
      <c r="AI41" s="39"/>
      <c r="AJ41" s="39"/>
      <c r="AK41" s="39"/>
      <c r="AL41" s="39"/>
      <c r="AM41" s="39"/>
      <c r="AN41" s="39"/>
      <c r="AO41" s="39"/>
      <c r="AP41" s="39"/>
      <c r="AQ41" s="40">
        <v>535.39</v>
      </c>
      <c r="AR41" s="40">
        <v>393.66</v>
      </c>
      <c r="AS41" s="40">
        <v>785.45</v>
      </c>
      <c r="AT41" s="40">
        <v>1416.06</v>
      </c>
      <c r="AU41" s="40">
        <v>2402.26</v>
      </c>
      <c r="AV41" s="40">
        <v>2861.3</v>
      </c>
      <c r="AW41" s="40">
        <v>2233.12</v>
      </c>
      <c r="AX41" s="40">
        <v>1089.51</v>
      </c>
      <c r="AY41" s="40">
        <v>1074.28</v>
      </c>
      <c r="AZ41" s="40">
        <v>1068.52</v>
      </c>
      <c r="BA41" s="39"/>
      <c r="BB41" s="40">
        <f>B41+C41+D41+E41+F41+G41+H41+I41+J41+K41+L41+M41+N41+O41+P41+Q41+R41+S41+T41+U41+V41+W41+X41+Y41+Z41+AA41+AB41+AC41+AD41+AE41+AF41+AG41+AH41+AI41+AJ41+AK41+AL41+AM41+AN41+AO41+AP41+AQ41+AR41+AS41+AT41+AU41+AV41+AW41+AX41+AY41+AZ41+BA41</f>
        <v>13859.55</v>
      </c>
    </row>
    <row r="42" spans="1:54" ht="16" outlineLevel="2">
      <c r="A42" s="34" t="s">
        <v>39</v>
      </c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/>
      <c r="AD42" s="39"/>
      <c r="AE42" s="39"/>
      <c r="AF42" s="39"/>
      <c r="AG42" s="39"/>
      <c r="AH42" s="39"/>
      <c r="AI42" s="39"/>
      <c r="AJ42" s="39"/>
      <c r="AK42" s="39"/>
      <c r="AL42" s="39"/>
      <c r="AM42" s="39"/>
      <c r="AN42" s="39"/>
      <c r="AO42" s="39"/>
      <c r="AP42" s="39"/>
      <c r="AQ42" s="39"/>
      <c r="AR42" s="39"/>
      <c r="AS42" s="39"/>
      <c r="AT42" s="39"/>
      <c r="AU42" s="39"/>
      <c r="AV42" s="39"/>
      <c r="AW42" s="40">
        <v>1350.0</v>
      </c>
      <c r="AX42" s="39"/>
      <c r="AY42" s="39"/>
      <c r="AZ42" s="39"/>
      <c r="BA42" s="40">
        <v>156.56</v>
      </c>
      <c r="BB42" s="40">
        <f>B42+C42+D42+E42+F42+G42+H42+I42+J42+K42+L42+M42+N42+O42+P42+Q42+R42+S42+T42+U42+V42+W42+X42+Y42+Z42+AA42+AB42+AC42+AD42+AE42+AF42+AG42+AH42+AI42+AJ42+AK42+AL42+AM42+AN42+AO42+AP42+AQ42+AR42+AS42+AT42+AU42+AV42+AW42+AX42+AY42+AZ42+BA42</f>
        <v>1506.56</v>
      </c>
    </row>
    <row r="43" spans="1:54" ht="16" outlineLevel="1">
      <c r="A43" s="35" t="s">
        <v>40</v>
      </c>
      <c r="B43" s="41">
        <f>B40+B41+B42</f>
        <v>26.33</v>
      </c>
      <c r="C43" s="41">
        <f>C40+C41+C42</f>
        <v>157.25</v>
      </c>
      <c r="D43" s="41">
        <f>D40+D41+D42</f>
        <v>120.03</v>
      </c>
      <c r="E43" s="41">
        <f>E40+E41+E42</f>
        <v>33.54</v>
      </c>
      <c r="F43" s="41">
        <f>F40+F41+F42</f>
        <v>378.54</v>
      </c>
      <c r="G43" s="41">
        <f>G40+G41+G42</f>
        <v>450.86</v>
      </c>
      <c r="H43" s="41">
        <f>H40+H41+H42</f>
        <v>220.02</v>
      </c>
      <c r="I43" s="41">
        <f>I40+I41+I42</f>
        <v>1863.39</v>
      </c>
      <c r="J43" s="41">
        <f>J40+J41+J42</f>
        <v>353.47</v>
      </c>
      <c r="K43" s="41">
        <f>K40+K41+K42</f>
        <v>318.39</v>
      </c>
      <c r="L43" s="41">
        <f>L40+L41+L42</f>
        <v>1278.52</v>
      </c>
      <c r="M43" s="41">
        <f>M40+M41+M42</f>
        <v>345.33</v>
      </c>
      <c r="N43" s="41">
        <f>N40+N41+N42</f>
        <v>1295.27</v>
      </c>
      <c r="O43" s="41">
        <f>O40+O41+O42</f>
        <v>633.86</v>
      </c>
      <c r="P43" s="41">
        <f>P40+P41+P42</f>
        <v>4155.09</v>
      </c>
      <c r="Q43" s="41">
        <f>Q40+Q41+Q42</f>
        <v>1942.05</v>
      </c>
      <c r="R43" s="41">
        <f>R40+R41+R42</f>
        <v>1905.08</v>
      </c>
      <c r="S43" s="41">
        <f>S40+S41+S42</f>
        <v>1392.92</v>
      </c>
      <c r="T43" s="41">
        <f>T40+T41+T42</f>
        <v>422.44</v>
      </c>
      <c r="U43" s="41">
        <f>U40+U41+U42</f>
        <v>586.63</v>
      </c>
      <c r="V43" s="41">
        <f>V40+V41+V42</f>
        <v>379.94</v>
      </c>
      <c r="W43" s="41">
        <f>W40+W41+W42</f>
        <v>151.91</v>
      </c>
      <c r="X43" s="41">
        <f>X40+X41+X42</f>
        <v>1216.55</v>
      </c>
      <c r="Y43" s="41">
        <f>Y40+Y41+Y42</f>
        <v>1435.64</v>
      </c>
      <c r="Z43" s="41">
        <f>Z40+Z41+Z42</f>
        <v>222.44</v>
      </c>
      <c r="AA43" s="41">
        <f>AA40+AA41+AA42</f>
        <v>894.3</v>
      </c>
      <c r="AB43" s="41">
        <f>AB40+AB41+AB42</f>
        <v>24310.72</v>
      </c>
      <c r="AC43" s="41">
        <f>AC40+AC41+AC42</f>
        <v>1093.57</v>
      </c>
      <c r="AD43" s="41">
        <f>AD40+AD41+AD42</f>
        <v>2841.81</v>
      </c>
      <c r="AE43" s="41">
        <f>AE40+AE41+AE42</f>
        <v>4413.56</v>
      </c>
      <c r="AF43" s="41">
        <f>AF40+AF41+AF42</f>
        <v>1745.03</v>
      </c>
      <c r="AG43" s="41">
        <f>AG40+AG41+AG42</f>
        <v>1616.46</v>
      </c>
      <c r="AH43" s="41">
        <f>AH40+AH41+AH42</f>
        <v>1979.3</v>
      </c>
      <c r="AI43" s="41">
        <f>AI40+AI41+AI42</f>
        <v>50.0</v>
      </c>
      <c r="AJ43" s="41"/>
      <c r="AK43" s="41"/>
      <c r="AL43" s="41">
        <f>AL40+AL41+AL42</f>
        <v>359.08</v>
      </c>
      <c r="AM43" s="41">
        <f>AM40+AM41+AM42</f>
        <v>386.34</v>
      </c>
      <c r="AN43" s="41">
        <f>AN40+AN41+AN42</f>
        <v>960.47</v>
      </c>
      <c r="AO43" s="41">
        <f>AO40+AO41+AO42</f>
        <v>970.39</v>
      </c>
      <c r="AP43" s="41">
        <f>AP40+AP41+AP42</f>
        <v>28.0</v>
      </c>
      <c r="AQ43" s="41">
        <f>AQ40+AQ41+AQ42</f>
        <v>535.39</v>
      </c>
      <c r="AR43" s="41">
        <f>AR40+AR41+AR42</f>
        <v>393.66</v>
      </c>
      <c r="AS43" s="41">
        <f>AS40+AS41+AS42</f>
        <v>785.45</v>
      </c>
      <c r="AT43" s="41">
        <f>AT40+AT41+AT42</f>
        <v>1416.06</v>
      </c>
      <c r="AU43" s="41">
        <f>AU40+AU41+AU42</f>
        <v>2402.26</v>
      </c>
      <c r="AV43" s="41">
        <f>AV40+AV41+AV42</f>
        <v>2861.3</v>
      </c>
      <c r="AW43" s="41">
        <f>AW40+AW41+AW42</f>
        <v>3583.12</v>
      </c>
      <c r="AX43" s="41">
        <f>AX40+AX41+AX42</f>
        <v>1395.02</v>
      </c>
      <c r="AY43" s="41">
        <f>AY40+AY41+AY42</f>
        <v>3363.45</v>
      </c>
      <c r="AZ43" s="41">
        <f>AZ40+AZ41+AZ42</f>
        <v>1549.6399999999999</v>
      </c>
      <c r="BA43" s="41">
        <f>BA40+BA41+BA42</f>
        <v>156.56</v>
      </c>
      <c r="BB43" s="42">
        <f>B43+C43+D43+E43+F43+G43+H43+I43+J43+K43+L43+M43+N43+O43+P43+Q43+R43+S43+T43+U43+V43+W43+X43+Y43+Z43+AA43+AB43+AC43+AD43+AE43+AF43+AG43+AH43+AI43+AJ43+AK43+AL43+AM43+AN43+AO43+AP43+AQ43+AR43+AS43+AT43+AU43+AV43+AW43+AX43+AY43+AZ43+BA43</f>
        <v>81376.42999999998</v>
      </c>
    </row>
    <row r="44" spans="1:54" ht="16" outlineLevel="1">
      <c r="A44" s="32" t="s">
        <v>41</v>
      </c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  <c r="AB44" s="39"/>
      <c r="AC44" s="39"/>
      <c r="AD44" s="39"/>
      <c r="AE44" s="39"/>
      <c r="AF44" s="39"/>
      <c r="AG44" s="39"/>
      <c r="AH44" s="39"/>
      <c r="AI44" s="39"/>
      <c r="AJ44" s="39"/>
      <c r="AK44" s="39"/>
      <c r="AL44" s="39"/>
      <c r="AM44" s="39"/>
      <c r="AN44" s="39"/>
      <c r="AO44" s="39"/>
      <c r="AP44" s="39"/>
      <c r="AQ44" s="39"/>
      <c r="AR44" s="39"/>
      <c r="AS44" s="39"/>
      <c r="AT44" s="39"/>
      <c r="AU44" s="40">
        <v>20.0</v>
      </c>
      <c r="AV44" s="40">
        <v>31.58</v>
      </c>
      <c r="AW44" s="39"/>
      <c r="AX44" s="40">
        <v>80.0</v>
      </c>
      <c r="AY44" s="39"/>
      <c r="AZ44" s="40">
        <v>302.91</v>
      </c>
      <c r="BA44" s="39"/>
      <c r="BB44" s="40">
        <f>B44+C44+D44+E44+F44+G44+H44+I44+J44+K44+L44+M44+N44+O44+P44+Q44+R44+S44+T44+U44+V44+W44+X44+Y44+Z44+AA44+AB44+AC44+AD44+AE44+AF44+AG44+AH44+AI44+AJ44+AK44+AL44+AM44+AN44+AO44+AP44+AQ44+AR44+AS44+AT44+AU44+AV44+AW44+AX44+AY44+AZ44+BA44</f>
        <v>434.49</v>
      </c>
    </row>
    <row r="45" spans="1:54" ht="16" outlineLevel="1">
      <c r="A45" s="32" t="s">
        <v>42</v>
      </c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40">
        <v>368603.03</v>
      </c>
      <c r="S45" s="40">
        <v>20200.0</v>
      </c>
      <c r="T45" s="39"/>
      <c r="U45" s="39"/>
      <c r="V45" s="39"/>
      <c r="W45" s="40">
        <v>134725.27</v>
      </c>
      <c r="X45" s="40">
        <v>20200.0</v>
      </c>
      <c r="Y45" s="39"/>
      <c r="Z45" s="39"/>
      <c r="AA45" s="40">
        <v>25195.97</v>
      </c>
      <c r="AB45" s="40">
        <v>61678.05</v>
      </c>
      <c r="AC45" s="40">
        <v>146491.72</v>
      </c>
      <c r="AD45" s="40">
        <v>-53444.89</v>
      </c>
      <c r="AE45" s="40">
        <v>-58135.0</v>
      </c>
      <c r="AF45" s="39"/>
      <c r="AG45" s="39"/>
      <c r="AH45" s="39"/>
      <c r="AI45" s="39"/>
      <c r="AJ45" s="39"/>
      <c r="AK45" s="39"/>
      <c r="AL45" s="39"/>
      <c r="AM45" s="39"/>
      <c r="AN45" s="39"/>
      <c r="AO45" s="39"/>
      <c r="AP45" s="40">
        <v>226958.28</v>
      </c>
      <c r="AQ45" s="39"/>
      <c r="AR45" s="39"/>
      <c r="AS45" s="39"/>
      <c r="AT45" s="39"/>
      <c r="AU45" s="39"/>
      <c r="AV45" s="39"/>
      <c r="AW45" s="39"/>
      <c r="AX45" s="39"/>
      <c r="AY45" s="39"/>
      <c r="AZ45" s="39"/>
      <c r="BA45" s="39"/>
      <c r="BB45" s="40">
        <f>B45+C45+D45+E45+F45+G45+H45+I45+J45+K45+L45+M45+N45+O45+P45+Q45+R45+S45+T45+U45+V45+W45+X45+Y45+Z45+AA45+AB45+AC45+AD45+AE45+AF45+AG45+AH45+AI45+AJ45+AK45+AL45+AM45+AN45+AO45+AP45+AQ45+AR45+AS45+AT45+AU45+AV45+AW45+AX45+AY45+AZ45+BA45</f>
        <v>892472.43</v>
      </c>
    </row>
    <row r="46" spans="1:54" ht="16" outlineLevel="1">
      <c r="A46" s="32" t="s">
        <v>43</v>
      </c>
      <c r="B46" s="39"/>
      <c r="C46" s="40">
        <v>94.85</v>
      </c>
      <c r="D46" s="40">
        <v>168.96</v>
      </c>
      <c r="E46" s="40">
        <v>12.0</v>
      </c>
      <c r="F46" s="40">
        <v>51.0</v>
      </c>
      <c r="G46" s="40">
        <v>6.87</v>
      </c>
      <c r="H46" s="39"/>
      <c r="I46" s="39"/>
      <c r="J46" s="39"/>
      <c r="K46" s="39"/>
      <c r="L46" s="40">
        <v>15.0</v>
      </c>
      <c r="M46" s="40">
        <v>15.08</v>
      </c>
      <c r="N46" s="40">
        <v>15.04</v>
      </c>
      <c r="O46" s="40">
        <v>17.5</v>
      </c>
      <c r="P46" s="40">
        <v>15.0</v>
      </c>
      <c r="Q46" s="40">
        <v>15.0</v>
      </c>
      <c r="R46" s="40">
        <v>36.6</v>
      </c>
      <c r="S46" s="40">
        <v>15.04</v>
      </c>
      <c r="T46" s="40">
        <v>52.33</v>
      </c>
      <c r="U46" s="40">
        <v>15.0</v>
      </c>
      <c r="V46" s="40">
        <v>16.58</v>
      </c>
      <c r="W46" s="40">
        <v>15.0</v>
      </c>
      <c r="X46" s="40">
        <v>15.0</v>
      </c>
      <c r="Y46" s="40">
        <v>15.0</v>
      </c>
      <c r="Z46" s="40">
        <v>337.59</v>
      </c>
      <c r="AA46" s="40">
        <v>25.0</v>
      </c>
      <c r="AB46" s="40">
        <v>206.5</v>
      </c>
      <c r="AC46" s="40">
        <v>42.3</v>
      </c>
      <c r="AD46" s="40">
        <v>45.0</v>
      </c>
      <c r="AE46" s="40">
        <v>416.41</v>
      </c>
      <c r="AF46" s="40">
        <v>15.0</v>
      </c>
      <c r="AG46" s="40">
        <v>15.0</v>
      </c>
      <c r="AH46" s="40">
        <v>20.53</v>
      </c>
      <c r="AI46" s="40">
        <v>15.0</v>
      </c>
      <c r="AJ46" s="40">
        <v>50.0</v>
      </c>
      <c r="AK46" s="40">
        <v>15.0</v>
      </c>
      <c r="AL46" s="40">
        <v>15.0</v>
      </c>
      <c r="AM46" s="40">
        <v>150.0</v>
      </c>
      <c r="AN46" s="40">
        <v>15.0</v>
      </c>
      <c r="AO46" s="40">
        <v>50.0</v>
      </c>
      <c r="AP46" s="40">
        <v>3130.84</v>
      </c>
      <c r="AQ46" s="40">
        <v>90.0</v>
      </c>
      <c r="AR46" s="40">
        <v>1588.68</v>
      </c>
      <c r="AS46" s="40">
        <v>33.65</v>
      </c>
      <c r="AT46" s="40">
        <v>139.15</v>
      </c>
      <c r="AU46" s="40">
        <v>112.5</v>
      </c>
      <c r="AV46" s="40">
        <v>30.5</v>
      </c>
      <c r="AW46" s="40">
        <v>30.5</v>
      </c>
      <c r="AX46" s="40">
        <v>830.2</v>
      </c>
      <c r="AY46" s="40">
        <v>10.5</v>
      </c>
      <c r="AZ46" s="40">
        <v>30.5</v>
      </c>
      <c r="BA46" s="40">
        <v>22.5</v>
      </c>
      <c r="BB46" s="40">
        <f>B46+C46+D46+E46+F46+G46+H46+I46+J46+K46+L46+M46+N46+O46+P46+Q46+R46+S46+T46+U46+V46+W46+X46+Y46+Z46+AA46+AB46+AC46+AD46+AE46+AF46+AG46+AH46+AI46+AJ46+AK46+AL46+AM46+AN46+AO46+AP46+AQ46+AR46+AS46+AT46+AU46+AV46+AW46+AX46+AY46+AZ46+BA46</f>
        <v>8089.7</v>
      </c>
    </row>
    <row r="47" spans="1:54" ht="16" outlineLevel="1">
      <c r="A47" s="32" t="s">
        <v>44</v>
      </c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40">
        <v>760.43</v>
      </c>
      <c r="M47" s="40">
        <v>1317.15</v>
      </c>
      <c r="N47" s="39"/>
      <c r="O47" s="40">
        <v>225.0</v>
      </c>
      <c r="P47" s="40">
        <v>2248.0</v>
      </c>
      <c r="Q47" s="40">
        <v>3109.65</v>
      </c>
      <c r="R47" s="40">
        <v>2830.24</v>
      </c>
      <c r="S47" s="39"/>
      <c r="T47" s="39"/>
      <c r="U47" s="39"/>
      <c r="V47" s="39"/>
      <c r="W47" s="40">
        <v>1540.0</v>
      </c>
      <c r="X47" s="40">
        <v>1646.25</v>
      </c>
      <c r="Y47" s="39"/>
      <c r="Z47" s="40">
        <v>1646.25</v>
      </c>
      <c r="AA47" s="39"/>
      <c r="AB47" s="39"/>
      <c r="AC47" s="40">
        <v>1100.0</v>
      </c>
      <c r="AD47" s="39"/>
      <c r="AE47" s="39"/>
      <c r="AF47" s="39"/>
      <c r="AG47" s="39"/>
      <c r="AH47" s="39"/>
      <c r="AI47" s="39"/>
      <c r="AJ47" s="39"/>
      <c r="AK47" s="39"/>
      <c r="AL47" s="39"/>
      <c r="AM47" s="39"/>
      <c r="AN47" s="39"/>
      <c r="AO47" s="39"/>
      <c r="AP47" s="39"/>
      <c r="AQ47" s="39"/>
      <c r="AR47" s="39"/>
      <c r="AS47" s="39"/>
      <c r="AT47" s="39"/>
      <c r="AU47" s="39"/>
      <c r="AV47" s="39"/>
      <c r="AW47" s="39"/>
      <c r="AX47" s="39"/>
      <c r="AY47" s="39"/>
      <c r="AZ47" s="39"/>
      <c r="BA47" s="39"/>
      <c r="BB47" s="40">
        <f>B47+C47+D47+E47+F47+G47+H47+I47+J47+K47+L47+M47+N47+O47+P47+Q47+R47+S47+T47+U47+V47+W47+X47+Y47+Z47+AA47+AB47+AC47+AD47+AE47+AF47+AG47+AH47+AI47+AJ47+AK47+AL47+AM47+AN47+AO47+AP47+AQ47+AR47+AS47+AT47+AU47+AV47+AW47+AX47+AY47+AZ47+BA47</f>
        <v>16422.97</v>
      </c>
    </row>
    <row r="48" spans="1:54" ht="16" outlineLevel="1">
      <c r="A48" s="32" t="s">
        <v>45</v>
      </c>
      <c r="B48" s="39"/>
      <c r="C48" s="39"/>
      <c r="D48" s="39"/>
      <c r="E48" s="39"/>
      <c r="F48" s="40">
        <v>5.47</v>
      </c>
      <c r="G48" s="40">
        <v>100.0</v>
      </c>
      <c r="H48" s="40">
        <v>79.42</v>
      </c>
      <c r="I48" s="39"/>
      <c r="J48" s="39"/>
      <c r="K48" s="39"/>
      <c r="L48" s="39"/>
      <c r="M48" s="40">
        <v>50.0</v>
      </c>
      <c r="N48" s="39"/>
      <c r="O48" s="40">
        <v>100.0</v>
      </c>
      <c r="P48" s="40">
        <v>100.0</v>
      </c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  <c r="AB48" s="40">
        <v>2464.86</v>
      </c>
      <c r="AC48" s="39"/>
      <c r="AD48" s="39"/>
      <c r="AE48" s="39"/>
      <c r="AF48" s="39"/>
      <c r="AG48" s="39"/>
      <c r="AH48" s="39"/>
      <c r="AI48" s="39"/>
      <c r="AJ48" s="39"/>
      <c r="AK48" s="40">
        <v>421.44</v>
      </c>
      <c r="AL48" s="39"/>
      <c r="AM48" s="39"/>
      <c r="AN48" s="39"/>
      <c r="AO48" s="39"/>
      <c r="AP48" s="39"/>
      <c r="AQ48" s="40">
        <v>94.9</v>
      </c>
      <c r="AR48" s="39"/>
      <c r="AS48" s="39"/>
      <c r="AT48" s="40">
        <v>583.38</v>
      </c>
      <c r="AU48" s="39"/>
      <c r="AV48" s="39"/>
      <c r="AW48" s="39"/>
      <c r="AX48" s="39"/>
      <c r="AY48" s="39"/>
      <c r="AZ48" s="40">
        <v>3174.47</v>
      </c>
      <c r="BA48" s="39"/>
      <c r="BB48" s="40">
        <f>B48+C48+D48+E48+F48+G48+H48+I48+J48+K48+L48+M48+N48+O48+P48+Q48+R48+S48+T48+U48+V48+W48+X48+Y48+Z48+AA48+AB48+AC48+AD48+AE48+AF48+AG48+AH48+AI48+AJ48+AK48+AL48+AM48+AN48+AO48+AP48+AQ48+AR48+AS48+AT48+AU48+AV48+AW48+AX48+AY48+AZ48+BA48</f>
        <v>7173.9400000000005</v>
      </c>
    </row>
    <row r="49" spans="1:54" ht="16" outlineLevel="1">
      <c r="A49" s="32" t="s">
        <v>46</v>
      </c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40">
        <v>50.0</v>
      </c>
      <c r="AA49" s="39"/>
      <c r="AB49" s="40">
        <v>5200.0</v>
      </c>
      <c r="AC49" s="40">
        <v>111.0</v>
      </c>
      <c r="AD49" s="39"/>
      <c r="AE49" s="39"/>
      <c r="AF49" s="39"/>
      <c r="AG49" s="39"/>
      <c r="AH49" s="39"/>
      <c r="AI49" s="39"/>
      <c r="AJ49" s="39"/>
      <c r="AK49" s="39"/>
      <c r="AL49" s="39"/>
      <c r="AM49" s="39"/>
      <c r="AN49" s="39"/>
      <c r="AO49" s="39"/>
      <c r="AP49" s="39"/>
      <c r="AQ49" s="39"/>
      <c r="AR49" s="39"/>
      <c r="AS49" s="39"/>
      <c r="AT49" s="39"/>
      <c r="AU49" s="39"/>
      <c r="AV49" s="39"/>
      <c r="AW49" s="39"/>
      <c r="AX49" s="39"/>
      <c r="AY49" s="39"/>
      <c r="AZ49" s="39"/>
      <c r="BA49" s="39"/>
      <c r="BB49" s="40">
        <f>B49+C49+D49+E49+F49+G49+H49+I49+J49+K49+L49+M49+N49+O49+P49+Q49+R49+S49+T49+U49+V49+W49+X49+Y49+Z49+AA49+AB49+AC49+AD49+AE49+AF49+AG49+AH49+AI49+AJ49+AK49+AL49+AM49+AN49+AO49+AP49+AQ49+AR49+AS49+AT49+AU49+AV49+AW49+AX49+AY49+AZ49+BA49</f>
        <v>5361.0</v>
      </c>
    </row>
    <row r="50" spans="1:54" ht="16" outlineLevel="1">
      <c r="A50" s="32" t="s">
        <v>47</v>
      </c>
      <c r="B50" s="40">
        <v>923.04</v>
      </c>
      <c r="C50" s="40">
        <v>1303.7</v>
      </c>
      <c r="D50" s="39"/>
      <c r="E50" s="40">
        <v>2055.0</v>
      </c>
      <c r="F50" s="40">
        <v>4252.0</v>
      </c>
      <c r="G50" s="40">
        <v>2125.51</v>
      </c>
      <c r="H50" s="39"/>
      <c r="I50" s="40">
        <v>10034.0</v>
      </c>
      <c r="J50" s="39"/>
      <c r="K50" s="39"/>
      <c r="L50" s="39"/>
      <c r="M50" s="40">
        <v>3510.76</v>
      </c>
      <c r="N50" s="40">
        <v>17609.33</v>
      </c>
      <c r="O50" s="40">
        <v>5148.88</v>
      </c>
      <c r="P50" s="40">
        <v>22506.38</v>
      </c>
      <c r="Q50" s="40">
        <v>24383.86</v>
      </c>
      <c r="R50" s="40">
        <v>15191.71</v>
      </c>
      <c r="S50" s="40">
        <v>3963.44</v>
      </c>
      <c r="T50" s="40">
        <v>11082.15</v>
      </c>
      <c r="U50" s="40">
        <v>13607.6</v>
      </c>
      <c r="V50" s="40">
        <v>24959.89</v>
      </c>
      <c r="W50" s="40">
        <v>12521.27</v>
      </c>
      <c r="X50" s="40">
        <v>13402.01</v>
      </c>
      <c r="Y50" s="40">
        <v>3804.58</v>
      </c>
      <c r="Z50" s="40">
        <v>54783.21</v>
      </c>
      <c r="AA50" s="40">
        <v>13807.65</v>
      </c>
      <c r="AB50" s="40">
        <v>67175.04</v>
      </c>
      <c r="AC50" s="40">
        <v>27756.95</v>
      </c>
      <c r="AD50" s="40">
        <v>26398.93</v>
      </c>
      <c r="AE50" s="39"/>
      <c r="AF50" s="39"/>
      <c r="AG50" s="39"/>
      <c r="AH50" s="39"/>
      <c r="AI50" s="39"/>
      <c r="AJ50" s="39"/>
      <c r="AK50" s="39"/>
      <c r="AL50" s="39"/>
      <c r="AM50" s="39"/>
      <c r="AN50" s="39"/>
      <c r="AO50" s="39"/>
      <c r="AP50" s="39"/>
      <c r="AQ50" s="39"/>
      <c r="AR50" s="39"/>
      <c r="AS50" s="39"/>
      <c r="AT50" s="39"/>
      <c r="AU50" s="39"/>
      <c r="AV50" s="39"/>
      <c r="AW50" s="39"/>
      <c r="AX50" s="39"/>
      <c r="AY50" s="39"/>
      <c r="AZ50" s="39"/>
      <c r="BA50" s="39"/>
      <c r="BB50" s="40">
        <f>B50+C50+D50+E50+F50+G50+H50+I50+J50+K50+L50+M50+N50+O50+P50+Q50+R50+S50+T50+U50+V50+W50+X50+Y50+Z50+AA50+AB50+AC50+AD50+AE50+AF50+AG50+AH50+AI50+AJ50+AK50+AL50+AM50+AN50+AO50+AP50+AQ50+AR50+AS50+AT50+AU50+AV50+AW50+AX50+AY50+AZ50+BA50</f>
        <v>382306.88999999996</v>
      </c>
    </row>
    <row r="51" spans="1:54" ht="16" outlineLevel="2">
      <c r="A51" s="34" t="s">
        <v>48</v>
      </c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40">
        <v>-2277.72</v>
      </c>
      <c r="O51" s="40">
        <v>2326.24</v>
      </c>
      <c r="P51" s="40">
        <v>1214.82</v>
      </c>
      <c r="Q51" s="40">
        <v>1833.3</v>
      </c>
      <c r="R51" s="40">
        <v>1212.52</v>
      </c>
      <c r="S51" s="40">
        <v>1946.03</v>
      </c>
      <c r="T51" s="39"/>
      <c r="U51" s="40">
        <v>4257.07</v>
      </c>
      <c r="V51" s="40">
        <v>2311.09</v>
      </c>
      <c r="W51" s="40">
        <v>2311.09</v>
      </c>
      <c r="X51" s="40">
        <v>3275.44</v>
      </c>
      <c r="Y51" s="40">
        <v>-5648.68</v>
      </c>
      <c r="Z51" s="40">
        <v>-1067.15</v>
      </c>
      <c r="AA51" s="40">
        <v>59.68</v>
      </c>
      <c r="AB51" s="39"/>
      <c r="AC51" s="39"/>
      <c r="AD51" s="39"/>
      <c r="AE51" s="40">
        <v>17443.71</v>
      </c>
      <c r="AF51" s="40">
        <v>19939.08</v>
      </c>
      <c r="AG51" s="40">
        <v>11040.2</v>
      </c>
      <c r="AH51" s="40">
        <v>11694.42</v>
      </c>
      <c r="AI51" s="40">
        <v>11710.8</v>
      </c>
      <c r="AJ51" s="40">
        <v>14695.46</v>
      </c>
      <c r="AK51" s="40">
        <v>11710.8</v>
      </c>
      <c r="AL51" s="40">
        <v>11710.8</v>
      </c>
      <c r="AM51" s="40">
        <v>11710.8</v>
      </c>
      <c r="AN51" s="40">
        <v>11403.89</v>
      </c>
      <c r="AO51" s="40">
        <v>12175.21</v>
      </c>
      <c r="AP51" s="40">
        <v>12175.2</v>
      </c>
      <c r="AQ51" s="40">
        <v>122.0</v>
      </c>
      <c r="AR51" s="39"/>
      <c r="AS51" s="40">
        <v>16292.5</v>
      </c>
      <c r="AT51" s="40">
        <v>13820.17</v>
      </c>
      <c r="AU51" s="40">
        <v>13820.17</v>
      </c>
      <c r="AV51" s="40">
        <v>15187.45</v>
      </c>
      <c r="AW51" s="40">
        <v>15187.45</v>
      </c>
      <c r="AX51" s="40">
        <v>15386.65</v>
      </c>
      <c r="AY51" s="40">
        <v>13198.65</v>
      </c>
      <c r="AZ51" s="40">
        <v>13312.92</v>
      </c>
      <c r="BA51" s="40">
        <v>13468.65</v>
      </c>
      <c r="BB51" s="40">
        <f>B51+C51+D51+E51+F51+G51+H51+I51+J51+K51+L51+M51+N51+O51+P51+Q51+R51+S51+T51+U51+V51+W51+X51+Y51+Z51+AA51+AB51+AC51+AD51+AE51+AF51+AG51+AH51+AI51+AJ51+AK51+AL51+AM51+AN51+AO51+AP51+AQ51+AR51+AS51+AT51+AU51+AV51+AW51+AX51+AY51+AZ51+BA51</f>
        <v>298960.7100000001</v>
      </c>
    </row>
    <row r="52" spans="1:54" ht="16" outlineLevel="2">
      <c r="A52" s="34" t="s">
        <v>49</v>
      </c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  <c r="AB52" s="39"/>
      <c r="AC52" s="39"/>
      <c r="AD52" s="39"/>
      <c r="AE52" s="40">
        <v>11169.35</v>
      </c>
      <c r="AF52" s="40">
        <v>11169.35</v>
      </c>
      <c r="AG52" s="40">
        <v>11169.35</v>
      </c>
      <c r="AH52" s="40">
        <v>11169.35</v>
      </c>
      <c r="AI52" s="40">
        <v>11169.35</v>
      </c>
      <c r="AJ52" s="40">
        <v>11169.35</v>
      </c>
      <c r="AK52" s="40">
        <v>11169.35</v>
      </c>
      <c r="AL52" s="40">
        <v>1174.66</v>
      </c>
      <c r="AM52" s="40">
        <v>11932.23</v>
      </c>
      <c r="AN52" s="40">
        <v>10824.52</v>
      </c>
      <c r="AO52" s="40">
        <v>10468.59</v>
      </c>
      <c r="AP52" s="40">
        <v>10677.68</v>
      </c>
      <c r="AQ52" s="40">
        <v>10824.52</v>
      </c>
      <c r="AR52" s="40">
        <v>17958.66</v>
      </c>
      <c r="AS52" s="40">
        <v>43788.37</v>
      </c>
      <c r="AT52" s="39"/>
      <c r="AU52" s="40">
        <v>14070.3</v>
      </c>
      <c r="AV52" s="40">
        <v>14070.3</v>
      </c>
      <c r="AW52" s="40">
        <v>14070.3</v>
      </c>
      <c r="AX52" s="40">
        <v>14070.3</v>
      </c>
      <c r="AY52" s="40">
        <v>14070.3</v>
      </c>
      <c r="AZ52" s="40">
        <v>14070.3</v>
      </c>
      <c r="BA52" s="40">
        <v>14070.3</v>
      </c>
      <c r="BB52" s="40">
        <f>B52+C52+D52+E52+F52+G52+H52+I52+J52+K52+L52+M52+N52+O52+P52+Q52+R52+S52+T52+U52+V52+W52+X52+Y52+Z52+AA52+AB52+AC52+AD52+AE52+AF52+AG52+AH52+AI52+AJ52+AK52+AL52+AM52+AN52+AO52+AP52+AQ52+AR52+AS52+AT52+AU52+AV52+AW52+AX52+AY52+AZ52+BA52</f>
        <v>294326.7799999999</v>
      </c>
    </row>
    <row r="53" spans="1:54" ht="16" outlineLevel="2">
      <c r="A53" s="34" t="s">
        <v>50</v>
      </c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  <c r="AB53" s="39"/>
      <c r="AC53" s="39"/>
      <c r="AD53" s="39"/>
      <c r="AE53" s="40">
        <v>224.91</v>
      </c>
      <c r="AF53" s="40">
        <v>44.81</v>
      </c>
      <c r="AG53" s="40">
        <v>134.86</v>
      </c>
      <c r="AH53" s="40">
        <v>134.86</v>
      </c>
      <c r="AI53" s="40">
        <v>224.91</v>
      </c>
      <c r="AJ53" s="40">
        <v>44.81</v>
      </c>
      <c r="AK53" s="40">
        <v>224.91</v>
      </c>
      <c r="AL53" s="40">
        <v>134.86</v>
      </c>
      <c r="AM53" s="40">
        <v>44.81</v>
      </c>
      <c r="AN53" s="40">
        <v>180.1</v>
      </c>
      <c r="AO53" s="39"/>
      <c r="AP53" s="40">
        <v>-1393.84</v>
      </c>
      <c r="AQ53" s="40">
        <v>180.1</v>
      </c>
      <c r="AR53" s="39"/>
      <c r="AS53" s="40">
        <v>90.05</v>
      </c>
      <c r="AT53" s="40">
        <v>180.1</v>
      </c>
      <c r="AU53" s="40">
        <v>90.05</v>
      </c>
      <c r="AV53" s="39"/>
      <c r="AW53" s="40">
        <v>180.1</v>
      </c>
      <c r="AX53" s="39"/>
      <c r="AY53" s="40">
        <v>90.05</v>
      </c>
      <c r="AZ53" s="40">
        <v>180.1</v>
      </c>
      <c r="BA53" s="39"/>
      <c r="BB53" s="40">
        <f>B53+C53+D53+E53+F53+G53+H53+I53+J53+K53+L53+M53+N53+O53+P53+Q53+R53+S53+T53+U53+V53+W53+X53+Y53+Z53+AA53+AB53+AC53+AD53+AE53+AF53+AG53+AH53+AI53+AJ53+AK53+AL53+AM53+AN53+AO53+AP53+AQ53+AR53+AS53+AT53+AU53+AV53+AW53+AX53+AY53+AZ53+BA53</f>
        <v>990.5500000000002</v>
      </c>
    </row>
    <row r="54" spans="1:54" ht="16" outlineLevel="2">
      <c r="A54" s="34" t="s">
        <v>51</v>
      </c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  <c r="AB54" s="39"/>
      <c r="AC54" s="39"/>
      <c r="AD54" s="39"/>
      <c r="AE54" s="40">
        <v>87.0</v>
      </c>
      <c r="AF54" s="40">
        <v>87.0</v>
      </c>
      <c r="AG54" s="40">
        <v>87.0</v>
      </c>
      <c r="AH54" s="40">
        <v>87.0</v>
      </c>
      <c r="AI54" s="40">
        <v>87.0</v>
      </c>
      <c r="AJ54" s="40">
        <v>87.0</v>
      </c>
      <c r="AK54" s="40">
        <v>87.0</v>
      </c>
      <c r="AL54" s="39"/>
      <c r="AM54" s="39"/>
      <c r="AN54" s="39"/>
      <c r="AO54" s="39"/>
      <c r="AP54" s="39"/>
      <c r="AQ54" s="39"/>
      <c r="AR54" s="39"/>
      <c r="AS54" s="39"/>
      <c r="AT54" s="39"/>
      <c r="AU54" s="39"/>
      <c r="AV54" s="39"/>
      <c r="AW54" s="39"/>
      <c r="AX54" s="39"/>
      <c r="AY54" s="40">
        <v>465.93</v>
      </c>
      <c r="AZ54" s="39"/>
      <c r="BA54" s="39"/>
      <c r="BB54" s="40">
        <f>B54+C54+D54+E54+F54+G54+H54+I54+J54+K54+L54+M54+N54+O54+P54+Q54+R54+S54+T54+U54+V54+W54+X54+Y54+Z54+AA54+AB54+AC54+AD54+AE54+AF54+AG54+AH54+AI54+AJ54+AK54+AL54+AM54+AN54+AO54+AP54+AQ54+AR54+AS54+AT54+AU54+AV54+AW54+AX54+AY54+AZ54+BA54</f>
        <v>1074.93</v>
      </c>
    </row>
    <row r="55" spans="1:54" ht="16" outlineLevel="2">
      <c r="A55" s="34" t="s">
        <v>52</v>
      </c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  <c r="AB55" s="39"/>
      <c r="AC55" s="39"/>
      <c r="AD55" s="39"/>
      <c r="AE55" s="40">
        <v>6678.0</v>
      </c>
      <c r="AF55" s="40">
        <v>6012.0</v>
      </c>
      <c r="AG55" s="40">
        <v>6012.0</v>
      </c>
      <c r="AH55" s="40">
        <v>13444.0</v>
      </c>
      <c r="AI55" s="39"/>
      <c r="AJ55" s="40">
        <v>1590.0</v>
      </c>
      <c r="AK55" s="40">
        <v>1317.0</v>
      </c>
      <c r="AL55" s="40">
        <v>22841.0</v>
      </c>
      <c r="AM55" s="40">
        <v>1051.0</v>
      </c>
      <c r="AN55" s="40">
        <v>1605.0</v>
      </c>
      <c r="AO55" s="40">
        <v>1503.0</v>
      </c>
      <c r="AP55" s="40">
        <v>2449.0</v>
      </c>
      <c r="AQ55" s="40">
        <v>1637.0</v>
      </c>
      <c r="AR55" s="40">
        <v>1729.0</v>
      </c>
      <c r="AS55" s="40">
        <v>3240.76</v>
      </c>
      <c r="AT55" s="40">
        <v>1256.0</v>
      </c>
      <c r="AU55" s="39"/>
      <c r="AV55" s="39"/>
      <c r="AW55" s="39"/>
      <c r="AX55" s="39"/>
      <c r="AY55" s="40">
        <v>100.0</v>
      </c>
      <c r="AZ55" s="40">
        <v>303.0</v>
      </c>
      <c r="BA55" s="40">
        <v>929.0</v>
      </c>
      <c r="BB55" s="40">
        <f>B55+C55+D55+E55+F55+G55+H55+I55+J55+K55+L55+M55+N55+O55+P55+Q55+R55+S55+T55+U55+V55+W55+X55+Y55+Z55+AA55+AB55+AC55+AD55+AE55+AF55+AG55+AH55+AI55+AJ55+AK55+AL55+AM55+AN55+AO55+AP55+AQ55+AR55+AS55+AT55+AU55+AV55+AW55+AX55+AY55+AZ55+BA55</f>
        <v>73696.76</v>
      </c>
    </row>
    <row r="56" spans="1:54" ht="16" outlineLevel="2">
      <c r="A56" s="34" t="s">
        <v>53</v>
      </c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  <c r="AB56" s="39"/>
      <c r="AC56" s="39"/>
      <c r="AD56" s="39"/>
      <c r="AE56" s="39"/>
      <c r="AF56" s="39"/>
      <c r="AG56" s="39"/>
      <c r="AH56" s="39"/>
      <c r="AI56" s="39"/>
      <c r="AJ56" s="39"/>
      <c r="AK56" s="39"/>
      <c r="AL56" s="40">
        <v>92.0</v>
      </c>
      <c r="AM56" s="39"/>
      <c r="AN56" s="39"/>
      <c r="AO56" s="39"/>
      <c r="AP56" s="39"/>
      <c r="AQ56" s="39"/>
      <c r="AR56" s="39"/>
      <c r="AS56" s="39"/>
      <c r="AT56" s="39"/>
      <c r="AU56" s="39"/>
      <c r="AV56" s="39"/>
      <c r="AW56" s="39"/>
      <c r="AX56" s="39"/>
      <c r="AY56" s="39"/>
      <c r="AZ56" s="39"/>
      <c r="BA56" s="39"/>
      <c r="BB56" s="40">
        <f>B56+C56+D56+E56+F56+G56+H56+I56+J56+K56+L56+M56+N56+O56+P56+Q56+R56+S56+T56+U56+V56+W56+X56+Y56+Z56+AA56+AB56+AC56+AD56+AE56+AF56+AG56+AH56+AI56+AJ56+AK56+AL56+AM56+AN56+AO56+AP56+AQ56+AR56+AS56+AT56+AU56+AV56+AW56+AX56+AY56+AZ56+BA56</f>
        <v>92.0</v>
      </c>
    </row>
    <row r="57" spans="1:54" ht="16" outlineLevel="2">
      <c r="A57" s="34" t="s">
        <v>54</v>
      </c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  <c r="AB57" s="39"/>
      <c r="AC57" s="39"/>
      <c r="AD57" s="39"/>
      <c r="AE57" s="39"/>
      <c r="AF57" s="39"/>
      <c r="AG57" s="39"/>
      <c r="AH57" s="39"/>
      <c r="AI57" s="39"/>
      <c r="AJ57" s="39"/>
      <c r="AK57" s="39"/>
      <c r="AL57" s="39"/>
      <c r="AM57" s="39"/>
      <c r="AN57" s="40">
        <v>155.51</v>
      </c>
      <c r="AO57" s="40">
        <v>466.54</v>
      </c>
      <c r="AP57" s="40">
        <v>466.54</v>
      </c>
      <c r="AQ57" s="40">
        <v>466.54</v>
      </c>
      <c r="AR57" s="40">
        <v>466.54</v>
      </c>
      <c r="AS57" s="40">
        <v>466.54</v>
      </c>
      <c r="AT57" s="40">
        <v>466.54</v>
      </c>
      <c r="AU57" s="39"/>
      <c r="AV57" s="39"/>
      <c r="AW57" s="39"/>
      <c r="AX57" s="39"/>
      <c r="AY57" s="39"/>
      <c r="AZ57" s="40">
        <v>2877.59</v>
      </c>
      <c r="BA57" s="40">
        <v>1577.63</v>
      </c>
      <c r="BB57" s="40">
        <f>B57+C57+D57+E57+F57+G57+H57+I57+J57+K57+L57+M57+N57+O57+P57+Q57+R57+S57+T57+U57+V57+W57+X57+Y57+Z57+AA57+AB57+AC57+AD57+AE57+AF57+AG57+AH57+AI57+AJ57+AK57+AL57+AM57+AN57+AO57+AP57+AQ57+AR57+AS57+AT57+AU57+AV57+AW57+AX57+AY57+AZ57+BA57</f>
        <v>7409.97</v>
      </c>
    </row>
    <row r="58" spans="1:54" ht="16" outlineLevel="2">
      <c r="A58" s="34" t="s">
        <v>55</v>
      </c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  <c r="AB58" s="39"/>
      <c r="AC58" s="39"/>
      <c r="AD58" s="39"/>
      <c r="AE58" s="39"/>
      <c r="AF58" s="39"/>
      <c r="AG58" s="39"/>
      <c r="AH58" s="39"/>
      <c r="AI58" s="39"/>
      <c r="AJ58" s="39"/>
      <c r="AK58" s="40">
        <v>210.0</v>
      </c>
      <c r="AL58" s="39"/>
      <c r="AM58" s="39"/>
      <c r="AN58" s="39"/>
      <c r="AO58" s="39"/>
      <c r="AP58" s="39"/>
      <c r="AQ58" s="39"/>
      <c r="AR58" s="39"/>
      <c r="AS58" s="39"/>
      <c r="AT58" s="39"/>
      <c r="AU58" s="39"/>
      <c r="AV58" s="40">
        <v>200.0</v>
      </c>
      <c r="AW58" s="39"/>
      <c r="AX58" s="39"/>
      <c r="AY58" s="39"/>
      <c r="AZ58" s="39"/>
      <c r="BA58" s="39"/>
      <c r="BB58" s="40">
        <f>B58+C58+D58+E58+F58+G58+H58+I58+J58+K58+L58+M58+N58+O58+P58+Q58+R58+S58+T58+U58+V58+W58+X58+Y58+Z58+AA58+AB58+AC58+AD58+AE58+AF58+AG58+AH58+AI58+AJ58+AK58+AL58+AM58+AN58+AO58+AP58+AQ58+AR58+AS58+AT58+AU58+AV58+AW58+AX58+AY58+AZ58+BA58</f>
        <v>410.0</v>
      </c>
    </row>
    <row r="59" spans="1:54" ht="16" outlineLevel="1">
      <c r="A59" s="35" t="s">
        <v>56</v>
      </c>
      <c r="B59" s="41">
        <f>B50+B51+B52+B53+B54+B55+B56+B57+B58</f>
        <v>923.04</v>
      </c>
      <c r="C59" s="41">
        <f>C50+C51+C52+C53+C54+C55+C56+C57+C58</f>
        <v>1303.7</v>
      </c>
      <c r="D59" s="41"/>
      <c r="E59" s="41">
        <f>E50+E51+E52+E53+E54+E55+E56+E57+E58</f>
        <v>2055.0</v>
      </c>
      <c r="F59" s="41">
        <f>F50+F51+F52+F53+F54+F55+F56+F57+F58</f>
        <v>4252.0</v>
      </c>
      <c r="G59" s="41">
        <f>G50+G51+G52+G53+G54+G55+G56+G57+G58</f>
        <v>2125.51</v>
      </c>
      <c r="H59" s="41"/>
      <c r="I59" s="41">
        <f>I50+I51+I52+I53+I54+I55+I56+I57+I58</f>
        <v>10034.0</v>
      </c>
      <c r="J59" s="41"/>
      <c r="K59" s="41"/>
      <c r="L59" s="41"/>
      <c r="M59" s="41">
        <f>M50+M51+M52+M53+M54+M55+M56+M57+M58</f>
        <v>3510.76</v>
      </c>
      <c r="N59" s="41">
        <f>N50+N51+N52+N53+N54+N55+N56+N57+N58</f>
        <v>15331.610000000002</v>
      </c>
      <c r="O59" s="41">
        <f>O50+O51+O52+O53+O54+O55+O56+O57+O58</f>
        <v>7475.12</v>
      </c>
      <c r="P59" s="41">
        <f>P50+P51+P52+P53+P54+P55+P56+P57+P58</f>
        <v>23721.2</v>
      </c>
      <c r="Q59" s="41">
        <f>Q50+Q51+Q52+Q53+Q54+Q55+Q56+Q57+Q58</f>
        <v>26217.16</v>
      </c>
      <c r="R59" s="41">
        <f>R50+R51+R52+R53+R54+R55+R56+R57+R58</f>
        <v>16404.23</v>
      </c>
      <c r="S59" s="41">
        <f>S50+S51+S52+S53+S54+S55+S56+S57+S58</f>
        <v>5909.47</v>
      </c>
      <c r="T59" s="41">
        <f>T50+T51+T52+T53+T54+T55+T56+T57+T58</f>
        <v>11082.15</v>
      </c>
      <c r="U59" s="41">
        <f>U50+U51+U52+U53+U54+U55+U56+U57+U58</f>
        <v>17864.67</v>
      </c>
      <c r="V59" s="41">
        <f>V50+V51+V52+V53+V54+V55+V56+V57+V58</f>
        <v>27270.98</v>
      </c>
      <c r="W59" s="41">
        <f>W50+W51+W52+W53+W54+W55+W56+W57+W58</f>
        <v>14832.36</v>
      </c>
      <c r="X59" s="41">
        <f>X50+X51+X52+X53+X54+X55+X56+X57+X58</f>
        <v>16677.45</v>
      </c>
      <c r="Y59" s="41">
        <f>Y50+Y51+Y52+Y53+Y54+Y55+Y56+Y57+Y58</f>
        <v>-1844.1000000000004</v>
      </c>
      <c r="Z59" s="41">
        <f>Z50+Z51+Z52+Z53+Z54+Z55+Z56+Z57+Z58</f>
        <v>53716.06</v>
      </c>
      <c r="AA59" s="41">
        <f>AA50+AA51+AA52+AA53+AA54+AA55+AA56+AA57+AA58</f>
        <v>13867.33</v>
      </c>
      <c r="AB59" s="41">
        <f>AB50+AB51+AB52+AB53+AB54+AB55+AB56+AB57+AB58</f>
        <v>67175.04</v>
      </c>
      <c r="AC59" s="41">
        <f>AC50+AC51+AC52+AC53+AC54+AC55+AC56+AC57+AC58</f>
        <v>27756.95</v>
      </c>
      <c r="AD59" s="41">
        <f>AD50+AD51+AD52+AD53+AD54+AD55+AD56+AD57+AD58</f>
        <v>26398.93</v>
      </c>
      <c r="AE59" s="41">
        <f>AE50+AE51+AE52+AE53+AE54+AE55+AE56+AE57+AE58</f>
        <v>35602.97</v>
      </c>
      <c r="AF59" s="41">
        <f>AF50+AF51+AF52+AF53+AF54+AF55+AF56+AF57+AF58</f>
        <v>37252.240000000005</v>
      </c>
      <c r="AG59" s="41">
        <f>AG50+AG51+AG52+AG53+AG54+AG55+AG56+AG57+AG58</f>
        <v>28443.410000000003</v>
      </c>
      <c r="AH59" s="41">
        <f>AH50+AH51+AH52+AH53+AH54+AH55+AH56+AH57+AH58</f>
        <v>36529.630000000005</v>
      </c>
      <c r="AI59" s="41">
        <f>AI50+AI51+AI52+AI53+AI54+AI55+AI56+AI57+AI58</f>
        <v>23192.06</v>
      </c>
      <c r="AJ59" s="41">
        <f>AJ50+AJ51+AJ52+AJ53+AJ54+AJ55+AJ56+AJ57+AJ58</f>
        <v>27586.62</v>
      </c>
      <c r="AK59" s="41">
        <f>AK50+AK51+AK52+AK53+AK54+AK55+AK56+AK57+AK58</f>
        <v>24719.06</v>
      </c>
      <c r="AL59" s="41">
        <f>AL50+AL51+AL52+AL53+AL54+AL55+AL56+AL57+AL58</f>
        <v>35953.32</v>
      </c>
      <c r="AM59" s="41">
        <f>AM50+AM51+AM52+AM53+AM54+AM55+AM56+AM57+AM58</f>
        <v>24738.84</v>
      </c>
      <c r="AN59" s="41">
        <f>AN50+AN51+AN52+AN53+AN54+AN55+AN56+AN57+AN58</f>
        <v>24169.019999999997</v>
      </c>
      <c r="AO59" s="41">
        <f>AO50+AO51+AO52+AO53+AO54+AO55+AO56+AO57+AO58</f>
        <v>24613.34</v>
      </c>
      <c r="AP59" s="41">
        <f>AP50+AP51+AP52+AP53+AP54+AP55+AP56+AP57+AP58</f>
        <v>24374.58</v>
      </c>
      <c r="AQ59" s="41">
        <f>AQ50+AQ51+AQ52+AQ53+AQ54+AQ55+AQ56+AQ57+AQ58</f>
        <v>13230.160000000002</v>
      </c>
      <c r="AR59" s="41">
        <f>AR50+AR51+AR52+AR53+AR54+AR55+AR56+AR57+AR58</f>
        <v>20154.2</v>
      </c>
      <c r="AS59" s="41">
        <f>AS50+AS51+AS52+AS53+AS54+AS55+AS56+AS57+AS58</f>
        <v>63878.22000000001</v>
      </c>
      <c r="AT59" s="41">
        <f>AT50+AT51+AT52+AT53+AT54+AT55+AT56+AT57+AT58</f>
        <v>15722.810000000001</v>
      </c>
      <c r="AU59" s="41">
        <f>AU50+AU51+AU52+AU53+AU54+AU55+AU56+AU57+AU58</f>
        <v>27980.52</v>
      </c>
      <c r="AV59" s="41">
        <f>AV50+AV51+AV52+AV53+AV54+AV55+AV56+AV57+AV58</f>
        <v>29457.75</v>
      </c>
      <c r="AW59" s="41">
        <f>AW50+AW51+AW52+AW53+AW54+AW55+AW56+AW57+AW58</f>
        <v>29437.85</v>
      </c>
      <c r="AX59" s="41">
        <f>AX50+AX51+AX52+AX53+AX54+AX55+AX56+AX57+AX58</f>
        <v>29456.949999999997</v>
      </c>
      <c r="AY59" s="41">
        <f>AY50+AY51+AY52+AY53+AY54+AY55+AY56+AY57+AY58</f>
        <v>27924.929999999997</v>
      </c>
      <c r="AZ59" s="41">
        <f>AZ50+AZ51+AZ52+AZ53+AZ54+AZ55+AZ56+AZ57+AZ58</f>
        <v>30743.91</v>
      </c>
      <c r="BA59" s="41">
        <f>BA50+BA51+BA52+BA53+BA54+BA55+BA56+BA57+BA58</f>
        <v>30045.579999999998</v>
      </c>
      <c r="BB59" s="42">
        <f>B59+C59+D59+E59+F59+G59+H59+I59+J59+K59+L59+M59+N59+O59+P59+Q59+R59+S59+T59+U59+V59+W59+X59+Y59+Z59+AA59+AB59+AC59+AD59+AE59+AF59+AG59+AH59+AI59+AJ59+AK59+AL59+AM59+AN59+AO59+AP59+AQ59+AR59+AS59+AT59+AU59+AV59+AW59+AX59+AY59+AZ59+BA59</f>
        <v>1059268.59</v>
      </c>
    </row>
    <row r="60" spans="1:54" ht="16" outlineLevel="1">
      <c r="A60" s="32" t="s">
        <v>57</v>
      </c>
      <c r="B60" s="39"/>
      <c r="C60" s="40">
        <v>20.46</v>
      </c>
      <c r="D60" s="39"/>
      <c r="E60" s="39"/>
      <c r="F60" s="40">
        <v>530.0</v>
      </c>
      <c r="G60" s="40">
        <v>1633.59</v>
      </c>
      <c r="H60" s="40">
        <v>231.98</v>
      </c>
      <c r="I60" s="40">
        <v>2114.82</v>
      </c>
      <c r="J60" s="40">
        <v>2187.5</v>
      </c>
      <c r="K60" s="39"/>
      <c r="L60" s="39"/>
      <c r="M60" s="40">
        <v>1597.5</v>
      </c>
      <c r="N60" s="39"/>
      <c r="O60" s="39"/>
      <c r="P60" s="40">
        <v>2426.25</v>
      </c>
      <c r="Q60" s="40">
        <v>190.2</v>
      </c>
      <c r="R60" s="40">
        <v>600.0</v>
      </c>
      <c r="S60" s="40">
        <v>2105.0</v>
      </c>
      <c r="T60" s="39"/>
      <c r="U60" s="40">
        <v>2785.0</v>
      </c>
      <c r="V60" s="40">
        <v>163.09</v>
      </c>
      <c r="W60" s="40">
        <v>4062.5</v>
      </c>
      <c r="X60" s="40">
        <v>1604.0</v>
      </c>
      <c r="Y60" s="40">
        <v>2997.5</v>
      </c>
      <c r="Z60" s="40">
        <v>950.0</v>
      </c>
      <c r="AA60" s="40">
        <v>1197.5</v>
      </c>
      <c r="AB60" s="40">
        <v>10960.0</v>
      </c>
      <c r="AC60" s="40">
        <v>1560.0</v>
      </c>
      <c r="AD60" s="40">
        <v>3510.0</v>
      </c>
      <c r="AE60" s="39"/>
      <c r="AF60" s="39"/>
      <c r="AG60" s="39"/>
      <c r="AH60" s="39"/>
      <c r="AI60" s="39"/>
      <c r="AJ60" s="39"/>
      <c r="AK60" s="39"/>
      <c r="AL60" s="39"/>
      <c r="AM60" s="39"/>
      <c r="AN60" s="39"/>
      <c r="AO60" s="39"/>
      <c r="AP60" s="39"/>
      <c r="AQ60" s="39"/>
      <c r="AR60" s="39"/>
      <c r="AS60" s="39"/>
      <c r="AT60" s="39"/>
      <c r="AU60" s="39"/>
      <c r="AV60" s="39"/>
      <c r="AW60" s="39"/>
      <c r="AX60" s="39"/>
      <c r="AY60" s="39"/>
      <c r="AZ60" s="39"/>
      <c r="BA60" s="39"/>
      <c r="BB60" s="40">
        <f>B60+C60+D60+E60+F60+G60+H60+I60+J60+K60+L60+M60+N60+O60+P60+Q60+R60+S60+T60+U60+V60+W60+X60+Y60+Z60+AA60+AB60+AC60+AD60+AE60+AF60+AG60+AH60+AI60+AJ60+AK60+AL60+AM60+AN60+AO60+AP60+AQ60+AR60+AS60+AT60+AU60+AV60+AW60+AX60+AY60+AZ60+BA60</f>
        <v>43426.89</v>
      </c>
    </row>
    <row r="61" spans="1:54" ht="16" outlineLevel="2">
      <c r="A61" s="34" t="s">
        <v>58</v>
      </c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  <c r="AB61" s="39"/>
      <c r="AC61" s="39"/>
      <c r="AD61" s="39"/>
      <c r="AE61" s="40">
        <v>950.0</v>
      </c>
      <c r="AF61" s="40">
        <v>950.0</v>
      </c>
      <c r="AG61" s="40">
        <v>950.0</v>
      </c>
      <c r="AH61" s="40">
        <v>950.0</v>
      </c>
      <c r="AI61" s="40">
        <v>950.0</v>
      </c>
      <c r="AJ61" s="40">
        <v>950.0</v>
      </c>
      <c r="AK61" s="40">
        <v>950.0</v>
      </c>
      <c r="AL61" s="40">
        <v>950.0</v>
      </c>
      <c r="AM61" s="40">
        <v>950.0</v>
      </c>
      <c r="AN61" s="40">
        <v>950.0</v>
      </c>
      <c r="AO61" s="40">
        <v>950.0</v>
      </c>
      <c r="AP61" s="40">
        <v>950.0</v>
      </c>
      <c r="AQ61" s="40">
        <v>1100.0</v>
      </c>
      <c r="AR61" s="40">
        <v>1100.0</v>
      </c>
      <c r="AS61" s="40">
        <v>1100.0</v>
      </c>
      <c r="AT61" s="40">
        <v>1100.0</v>
      </c>
      <c r="AU61" s="40">
        <v>1100.0</v>
      </c>
      <c r="AV61" s="40">
        <v>1100.0</v>
      </c>
      <c r="AW61" s="40">
        <v>1100.0</v>
      </c>
      <c r="AX61" s="40">
        <v>1100.0</v>
      </c>
      <c r="AY61" s="40">
        <v>1100.0</v>
      </c>
      <c r="AZ61" s="40">
        <v>1100.0</v>
      </c>
      <c r="BA61" s="40">
        <v>1100.0</v>
      </c>
      <c r="BB61" s="40">
        <f>B61+C61+D61+E61+F61+G61+H61+I61+J61+K61+L61+M61+N61+O61+P61+Q61+R61+S61+T61+U61+V61+W61+X61+Y61+Z61+AA61+AB61+AC61+AD61+AE61+AF61+AG61+AH61+AI61+AJ61+AK61+AL61+AM61+AN61+AO61+AP61+AQ61+AR61+AS61+AT61+AU61+AV61+AW61+AX61+AY61+AZ61+BA61</f>
        <v>23500.0</v>
      </c>
    </row>
    <row r="62" spans="1:54" ht="16" outlineLevel="2">
      <c r="A62" s="34" t="s">
        <v>59</v>
      </c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  <c r="AB62" s="39"/>
      <c r="AC62" s="39"/>
      <c r="AD62" s="39"/>
      <c r="AE62" s="40">
        <v>270.0</v>
      </c>
      <c r="AF62" s="40">
        <v>99.0</v>
      </c>
      <c r="AG62" s="39"/>
      <c r="AH62" s="40">
        <v>180.0</v>
      </c>
      <c r="AI62" s="39"/>
      <c r="AJ62" s="40">
        <v>660.0</v>
      </c>
      <c r="AK62" s="40">
        <v>180.0</v>
      </c>
      <c r="AL62" s="40">
        <v>270.0</v>
      </c>
      <c r="AM62" s="40">
        <v>5420.0</v>
      </c>
      <c r="AN62" s="40">
        <v>5672.13</v>
      </c>
      <c r="AO62" s="40">
        <v>2490.0</v>
      </c>
      <c r="AP62" s="40">
        <v>15000.0</v>
      </c>
      <c r="AQ62" s="39"/>
      <c r="AR62" s="40">
        <v>15000.0</v>
      </c>
      <c r="AS62" s="39"/>
      <c r="AT62" s="39"/>
      <c r="AU62" s="39"/>
      <c r="AV62" s="39"/>
      <c r="AW62" s="39"/>
      <c r="AX62" s="39"/>
      <c r="AY62" s="39"/>
      <c r="AZ62" s="39"/>
      <c r="BA62" s="39"/>
      <c r="BB62" s="40">
        <f>B62+C62+D62+E62+F62+G62+H62+I62+J62+K62+L62+M62+N62+O62+P62+Q62+R62+S62+T62+U62+V62+W62+X62+Y62+Z62+AA62+AB62+AC62+AD62+AE62+AF62+AG62+AH62+AI62+AJ62+AK62+AL62+AM62+AN62+AO62+AP62+AQ62+AR62+AS62+AT62+AU62+AV62+AW62+AX62+AY62+AZ62+BA62</f>
        <v>45241.130000000005</v>
      </c>
    </row>
    <row r="63" spans="1:54" ht="16" outlineLevel="2">
      <c r="A63" s="34" t="s">
        <v>60</v>
      </c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  <c r="AA63" s="39"/>
      <c r="AB63" s="39"/>
      <c r="AC63" s="39"/>
      <c r="AD63" s="39"/>
      <c r="AE63" s="40">
        <v>1560.0</v>
      </c>
      <c r="AF63" s="40">
        <v>1560.0</v>
      </c>
      <c r="AG63" s="40">
        <v>1560.0</v>
      </c>
      <c r="AH63" s="40">
        <v>1560.0</v>
      </c>
      <c r="AI63" s="40">
        <v>1558.93</v>
      </c>
      <c r="AJ63" s="39"/>
      <c r="AK63" s="39"/>
      <c r="AL63" s="39"/>
      <c r="AM63" s="40">
        <v>6000.0</v>
      </c>
      <c r="AN63" s="40">
        <v>6000.0</v>
      </c>
      <c r="AO63" s="40">
        <v>6000.0</v>
      </c>
      <c r="AP63" s="40">
        <v>6000.0</v>
      </c>
      <c r="AQ63" s="40">
        <v>1600.0</v>
      </c>
      <c r="AR63" s="40">
        <v>1900.0</v>
      </c>
      <c r="AS63" s="39"/>
      <c r="AT63" s="40">
        <v>3200.0</v>
      </c>
      <c r="AU63" s="40">
        <v>1600.0</v>
      </c>
      <c r="AV63" s="40">
        <v>1600.0</v>
      </c>
      <c r="AW63" s="40">
        <v>1600.0</v>
      </c>
      <c r="AX63" s="40">
        <v>1600.0</v>
      </c>
      <c r="AY63" s="40">
        <v>1600.0</v>
      </c>
      <c r="AZ63" s="40">
        <v>4420.0</v>
      </c>
      <c r="BA63" s="40">
        <v>1600.0</v>
      </c>
      <c r="BB63" s="40">
        <f>B63+C63+D63+E63+F63+G63+H63+I63+J63+K63+L63+M63+N63+O63+P63+Q63+R63+S63+T63+U63+V63+W63+X63+Y63+Z63+AA63+AB63+AC63+AD63+AE63+AF63+AG63+AH63+AI63+AJ63+AK63+AL63+AM63+AN63+AO63+AP63+AQ63+AR63+AS63+AT63+AU63+AV63+AW63+AX63+AY63+AZ63+BA63</f>
        <v>52518.93</v>
      </c>
    </row>
    <row r="64" spans="1:54" ht="16" outlineLevel="2">
      <c r="A64" s="34" t="s">
        <v>61</v>
      </c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  <c r="AB64" s="39"/>
      <c r="AC64" s="39"/>
      <c r="AD64" s="39"/>
      <c r="AE64" s="39"/>
      <c r="AF64" s="39"/>
      <c r="AG64" s="39"/>
      <c r="AH64" s="39"/>
      <c r="AI64" s="39"/>
      <c r="AJ64" s="39"/>
      <c r="AK64" s="39"/>
      <c r="AL64" s="39"/>
      <c r="AM64" s="39"/>
      <c r="AN64" s="40">
        <v>242.07</v>
      </c>
      <c r="AO64" s="40">
        <v>565.53</v>
      </c>
      <c r="AP64" s="40">
        <v>167.41</v>
      </c>
      <c r="AQ64" s="40">
        <v>231.08</v>
      </c>
      <c r="AR64" s="39"/>
      <c r="AS64" s="39"/>
      <c r="AT64" s="40">
        <v>173.3</v>
      </c>
      <c r="AU64" s="39"/>
      <c r="AV64" s="39"/>
      <c r="AW64" s="39"/>
      <c r="AX64" s="39"/>
      <c r="AY64" s="39"/>
      <c r="AZ64" s="39"/>
      <c r="BA64" s="39"/>
      <c r="BB64" s="40">
        <f>B64+C64+D64+E64+F64+G64+H64+I64+J64+K64+L64+M64+N64+O64+P64+Q64+R64+S64+T64+U64+V64+W64+X64+Y64+Z64+AA64+AB64+AC64+AD64+AE64+AF64+AG64+AH64+AI64+AJ64+AK64+AL64+AM64+AN64+AO64+AP64+AQ64+AR64+AS64+AT64+AU64+AV64+AW64+AX64+AY64+AZ64+BA64</f>
        <v>1379.3899999999999</v>
      </c>
    </row>
    <row r="65" spans="1:54" ht="16" outlineLevel="1">
      <c r="A65" s="35" t="s">
        <v>62</v>
      </c>
      <c r="B65" s="41"/>
      <c r="C65" s="41">
        <f>C60+C61+C62+C63+C64</f>
        <v>20.46</v>
      </c>
      <c r="D65" s="41"/>
      <c r="E65" s="41"/>
      <c r="F65" s="41">
        <f>F60+F61+F62+F63+F64</f>
        <v>530.0</v>
      </c>
      <c r="G65" s="41">
        <f>G60+G61+G62+G63+G64</f>
        <v>1633.59</v>
      </c>
      <c r="H65" s="41">
        <f>H60+H61+H62+H63+H64</f>
        <v>231.98</v>
      </c>
      <c r="I65" s="41">
        <f>I60+I61+I62+I63+I64</f>
        <v>2114.82</v>
      </c>
      <c r="J65" s="41">
        <f>J60+J61+J62+J63+J64</f>
        <v>2187.5</v>
      </c>
      <c r="K65" s="41"/>
      <c r="L65" s="41"/>
      <c r="M65" s="41">
        <f>M60+M61+M62+M63+M64</f>
        <v>1597.5</v>
      </c>
      <c r="N65" s="41"/>
      <c r="O65" s="41"/>
      <c r="P65" s="41">
        <f>P60+P61+P62+P63+P64</f>
        <v>2426.25</v>
      </c>
      <c r="Q65" s="41">
        <f>Q60+Q61+Q62+Q63+Q64</f>
        <v>190.2</v>
      </c>
      <c r="R65" s="41">
        <f>R60+R61+R62+R63+R64</f>
        <v>600.0</v>
      </c>
      <c r="S65" s="41">
        <f>S60+S61+S62+S63+S64</f>
        <v>2105.0</v>
      </c>
      <c r="T65" s="41"/>
      <c r="U65" s="41">
        <f>U60+U61+U62+U63+U64</f>
        <v>2785.0</v>
      </c>
      <c r="V65" s="41">
        <f>V60+V61+V62+V63+V64</f>
        <v>163.09</v>
      </c>
      <c r="W65" s="41">
        <f>W60+W61+W62+W63+W64</f>
        <v>4062.5</v>
      </c>
      <c r="X65" s="41">
        <f>X60+X61+X62+X63+X64</f>
        <v>1604.0</v>
      </c>
      <c r="Y65" s="41">
        <f>Y60+Y61+Y62+Y63+Y64</f>
        <v>2997.5</v>
      </c>
      <c r="Z65" s="41">
        <f>Z60+Z61+Z62+Z63+Z64</f>
        <v>950.0</v>
      </c>
      <c r="AA65" s="41">
        <f>AA60+AA61+AA62+AA63+AA64</f>
        <v>1197.5</v>
      </c>
      <c r="AB65" s="41">
        <f>AB60+AB61+AB62+AB63+AB64</f>
        <v>10960.0</v>
      </c>
      <c r="AC65" s="41">
        <f>AC60+AC61+AC62+AC63+AC64</f>
        <v>1560.0</v>
      </c>
      <c r="AD65" s="41">
        <f>AD60+AD61+AD62+AD63+AD64</f>
        <v>3510.0</v>
      </c>
      <c r="AE65" s="41">
        <f>AE60+AE61+AE62+AE63+AE64</f>
        <v>2780.0</v>
      </c>
      <c r="AF65" s="41">
        <f>AF60+AF61+AF62+AF63+AF64</f>
        <v>2609.0</v>
      </c>
      <c r="AG65" s="41">
        <f>AG60+AG61+AG62+AG63+AG64</f>
        <v>2510.0</v>
      </c>
      <c r="AH65" s="41">
        <f>AH60+AH61+AH62+AH63+AH64</f>
        <v>2690.0</v>
      </c>
      <c r="AI65" s="41">
        <f>AI60+AI61+AI62+AI63+AI64</f>
        <v>2508.9300000000003</v>
      </c>
      <c r="AJ65" s="41">
        <f>AJ60+AJ61+AJ62+AJ63+AJ64</f>
        <v>1610.0</v>
      </c>
      <c r="AK65" s="41">
        <f>AK60+AK61+AK62+AK63+AK64</f>
        <v>1130.0</v>
      </c>
      <c r="AL65" s="41">
        <f>AL60+AL61+AL62+AL63+AL64</f>
        <v>1220.0</v>
      </c>
      <c r="AM65" s="41">
        <f>AM60+AM61+AM62+AM63+AM64</f>
        <v>12370.0</v>
      </c>
      <c r="AN65" s="41">
        <f>AN60+AN61+AN62+AN63+AN64</f>
        <v>12864.2</v>
      </c>
      <c r="AO65" s="41">
        <f>AO60+AO61+AO62+AO63+AO64</f>
        <v>10005.53</v>
      </c>
      <c r="AP65" s="41">
        <f>AP60+AP61+AP62+AP63+AP64</f>
        <v>22117.41</v>
      </c>
      <c r="AQ65" s="41">
        <f>AQ60+AQ61+AQ62+AQ63+AQ64</f>
        <v>2931.08</v>
      </c>
      <c r="AR65" s="41">
        <f>AR60+AR61+AR62+AR63+AR64</f>
        <v>18000.0</v>
      </c>
      <c r="AS65" s="41">
        <f>AS60+AS61+AS62+AS63+AS64</f>
        <v>1100.0</v>
      </c>
      <c r="AT65" s="41">
        <f>AT60+AT61+AT62+AT63+AT64</f>
        <v>4473.3</v>
      </c>
      <c r="AU65" s="41">
        <f>AU60+AU61+AU62+AU63+AU64</f>
        <v>2700.0</v>
      </c>
      <c r="AV65" s="41">
        <f>AV60+AV61+AV62+AV63+AV64</f>
        <v>2700.0</v>
      </c>
      <c r="AW65" s="41">
        <f>AW60+AW61+AW62+AW63+AW64</f>
        <v>2700.0</v>
      </c>
      <c r="AX65" s="41">
        <f>AX60+AX61+AX62+AX63+AX64</f>
        <v>2700.0</v>
      </c>
      <c r="AY65" s="41">
        <f>AY60+AY61+AY62+AY63+AY64</f>
        <v>2700.0</v>
      </c>
      <c r="AZ65" s="41">
        <f>AZ60+AZ61+AZ62+AZ63+AZ64</f>
        <v>5520.0</v>
      </c>
      <c r="BA65" s="41">
        <f>BA60+BA61+BA62+BA63+BA64</f>
        <v>2700.0</v>
      </c>
      <c r="BB65" s="42">
        <f>B65+C65+D65+E65+F65+G65+H65+I65+J65+K65+L65+M65+N65+O65+P65+Q65+R65+S65+T65+U65+V65+W65+X65+Y65+Z65+AA65+AB65+AC65+AD65+AE65+AF65+AG65+AH65+AI65+AJ65+AK65+AL65+AM65+AN65+AO65+AP65+AQ65+AR65+AS65+AT65+AU65+AV65+AW65+AX65+AY65+AZ65+BA65</f>
        <v>166066.34</v>
      </c>
    </row>
    <row r="66" spans="1:54" ht="16" outlineLevel="1">
      <c r="A66" s="32" t="s">
        <v>63</v>
      </c>
      <c r="B66" s="40">
        <v>263.71</v>
      </c>
      <c r="C66" s="40">
        <v>116.68</v>
      </c>
      <c r="D66" s="40">
        <v>149.17</v>
      </c>
      <c r="E66" s="40">
        <v>90.97</v>
      </c>
      <c r="F66" s="40">
        <v>2597.18</v>
      </c>
      <c r="G66" s="40">
        <v>509.34</v>
      </c>
      <c r="H66" s="40">
        <v>500.73</v>
      </c>
      <c r="I66" s="40">
        <v>454.65</v>
      </c>
      <c r="J66" s="40">
        <v>503.82</v>
      </c>
      <c r="K66" s="40">
        <v>578.96</v>
      </c>
      <c r="L66" s="40">
        <v>1287.14</v>
      </c>
      <c r="M66" s="40">
        <v>953.19</v>
      </c>
      <c r="N66" s="40">
        <v>1051.14</v>
      </c>
      <c r="O66" s="40">
        <v>447.93</v>
      </c>
      <c r="P66" s="40">
        <v>475.69</v>
      </c>
      <c r="Q66" s="40">
        <v>458.07</v>
      </c>
      <c r="R66" s="40">
        <v>852.36</v>
      </c>
      <c r="S66" s="40">
        <v>627.67</v>
      </c>
      <c r="T66" s="40">
        <v>1142.81</v>
      </c>
      <c r="U66" s="40">
        <v>311.82</v>
      </c>
      <c r="V66" s="40">
        <v>2823.26</v>
      </c>
      <c r="W66" s="40">
        <v>1494.37</v>
      </c>
      <c r="X66" s="40">
        <v>531.83</v>
      </c>
      <c r="Y66" s="40">
        <v>458.74</v>
      </c>
      <c r="Z66" s="40">
        <v>787.8</v>
      </c>
      <c r="AA66" s="40">
        <v>1303.96</v>
      </c>
      <c r="AB66" s="40">
        <v>2892.91</v>
      </c>
      <c r="AC66" s="40">
        <v>1575.14</v>
      </c>
      <c r="AD66" s="40">
        <v>1677.51</v>
      </c>
      <c r="AE66" s="40">
        <v>783.88</v>
      </c>
      <c r="AF66" s="40">
        <v>130.94</v>
      </c>
      <c r="AG66" s="40">
        <v>268.23</v>
      </c>
      <c r="AH66" s="40">
        <v>124.19</v>
      </c>
      <c r="AI66" s="40">
        <v>325.76</v>
      </c>
      <c r="AJ66" s="40">
        <v>456.34</v>
      </c>
      <c r="AK66" s="40">
        <v>831.66</v>
      </c>
      <c r="AL66" s="40">
        <v>1607.54</v>
      </c>
      <c r="AM66" s="40">
        <v>849.83</v>
      </c>
      <c r="AN66" s="40">
        <v>325.48</v>
      </c>
      <c r="AO66" s="40">
        <v>2414.95</v>
      </c>
      <c r="AP66" s="40">
        <v>189.71</v>
      </c>
      <c r="AQ66" s="40">
        <v>495.85</v>
      </c>
      <c r="AR66" s="40">
        <v>385.22</v>
      </c>
      <c r="AS66" s="40">
        <v>550.15</v>
      </c>
      <c r="AT66" s="40">
        <v>271.14</v>
      </c>
      <c r="AU66" s="40">
        <v>166.79</v>
      </c>
      <c r="AV66" s="40">
        <v>607.34</v>
      </c>
      <c r="AW66" s="40">
        <v>257.87</v>
      </c>
      <c r="AX66" s="40">
        <v>36.19</v>
      </c>
      <c r="AY66" s="40">
        <v>100.34</v>
      </c>
      <c r="AZ66" s="40">
        <v>449.93</v>
      </c>
      <c r="BA66" s="40">
        <v>222.88</v>
      </c>
      <c r="BB66" s="40">
        <f>B66+C66+D66+E66+F66+G66+H66+I66+J66+K66+L66+M66+N66+O66+P66+Q66+R66+S66+T66+U66+V66+W66+X66+Y66+Z66+AA66+AB66+AC66+AD66+AE66+AF66+AG66+AH66+AI66+AJ66+AK66+AL66+AM66+AN66+AO66+AP66+AQ66+AR66+AS66+AT66+AU66+AV66+AW66+AX66+AY66+AZ66+BA66</f>
        <v>38770.759999999995</v>
      </c>
    </row>
    <row r="67" spans="1:54" ht="16" outlineLevel="1">
      <c r="A67" s="32" t="s">
        <v>64</v>
      </c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40">
        <v>465.8</v>
      </c>
      <c r="AB67" s="40">
        <v>1800.0</v>
      </c>
      <c r="AC67" s="40">
        <v>1882.92</v>
      </c>
      <c r="AD67" s="40">
        <v>1758.28</v>
      </c>
      <c r="AE67" s="39"/>
      <c r="AF67" s="39"/>
      <c r="AG67" s="39"/>
      <c r="AH67" s="39"/>
      <c r="AI67" s="39"/>
      <c r="AJ67" s="39"/>
      <c r="AK67" s="39"/>
      <c r="AL67" s="39"/>
      <c r="AM67" s="39"/>
      <c r="AN67" s="39"/>
      <c r="AO67" s="39"/>
      <c r="AP67" s="39"/>
      <c r="AQ67" s="39"/>
      <c r="AR67" s="39"/>
      <c r="AS67" s="39"/>
      <c r="AT67" s="39"/>
      <c r="AU67" s="39"/>
      <c r="AV67" s="39"/>
      <c r="AW67" s="39"/>
      <c r="AX67" s="39"/>
      <c r="AY67" s="39"/>
      <c r="AZ67" s="39"/>
      <c r="BA67" s="39"/>
      <c r="BB67" s="40">
        <f>B67+C67+D67+E67+F67+G67+H67+I67+J67+K67+L67+M67+N67+O67+P67+Q67+R67+S67+T67+U67+V67+W67+X67+Y67+Z67+AA67+AB67+AC67+AD67+AE67+AF67+AG67+AH67+AI67+AJ67+AK67+AL67+AM67+AN67+AO67+AP67+AQ67+AR67+AS67+AT67+AU67+AV67+AW67+AX67+AY67+AZ67+BA67</f>
        <v>5907.0</v>
      </c>
    </row>
    <row r="68" spans="1:54" ht="16" outlineLevel="1">
      <c r="A68" s="32" t="s">
        <v>65</v>
      </c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  <c r="AA68" s="39"/>
      <c r="AB68" s="39"/>
      <c r="AC68" s="39"/>
      <c r="AD68" s="39"/>
      <c r="AE68" s="39"/>
      <c r="AF68" s="39"/>
      <c r="AG68" s="39"/>
      <c r="AH68" s="39"/>
      <c r="AI68" s="39"/>
      <c r="AJ68" s="39"/>
      <c r="AK68" s="39"/>
      <c r="AL68" s="39"/>
      <c r="AM68" s="39"/>
      <c r="AN68" s="39"/>
      <c r="AO68" s="39"/>
      <c r="AP68" s="40">
        <v>1973.16</v>
      </c>
      <c r="AQ68" s="39"/>
      <c r="AR68" s="39"/>
      <c r="AS68" s="39"/>
      <c r="AT68" s="39"/>
      <c r="AU68" s="39"/>
      <c r="AV68" s="39"/>
      <c r="AW68" s="39"/>
      <c r="AX68" s="39"/>
      <c r="AY68" s="40">
        <v>348.7</v>
      </c>
      <c r="AZ68" s="39"/>
      <c r="BA68" s="39"/>
      <c r="BB68" s="40">
        <f>B68+C68+D68+E68+F68+G68+H68+I68+J68+K68+L68+M68+N68+O68+P68+Q68+R68+S68+T68+U68+V68+W68+X68+Y68+Z68+AA68+AB68+AC68+AD68+AE68+AF68+AG68+AH68+AI68+AJ68+AK68+AL68+AM68+AN68+AO68+AP68+AQ68+AR68+AS68+AT68+AU68+AV68+AW68+AX68+AY68+AZ68+BA68</f>
        <v>2321.86</v>
      </c>
    </row>
    <row r="69" spans="1:54" ht="16" outlineLevel="1">
      <c r="A69" s="32" t="s">
        <v>66</v>
      </c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  <c r="AA69" s="39"/>
      <c r="AB69" s="39"/>
      <c r="AC69" s="39"/>
      <c r="AD69" s="39"/>
      <c r="AE69" s="39"/>
      <c r="AF69" s="39"/>
      <c r="AG69" s="39"/>
      <c r="AH69" s="39"/>
      <c r="AI69" s="39"/>
      <c r="AJ69" s="39"/>
      <c r="AK69" s="39"/>
      <c r="AL69" s="39"/>
      <c r="AM69" s="39"/>
      <c r="AN69" s="39"/>
      <c r="AO69" s="40">
        <v>22.4</v>
      </c>
      <c r="AP69" s="40">
        <v>334.73</v>
      </c>
      <c r="AQ69" s="39"/>
      <c r="AR69" s="39"/>
      <c r="AS69" s="39"/>
      <c r="AT69" s="39"/>
      <c r="AU69" s="39"/>
      <c r="AV69" s="40">
        <v>266.19</v>
      </c>
      <c r="AW69" s="40">
        <v>158.16</v>
      </c>
      <c r="AX69" s="40">
        <v>899.8</v>
      </c>
      <c r="AY69" s="39"/>
      <c r="AZ69" s="39"/>
      <c r="BA69" s="39"/>
      <c r="BB69" s="40">
        <f>B69+C69+D69+E69+F69+G69+H69+I69+J69+K69+L69+M69+N69+O69+P69+Q69+R69+S69+T69+U69+V69+W69+X69+Y69+Z69+AA69+AB69+AC69+AD69+AE69+AF69+AG69+AH69+AI69+AJ69+AK69+AL69+AM69+AN69+AO69+AP69+AQ69+AR69+AS69+AT69+AU69+AV69+AW69+AX69+AY69+AZ69+BA69</f>
        <v>1681.2799999999997</v>
      </c>
    </row>
    <row r="70" spans="1:54" ht="16" outlineLevel="1">
      <c r="A70" s="32" t="s">
        <v>67</v>
      </c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  <c r="AA70" s="39"/>
      <c r="AB70" s="39"/>
      <c r="AC70" s="40">
        <v>670.28</v>
      </c>
      <c r="AD70" s="39"/>
      <c r="AE70" s="40">
        <v>207.43</v>
      </c>
      <c r="AF70" s="40">
        <v>288.15</v>
      </c>
      <c r="AG70" s="39"/>
      <c r="AH70" s="40">
        <v>329.25</v>
      </c>
      <c r="AI70" s="40">
        <v>805.21</v>
      </c>
      <c r="AJ70" s="40">
        <v>92.68</v>
      </c>
      <c r="AK70" s="40">
        <v>324.51</v>
      </c>
      <c r="AL70" s="40">
        <v>622.35</v>
      </c>
      <c r="AM70" s="40">
        <v>409.21</v>
      </c>
      <c r="AN70" s="40">
        <v>797.91</v>
      </c>
      <c r="AO70" s="40">
        <v>3480.29</v>
      </c>
      <c r="AP70" s="40">
        <v>3013.98</v>
      </c>
      <c r="AQ70" s="39"/>
      <c r="AR70" s="39"/>
      <c r="AS70" s="39"/>
      <c r="AT70" s="39"/>
      <c r="AU70" s="39"/>
      <c r="AV70" s="39"/>
      <c r="AW70" s="39"/>
      <c r="AX70" s="39"/>
      <c r="AY70" s="39"/>
      <c r="AZ70" s="39"/>
      <c r="BA70" s="40">
        <v>1025.06</v>
      </c>
      <c r="BB70" s="40">
        <f>B70+C70+D70+E70+F70+G70+H70+I70+J70+K70+L70+M70+N70+O70+P70+Q70+R70+S70+T70+U70+V70+W70+X70+Y70+Z70+AA70+AB70+AC70+AD70+AE70+AF70+AG70+AH70+AI70+AJ70+AK70+AL70+AM70+AN70+AO70+AP70+AQ70+AR70+AS70+AT70+AU70+AV70+AW70+AX70+AY70+AZ70+BA70</f>
        <v>12066.31</v>
      </c>
    </row>
    <row r="71" spans="1:54" ht="16" outlineLevel="1">
      <c r="A71" s="32" t="s">
        <v>68</v>
      </c>
      <c r="B71" s="40">
        <v>101.88</v>
      </c>
      <c r="C71" s="40">
        <v>189.44</v>
      </c>
      <c r="D71" s="40">
        <v>60.14</v>
      </c>
      <c r="E71" s="40">
        <v>48.74</v>
      </c>
      <c r="F71" s="40">
        <v>6263.22</v>
      </c>
      <c r="G71" s="40">
        <v>269.46</v>
      </c>
      <c r="H71" s="40">
        <v>207.82</v>
      </c>
      <c r="I71" s="40">
        <v>245.43</v>
      </c>
      <c r="J71" s="40">
        <v>141.17</v>
      </c>
      <c r="K71" s="40">
        <v>305.02</v>
      </c>
      <c r="L71" s="40">
        <v>638.88</v>
      </c>
      <c r="M71" s="40">
        <v>320.97</v>
      </c>
      <c r="N71" s="40">
        <v>291.69</v>
      </c>
      <c r="O71" s="40">
        <v>630.97</v>
      </c>
      <c r="P71" s="40">
        <v>552.61</v>
      </c>
      <c r="Q71" s="40">
        <v>732.6</v>
      </c>
      <c r="R71" s="40">
        <v>1269.4</v>
      </c>
      <c r="S71" s="40">
        <v>693.24</v>
      </c>
      <c r="T71" s="40">
        <v>628.53</v>
      </c>
      <c r="U71" s="40">
        <v>1721.85</v>
      </c>
      <c r="V71" s="40">
        <v>749.53</v>
      </c>
      <c r="W71" s="40">
        <v>1060.59</v>
      </c>
      <c r="X71" s="40">
        <v>1019.47</v>
      </c>
      <c r="Y71" s="40">
        <v>465.72</v>
      </c>
      <c r="Z71" s="40">
        <v>935.66</v>
      </c>
      <c r="AA71" s="40">
        <v>2799.48</v>
      </c>
      <c r="AB71" s="40">
        <v>283.77</v>
      </c>
      <c r="AC71" s="40">
        <v>3808.47</v>
      </c>
      <c r="AD71" s="40">
        <v>1794.61</v>
      </c>
      <c r="AE71" s="40">
        <v>25.76</v>
      </c>
      <c r="AF71" s="39"/>
      <c r="AG71" s="40">
        <v>67.79</v>
      </c>
      <c r="AH71" s="40">
        <v>187.25</v>
      </c>
      <c r="AI71" s="40">
        <v>103.76</v>
      </c>
      <c r="AJ71" s="40">
        <v>145.07</v>
      </c>
      <c r="AK71" s="40">
        <v>101.78</v>
      </c>
      <c r="AL71" s="39"/>
      <c r="AM71" s="40">
        <v>77.58</v>
      </c>
      <c r="AN71" s="40">
        <v>380.82</v>
      </c>
      <c r="AO71" s="40">
        <v>75.74</v>
      </c>
      <c r="AP71" s="39"/>
      <c r="AQ71" s="40">
        <v>146.22</v>
      </c>
      <c r="AR71" s="40">
        <v>198.64</v>
      </c>
      <c r="AS71" s="39"/>
      <c r="AT71" s="39"/>
      <c r="AU71" s="40">
        <v>55.96</v>
      </c>
      <c r="AV71" s="40">
        <v>233.13</v>
      </c>
      <c r="AW71" s="40">
        <v>567.78</v>
      </c>
      <c r="AX71" s="39"/>
      <c r="AY71" s="40">
        <v>187.46</v>
      </c>
      <c r="AZ71" s="40">
        <v>27.16</v>
      </c>
      <c r="BA71" s="40">
        <v>187.46</v>
      </c>
      <c r="BB71" s="40">
        <f>B71+C71+D71+E71+F71+G71+H71+I71+J71+K71+L71+M71+N71+O71+P71+Q71+R71+S71+T71+U71+V71+W71+X71+Y71+Z71+AA71+AB71+AC71+AD71+AE71+AF71+AG71+AH71+AI71+AJ71+AK71+AL71+AM71+AN71+AO71+AP71+AQ71+AR71+AS71+AT71+AU71+AV71+AW71+AX71+AY71+AZ71+BA71</f>
        <v>30999.72</v>
      </c>
    </row>
    <row r="72" spans="1:54" ht="16" outlineLevel="1">
      <c r="A72" s="32" t="s">
        <v>69</v>
      </c>
      <c r="B72" s="39"/>
      <c r="C72" s="40">
        <v>48.62</v>
      </c>
      <c r="D72" s="40">
        <v>54.88</v>
      </c>
      <c r="E72" s="40">
        <v>54.88</v>
      </c>
      <c r="F72" s="39"/>
      <c r="G72" s="40">
        <v>126.21</v>
      </c>
      <c r="H72" s="40">
        <v>79.33</v>
      </c>
      <c r="I72" s="40">
        <v>91.43</v>
      </c>
      <c r="J72" s="40">
        <v>98.13</v>
      </c>
      <c r="K72" s="40">
        <v>98.13</v>
      </c>
      <c r="L72" s="40">
        <v>181.27</v>
      </c>
      <c r="M72" s="40">
        <v>334.2</v>
      </c>
      <c r="N72" s="40">
        <v>376.48</v>
      </c>
      <c r="O72" s="40">
        <v>424.25</v>
      </c>
      <c r="P72" s="40">
        <v>399.3</v>
      </c>
      <c r="Q72" s="40">
        <v>407.3</v>
      </c>
      <c r="R72" s="40">
        <v>414.0</v>
      </c>
      <c r="S72" s="40">
        <v>426.18</v>
      </c>
      <c r="T72" s="40">
        <v>426.18</v>
      </c>
      <c r="U72" s="40">
        <v>426.18</v>
      </c>
      <c r="V72" s="40">
        <v>426.18</v>
      </c>
      <c r="W72" s="40">
        <v>426.18</v>
      </c>
      <c r="X72" s="40">
        <v>426.18</v>
      </c>
      <c r="Y72" s="40">
        <v>357.82</v>
      </c>
      <c r="Z72" s="40">
        <v>429.16</v>
      </c>
      <c r="AA72" s="40">
        <v>576.25</v>
      </c>
      <c r="AB72" s="40">
        <v>157.3</v>
      </c>
      <c r="AC72" s="40">
        <v>289.75</v>
      </c>
      <c r="AD72" s="40">
        <v>206.15</v>
      </c>
      <c r="AE72" s="40">
        <v>650.83</v>
      </c>
      <c r="AF72" s="40">
        <v>603.29</v>
      </c>
      <c r="AG72" s="40">
        <v>612.73</v>
      </c>
      <c r="AH72" s="40">
        <v>550.96</v>
      </c>
      <c r="AI72" s="40">
        <v>698.6</v>
      </c>
      <c r="AJ72" s="40">
        <v>801.45</v>
      </c>
      <c r="AK72" s="40">
        <v>881.3</v>
      </c>
      <c r="AL72" s="40">
        <v>3792.61</v>
      </c>
      <c r="AM72" s="40">
        <v>505.2</v>
      </c>
      <c r="AN72" s="40">
        <v>-33.42</v>
      </c>
      <c r="AO72" s="40">
        <v>481.06</v>
      </c>
      <c r="AP72" s="40">
        <v>2772.09</v>
      </c>
      <c r="AQ72" s="40">
        <v>488.97</v>
      </c>
      <c r="AR72" s="40">
        <v>1893.77</v>
      </c>
      <c r="AS72" s="40">
        <v>2890.21</v>
      </c>
      <c r="AT72" s="40">
        <v>916.87</v>
      </c>
      <c r="AU72" s="40">
        <v>831.53</v>
      </c>
      <c r="AV72" s="40">
        <v>2770.16</v>
      </c>
      <c r="AW72" s="40">
        <v>645.87</v>
      </c>
      <c r="AX72" s="40">
        <v>2250.71</v>
      </c>
      <c r="AY72" s="40">
        <v>340.17</v>
      </c>
      <c r="AZ72" s="40">
        <v>742.36</v>
      </c>
      <c r="BA72" s="40">
        <v>335.83</v>
      </c>
      <c r="BB72" s="40">
        <f>B72+C72+D72+E72+F72+G72+H72+I72+J72+K72+L72+M72+N72+O72+P72+Q72+R72+S72+T72+U72+V72+W72+X72+Y72+Z72+AA72+AB72+AC72+AD72+AE72+AF72+AG72+AH72+AI72+AJ72+AK72+AL72+AM72+AN72+AO72+AP72+AQ72+AR72+AS72+AT72+AU72+AV72+AW72+AX72+AY72+AZ72+BA72</f>
        <v>34185.07</v>
      </c>
    </row>
    <row r="73" spans="1:54" ht="16" outlineLevel="1">
      <c r="A73" s="32" t="s">
        <v>70</v>
      </c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  <c r="AA73" s="39"/>
      <c r="AB73" s="39"/>
      <c r="AC73" s="39"/>
      <c r="AD73" s="39"/>
      <c r="AE73" s="39"/>
      <c r="AF73" s="40">
        <v>183.97</v>
      </c>
      <c r="AG73" s="40">
        <v>189.74</v>
      </c>
      <c r="AH73" s="40">
        <v>189.74</v>
      </c>
      <c r="AI73" s="40">
        <v>303.23</v>
      </c>
      <c r="AJ73" s="40">
        <v>189.74</v>
      </c>
      <c r="AK73" s="40">
        <v>189.74</v>
      </c>
      <c r="AL73" s="40">
        <v>204.95</v>
      </c>
      <c r="AM73" s="40">
        <v>189.74</v>
      </c>
      <c r="AN73" s="40">
        <v>189.74</v>
      </c>
      <c r="AO73" s="40">
        <v>288.34</v>
      </c>
      <c r="AP73" s="40">
        <v>189.74</v>
      </c>
      <c r="AQ73" s="40">
        <v>189.74</v>
      </c>
      <c r="AR73" s="40">
        <v>192.95</v>
      </c>
      <c r="AS73" s="40">
        <v>192.95</v>
      </c>
      <c r="AT73" s="40">
        <v>192.95</v>
      </c>
      <c r="AU73" s="40">
        <v>297.41</v>
      </c>
      <c r="AV73" s="40">
        <v>192.95</v>
      </c>
      <c r="AW73" s="40">
        <v>192.95</v>
      </c>
      <c r="AX73" s="40">
        <v>196.58</v>
      </c>
      <c r="AY73" s="40">
        <v>192.95</v>
      </c>
      <c r="AZ73" s="40">
        <v>192.95</v>
      </c>
      <c r="BA73" s="40">
        <v>214.15</v>
      </c>
      <c r="BB73" s="40">
        <f>B73+C73+D73+E73+F73+G73+H73+I73+J73+K73+L73+M73+N73+O73+P73+Q73+R73+S73+T73+U73+V73+W73+X73+Y73+Z73+AA73+AB73+AC73+AD73+AE73+AF73+AG73+AH73+AI73+AJ73+AK73+AL73+AM73+AN73+AO73+AP73+AQ73+AR73+AS73+AT73+AU73+AV73+AW73+AX73+AY73+AZ73+BA73</f>
        <v>4557.199999999998</v>
      </c>
    </row>
    <row r="74" spans="1:54" ht="16" outlineLevel="1">
      <c r="A74" s="32" t="s">
        <v>71</v>
      </c>
      <c r="B74" s="39"/>
      <c r="C74" s="40">
        <v>2036.0</v>
      </c>
      <c r="D74" s="40">
        <v>295.18</v>
      </c>
      <c r="E74" s="40">
        <v>395.0</v>
      </c>
      <c r="F74" s="40">
        <v>-2726.18</v>
      </c>
      <c r="G74" s="39"/>
      <c r="H74" s="39"/>
      <c r="I74" s="39"/>
      <c r="J74" s="39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39"/>
      <c r="AA74" s="39"/>
      <c r="AB74" s="39"/>
      <c r="AC74" s="39"/>
      <c r="AD74" s="39"/>
      <c r="AE74" s="39"/>
      <c r="AF74" s="39"/>
      <c r="AG74" s="39"/>
      <c r="AH74" s="39"/>
      <c r="AI74" s="39"/>
      <c r="AJ74" s="39"/>
      <c r="AK74" s="39"/>
      <c r="AL74" s="39"/>
      <c r="AM74" s="39"/>
      <c r="AN74" s="39"/>
      <c r="AO74" s="39"/>
      <c r="AP74" s="40">
        <v>181528.0</v>
      </c>
      <c r="AQ74" s="39"/>
      <c r="AR74" s="39"/>
      <c r="AS74" s="39"/>
      <c r="AT74" s="39"/>
      <c r="AU74" s="39"/>
      <c r="AV74" s="39"/>
      <c r="AW74" s="39"/>
      <c r="AX74" s="39"/>
      <c r="AY74" s="39"/>
      <c r="AZ74" s="39"/>
      <c r="BA74" s="39"/>
      <c r="BB74" s="40">
        <f>B74+C74+D74+E74+F74+G74+H74+I74+J74+K74+L74+M74+N74+O74+P74+Q74+R74+S74+T74+U74+V74+W74+X74+Y74+Z74+AA74+AB74+AC74+AD74+AE74+AF74+AG74+AH74+AI74+AJ74+AK74+AL74+AM74+AN74+AO74+AP74+AQ74+AR74+AS74+AT74+AU74+AV74+AW74+AX74+AY74+AZ74+BA74</f>
        <v>181528.0</v>
      </c>
    </row>
    <row r="75" spans="1:54" ht="16" outlineLevel="2">
      <c r="A75" s="34" t="s">
        <v>72</v>
      </c>
      <c r="B75" s="39"/>
      <c r="C75" s="40">
        <v>2395.75</v>
      </c>
      <c r="D75" s="40">
        <v>44723.24</v>
      </c>
      <c r="E75" s="40">
        <v>55180.11</v>
      </c>
      <c r="F75" s="40">
        <v>66221.55</v>
      </c>
      <c r="G75" s="40">
        <v>81322.44</v>
      </c>
      <c r="H75" s="40">
        <v>112906.95</v>
      </c>
      <c r="I75" s="40">
        <v>167390.07</v>
      </c>
      <c r="J75" s="40">
        <v>152198.87</v>
      </c>
      <c r="K75" s="40">
        <v>169060.31</v>
      </c>
      <c r="L75" s="40">
        <v>150620.8</v>
      </c>
      <c r="M75" s="40">
        <v>221206.44</v>
      </c>
      <c r="N75" s="40">
        <v>174664.77</v>
      </c>
      <c r="O75" s="40">
        <v>207936.11</v>
      </c>
      <c r="P75" s="40">
        <v>147892.26</v>
      </c>
      <c r="Q75" s="40">
        <v>186573.79</v>
      </c>
      <c r="R75" s="40">
        <v>342283.2</v>
      </c>
      <c r="S75" s="40">
        <v>201602.29</v>
      </c>
      <c r="T75" s="40">
        <v>218748.46</v>
      </c>
      <c r="U75" s="40">
        <v>253079.44</v>
      </c>
      <c r="V75" s="40">
        <v>189762.12</v>
      </c>
      <c r="W75" s="40">
        <v>198589.89</v>
      </c>
      <c r="X75" s="40">
        <v>273128.25</v>
      </c>
      <c r="Y75" s="40">
        <v>176394.96</v>
      </c>
      <c r="Z75" s="40">
        <v>189170.74</v>
      </c>
      <c r="AA75" s="40">
        <v>266234.97</v>
      </c>
      <c r="AB75" s="40">
        <v>242177.06</v>
      </c>
      <c r="AC75" s="40">
        <v>198545.59</v>
      </c>
      <c r="AD75" s="40">
        <v>236692.51</v>
      </c>
      <c r="AE75" s="40">
        <v>32044.49</v>
      </c>
      <c r="AF75" s="40">
        <v>41538.46</v>
      </c>
      <c r="AG75" s="40">
        <v>37281.29</v>
      </c>
      <c r="AH75" s="40">
        <v>36961.54</v>
      </c>
      <c r="AI75" s="40">
        <v>53394.25</v>
      </c>
      <c r="AJ75" s="40">
        <v>37980.78</v>
      </c>
      <c r="AK75" s="40">
        <v>42269.24</v>
      </c>
      <c r="AL75" s="40">
        <v>42269.24</v>
      </c>
      <c r="AM75" s="40">
        <v>42500.01</v>
      </c>
      <c r="AN75" s="40">
        <v>64096.17</v>
      </c>
      <c r="AO75" s="40">
        <v>44846.16</v>
      </c>
      <c r="AP75" s="40">
        <v>-134566.46</v>
      </c>
      <c r="AQ75" s="40">
        <v>47346.15</v>
      </c>
      <c r="AR75" s="40">
        <v>47730.76</v>
      </c>
      <c r="AS75" s="40">
        <v>47730.76</v>
      </c>
      <c r="AT75" s="40">
        <v>47730.76</v>
      </c>
      <c r="AU75" s="40">
        <v>69721.14</v>
      </c>
      <c r="AV75" s="40">
        <v>40230.76</v>
      </c>
      <c r="AW75" s="40">
        <v>40230.76</v>
      </c>
      <c r="AX75" s="40">
        <v>35115.38</v>
      </c>
      <c r="AY75" s="40">
        <v>40230.76</v>
      </c>
      <c r="AZ75" s="40">
        <v>60346.14</v>
      </c>
      <c r="BA75" s="40">
        <v>45230.76</v>
      </c>
      <c r="BB75" s="40">
        <f>B75+C75+D75+E75+F75+G75+H75+I75+J75+K75+L75+M75+N75+O75+P75+Q75+R75+S75+T75+U75+V75+W75+X75+Y75+Z75+AA75+AB75+AC75+AD75+AE75+AF75+AG75+AH75+AI75+AJ75+AK75+AL75+AM75+AN75+AO75+AP75+AQ75+AR75+AS75+AT75+AU75+AV75+AW75+AX75+AY75+AZ75+BA75</f>
        <v>5788962.239999998</v>
      </c>
    </row>
    <row r="76" spans="1:54" ht="16" outlineLevel="2">
      <c r="A76" s="34" t="s">
        <v>73</v>
      </c>
      <c r="B76" s="39"/>
      <c r="C76" s="39"/>
      <c r="D76" s="39"/>
      <c r="E76" s="40">
        <v>702.69</v>
      </c>
      <c r="F76" s="40">
        <v>-702.69</v>
      </c>
      <c r="G76" s="39"/>
      <c r="H76" s="40">
        <v>974.75</v>
      </c>
      <c r="I76" s="40">
        <v>901.19</v>
      </c>
      <c r="J76" s="40">
        <v>395.55</v>
      </c>
      <c r="K76" s="40">
        <v>115.62</v>
      </c>
      <c r="L76" s="40">
        <v>280.5</v>
      </c>
      <c r="M76" s="39"/>
      <c r="N76" s="39"/>
      <c r="O76" s="39"/>
      <c r="P76" s="39"/>
      <c r="Q76" s="39"/>
      <c r="R76" s="39"/>
      <c r="S76" s="40">
        <v>149.16</v>
      </c>
      <c r="T76" s="40">
        <v>288.88</v>
      </c>
      <c r="U76" s="40">
        <v>698.6</v>
      </c>
      <c r="V76" s="40">
        <v>509.16</v>
      </c>
      <c r="W76" s="40">
        <v>669.52</v>
      </c>
      <c r="X76" s="40">
        <v>1079.47</v>
      </c>
      <c r="Y76" s="40">
        <v>614.12</v>
      </c>
      <c r="Z76" s="40">
        <v>1065.21</v>
      </c>
      <c r="AA76" s="40">
        <v>1096.38</v>
      </c>
      <c r="AB76" s="40">
        <v>1121.44</v>
      </c>
      <c r="AC76" s="40">
        <v>1121.44</v>
      </c>
      <c r="AD76" s="40">
        <v>2104.87</v>
      </c>
      <c r="AE76" s="39"/>
      <c r="AF76" s="39"/>
      <c r="AG76" s="39"/>
      <c r="AH76" s="39"/>
      <c r="AI76" s="39"/>
      <c r="AJ76" s="39"/>
      <c r="AK76" s="39"/>
      <c r="AL76" s="39"/>
      <c r="AM76" s="39"/>
      <c r="AN76" s="39"/>
      <c r="AO76" s="39"/>
      <c r="AP76" s="39"/>
      <c r="AQ76" s="39"/>
      <c r="AR76" s="39"/>
      <c r="AS76" s="39"/>
      <c r="AT76" s="39"/>
      <c r="AU76" s="39"/>
      <c r="AV76" s="39"/>
      <c r="AW76" s="39"/>
      <c r="AX76" s="39"/>
      <c r="AY76" s="39"/>
      <c r="AZ76" s="39"/>
      <c r="BA76" s="39"/>
      <c r="BB76" s="40">
        <f>B76+C76+D76+E76+F76+G76+H76+I76+J76+K76+L76+M76+N76+O76+P76+Q76+R76+S76+T76+U76+V76+W76+X76+Y76+Z76+AA76+AB76+AC76+AD76+AE76+AF76+AG76+AH76+AI76+AJ76+AK76+AL76+AM76+AN76+AO76+AP76+AQ76+AR76+AS76+AT76+AU76+AV76+AW76+AX76+AY76+AZ76+BA76</f>
        <v>13185.86</v>
      </c>
    </row>
    <row r="77" spans="1:54" ht="16" outlineLevel="2">
      <c r="A77" s="34" t="s">
        <v>74</v>
      </c>
      <c r="B77" s="39"/>
      <c r="C77" s="40">
        <v>437.23</v>
      </c>
      <c r="D77" s="40">
        <v>12325.67</v>
      </c>
      <c r="E77" s="40">
        <v>9385.45</v>
      </c>
      <c r="F77" s="40">
        <v>-1034.33</v>
      </c>
      <c r="G77" s="40">
        <v>18350.23</v>
      </c>
      <c r="H77" s="40">
        <v>24403.63</v>
      </c>
      <c r="I77" s="40">
        <v>35276.69</v>
      </c>
      <c r="J77" s="40">
        <v>28094.24</v>
      </c>
      <c r="K77" s="40">
        <v>33302.28</v>
      </c>
      <c r="L77" s="40">
        <v>28562.16</v>
      </c>
      <c r="M77" s="40">
        <v>42085.59</v>
      </c>
      <c r="N77" s="40">
        <v>33067.79</v>
      </c>
      <c r="O77" s="40">
        <v>41256.6</v>
      </c>
      <c r="P77" s="40">
        <v>32644.7</v>
      </c>
      <c r="Q77" s="40">
        <v>46348.25</v>
      </c>
      <c r="R77" s="40">
        <v>77901.6</v>
      </c>
      <c r="S77" s="40">
        <v>21073.83</v>
      </c>
      <c r="T77" s="40">
        <v>20394.31</v>
      </c>
      <c r="U77" s="40">
        <v>21244.75</v>
      </c>
      <c r="V77" s="40">
        <v>14216.49</v>
      </c>
      <c r="W77" s="40">
        <v>16049.9</v>
      </c>
      <c r="X77" s="40">
        <v>22187.11</v>
      </c>
      <c r="Y77" s="40">
        <v>13870.17</v>
      </c>
      <c r="Z77" s="40">
        <v>15882.54</v>
      </c>
      <c r="AA77" s="40">
        <v>22270.64</v>
      </c>
      <c r="AB77" s="40">
        <v>19639.16</v>
      </c>
      <c r="AC77" s="40">
        <v>16187.96</v>
      </c>
      <c r="AD77" s="40">
        <v>30978.2</v>
      </c>
      <c r="AE77" s="39"/>
      <c r="AF77" s="39"/>
      <c r="AG77" s="39"/>
      <c r="AH77" s="39"/>
      <c r="AI77" s="39"/>
      <c r="AJ77" s="39"/>
      <c r="AK77" s="39"/>
      <c r="AL77" s="39"/>
      <c r="AM77" s="39"/>
      <c r="AN77" s="39"/>
      <c r="AO77" s="39"/>
      <c r="AP77" s="39"/>
      <c r="AQ77" s="39"/>
      <c r="AR77" s="39"/>
      <c r="AS77" s="39"/>
      <c r="AT77" s="39"/>
      <c r="AU77" s="39"/>
      <c r="AV77" s="39"/>
      <c r="AW77" s="39"/>
      <c r="AX77" s="39"/>
      <c r="AY77" s="39"/>
      <c r="AZ77" s="39"/>
      <c r="BA77" s="39"/>
      <c r="BB77" s="40">
        <f>B77+C77+D77+E77+F77+G77+H77+I77+J77+K77+L77+M77+N77+O77+P77+Q77+R77+S77+T77+U77+V77+W77+X77+Y77+Z77+AA77+AB77+AC77+AD77+AE77+AF77+AG77+AH77+AI77+AJ77+AK77+AL77+AM77+AN77+AO77+AP77+AQ77+AR77+AS77+AT77+AU77+AV77+AW77+AX77+AY77+AZ77+BA77</f>
        <v>696402.8400000001</v>
      </c>
    </row>
    <row r="78" spans="1:54" ht="16" outlineLevel="2">
      <c r="A78" s="34" t="s">
        <v>75</v>
      </c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  <c r="AA78" s="39"/>
      <c r="AB78" s="39"/>
      <c r="AC78" s="39"/>
      <c r="AD78" s="39"/>
      <c r="AE78" s="40">
        <v>8680.45</v>
      </c>
      <c r="AF78" s="40">
        <v>264.27</v>
      </c>
      <c r="AG78" s="40">
        <v>4689.3</v>
      </c>
      <c r="AH78" s="40">
        <v>4439.29</v>
      </c>
      <c r="AI78" s="40">
        <v>376.56</v>
      </c>
      <c r="AJ78" s="40">
        <v>1081.96</v>
      </c>
      <c r="AK78" s="40">
        <v>2807.4</v>
      </c>
      <c r="AL78" s="40">
        <v>929.19</v>
      </c>
      <c r="AM78" s="40">
        <v>23.17</v>
      </c>
      <c r="AN78" s="40">
        <v>2651.88</v>
      </c>
      <c r="AO78" s="40">
        <v>691.13</v>
      </c>
      <c r="AP78" s="40">
        <v>8096.87</v>
      </c>
      <c r="AQ78" s="40">
        <v>836.81</v>
      </c>
      <c r="AR78" s="40">
        <v>4603.84</v>
      </c>
      <c r="AS78" s="40">
        <v>3164.08</v>
      </c>
      <c r="AT78" s="40">
        <v>2070.02</v>
      </c>
      <c r="AU78" s="40">
        <v>1311.13</v>
      </c>
      <c r="AV78" s="40">
        <v>4452.52</v>
      </c>
      <c r="AW78" s="40">
        <v>943.08</v>
      </c>
      <c r="AX78" s="40">
        <v>14401.79</v>
      </c>
      <c r="AY78" s="40">
        <v>-145.33</v>
      </c>
      <c r="AZ78" s="40">
        <v>460.7</v>
      </c>
      <c r="BA78" s="40">
        <v>1908.96</v>
      </c>
      <c r="BB78" s="40">
        <f>B78+C78+D78+E78+F78+G78+H78+I78+J78+K78+L78+M78+N78+O78+P78+Q78+R78+S78+T78+U78+V78+W78+X78+Y78+Z78+AA78+AB78+AC78+AD78+AE78+AF78+AG78+AH78+AI78+AJ78+AK78+AL78+AM78+AN78+AO78+AP78+AQ78+AR78+AS78+AT78+AU78+AV78+AW78+AX78+AY78+AZ78+BA78</f>
        <v>68739.06999999999</v>
      </c>
    </row>
    <row r="79" spans="1:54" ht="16" outlineLevel="2">
      <c r="A79" s="34" t="s">
        <v>76</v>
      </c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  <c r="AA79" s="39"/>
      <c r="AB79" s="39"/>
      <c r="AC79" s="39"/>
      <c r="AD79" s="39"/>
      <c r="AE79" s="40">
        <v>12043.06</v>
      </c>
      <c r="AF79" s="40">
        <v>4119.0</v>
      </c>
      <c r="AG79" s="40">
        <v>2521.0</v>
      </c>
      <c r="AH79" s="40">
        <v>5121.6</v>
      </c>
      <c r="AI79" s="40">
        <v>2886.4</v>
      </c>
      <c r="AJ79" s="40">
        <v>468.0</v>
      </c>
      <c r="AK79" s="40">
        <v>1558.44</v>
      </c>
      <c r="AL79" s="40">
        <v>2446.65</v>
      </c>
      <c r="AM79" s="40">
        <v>644.4</v>
      </c>
      <c r="AN79" s="40">
        <v>1175.0</v>
      </c>
      <c r="AO79" s="40">
        <v>1070.8</v>
      </c>
      <c r="AP79" s="40">
        <v>1883.2</v>
      </c>
      <c r="AQ79" s="40">
        <v>2965.59</v>
      </c>
      <c r="AR79" s="40">
        <v>1833.86</v>
      </c>
      <c r="AS79" s="40">
        <v>521.71</v>
      </c>
      <c r="AT79" s="40">
        <v>1989.4</v>
      </c>
      <c r="AU79" s="40">
        <v>2948.93</v>
      </c>
      <c r="AV79" s="40">
        <v>1913.62</v>
      </c>
      <c r="AW79" s="40">
        <v>458.5</v>
      </c>
      <c r="AX79" s="40">
        <v>1030.93</v>
      </c>
      <c r="AY79" s="40">
        <v>166.0</v>
      </c>
      <c r="AZ79" s="40">
        <v>640.88</v>
      </c>
      <c r="BA79" s="40">
        <v>316.47</v>
      </c>
      <c r="BB79" s="40">
        <f>B79+C79+D79+E79+F79+G79+H79+I79+J79+K79+L79+M79+N79+O79+P79+Q79+R79+S79+T79+U79+V79+W79+X79+Y79+Z79+AA79+AB79+AC79+AD79+AE79+AF79+AG79+AH79+AI79+AJ79+AK79+AL79+AM79+AN79+AO79+AP79+AQ79+AR79+AS79+AT79+AU79+AV79+AW79+AX79+AY79+AZ79+BA79</f>
        <v>50723.44</v>
      </c>
    </row>
    <row r="80" spans="1:54" ht="16" outlineLevel="2">
      <c r="A80" s="34" t="s">
        <v>77</v>
      </c>
      <c r="B80" s="39"/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  <c r="AA80" s="39"/>
      <c r="AB80" s="39"/>
      <c r="AC80" s="39"/>
      <c r="AD80" s="39"/>
      <c r="AE80" s="39"/>
      <c r="AF80" s="39"/>
      <c r="AG80" s="39"/>
      <c r="AH80" s="39"/>
      <c r="AI80" s="39"/>
      <c r="AJ80" s="39"/>
      <c r="AK80" s="39"/>
      <c r="AL80" s="40">
        <v>1000.0</v>
      </c>
      <c r="AM80" s="40">
        <v>3400.0</v>
      </c>
      <c r="AN80" s="40">
        <v>1600.0</v>
      </c>
      <c r="AO80" s="40">
        <v>200.0</v>
      </c>
      <c r="AP80" s="40">
        <v>14700.0</v>
      </c>
      <c r="AQ80" s="39"/>
      <c r="AR80" s="39"/>
      <c r="AS80" s="39"/>
      <c r="AT80" s="40">
        <v>3000.0</v>
      </c>
      <c r="AU80" s="39"/>
      <c r="AV80" s="39"/>
      <c r="AW80" s="40">
        <v>4000.0</v>
      </c>
      <c r="AX80" s="39"/>
      <c r="AY80" s="40">
        <v>1000.0</v>
      </c>
      <c r="AZ80" s="40">
        <v>4000.0</v>
      </c>
      <c r="BA80" s="39"/>
      <c r="BB80" s="40">
        <f>B80+C80+D80+E80+F80+G80+H80+I80+J80+K80+L80+M80+N80+O80+P80+Q80+R80+S80+T80+U80+V80+W80+X80+Y80+Z80+AA80+AB80+AC80+AD80+AE80+AF80+AG80+AH80+AI80+AJ80+AK80+AL80+AM80+AN80+AO80+AP80+AQ80+AR80+AS80+AT80+AU80+AV80+AW80+AX80+AY80+AZ80+BA80</f>
        <v>32900.0</v>
      </c>
    </row>
    <row r="81" spans="1:54" ht="16" outlineLevel="2">
      <c r="A81" s="34" t="s">
        <v>78</v>
      </c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  <c r="AA81" s="39"/>
      <c r="AB81" s="39"/>
      <c r="AC81" s="39"/>
      <c r="AD81" s="39"/>
      <c r="AE81" s="40">
        <v>17035.76</v>
      </c>
      <c r="AF81" s="40">
        <v>20849.22</v>
      </c>
      <c r="AG81" s="40">
        <v>18413.14</v>
      </c>
      <c r="AH81" s="40">
        <v>14611.07</v>
      </c>
      <c r="AI81" s="40">
        <v>18890.21</v>
      </c>
      <c r="AJ81" s="40">
        <v>13248.28</v>
      </c>
      <c r="AK81" s="40">
        <v>13451.8</v>
      </c>
      <c r="AL81" s="40">
        <v>17875.24</v>
      </c>
      <c r="AM81" s="40">
        <v>15214.19</v>
      </c>
      <c r="AN81" s="40">
        <v>19287.54</v>
      </c>
      <c r="AO81" s="40">
        <v>17609.53</v>
      </c>
      <c r="AP81" s="40">
        <v>16407.64</v>
      </c>
      <c r="AQ81" s="40">
        <v>4829.28</v>
      </c>
      <c r="AR81" s="40">
        <v>3563.58</v>
      </c>
      <c r="AS81" s="40">
        <v>3518.14</v>
      </c>
      <c r="AT81" s="40">
        <v>3635.15</v>
      </c>
      <c r="AU81" s="40">
        <v>5136.99</v>
      </c>
      <c r="AV81" s="40">
        <v>2988.78</v>
      </c>
      <c r="AW81" s="40">
        <v>3601.71</v>
      </c>
      <c r="AX81" s="40">
        <v>3444.51</v>
      </c>
      <c r="AY81" s="40">
        <v>3061.42</v>
      </c>
      <c r="AZ81" s="40">
        <v>4792.12</v>
      </c>
      <c r="BA81" s="40">
        <v>3351.74</v>
      </c>
      <c r="BB81" s="40">
        <f>B81+C81+D81+E81+F81+G81+H81+I81+J81+K81+L81+M81+N81+O81+P81+Q81+R81+S81+T81+U81+V81+W81+X81+Y81+Z81+AA81+AB81+AC81+AD81+AE81+AF81+AG81+AH81+AI81+AJ81+AK81+AL81+AM81+AN81+AO81+AP81+AQ81+AR81+AS81+AT81+AU81+AV81+AW81+AX81+AY81+AZ81+BA81</f>
        <v>244817.03999999998</v>
      </c>
    </row>
    <row r="82" spans="1:54" ht="16" outlineLevel="2">
      <c r="A82" s="34" t="s">
        <v>79</v>
      </c>
      <c r="B82" s="39"/>
      <c r="C82" s="40">
        <v>-87.35</v>
      </c>
      <c r="D82" s="40">
        <v>372.14</v>
      </c>
      <c r="E82" s="40">
        <v>215.66</v>
      </c>
      <c r="F82" s="40">
        <v>631.5</v>
      </c>
      <c r="G82" s="40">
        <v>955.3</v>
      </c>
      <c r="H82" s="40">
        <v>765.94</v>
      </c>
      <c r="I82" s="40">
        <v>719.73</v>
      </c>
      <c r="J82" s="40">
        <v>916.07</v>
      </c>
      <c r="K82" s="40">
        <v>571.09</v>
      </c>
      <c r="L82" s="39"/>
      <c r="M82" s="39"/>
      <c r="N82" s="40">
        <v>5212.12</v>
      </c>
      <c r="O82" s="40">
        <v>1996.64</v>
      </c>
      <c r="P82" s="40">
        <v>1238.53</v>
      </c>
      <c r="Q82" s="40">
        <v>1299.41</v>
      </c>
      <c r="R82" s="40">
        <v>1623.22</v>
      </c>
      <c r="S82" s="40">
        <v>1359.66</v>
      </c>
      <c r="T82" s="40">
        <v>2172.52</v>
      </c>
      <c r="U82" s="40">
        <v>1935.99</v>
      </c>
      <c r="V82" s="40">
        <v>1585.22</v>
      </c>
      <c r="W82" s="40">
        <v>1502.7</v>
      </c>
      <c r="X82" s="40">
        <v>1605.86</v>
      </c>
      <c r="Y82" s="40">
        <v>1688.39</v>
      </c>
      <c r="Z82" s="40">
        <v>2297.11</v>
      </c>
      <c r="AA82" s="40">
        <v>2137.59</v>
      </c>
      <c r="AB82" s="40">
        <v>2848.73</v>
      </c>
      <c r="AC82" s="40">
        <v>3547.25</v>
      </c>
      <c r="AD82" s="40">
        <v>3625.26</v>
      </c>
      <c r="AE82" s="40">
        <v>2187.21</v>
      </c>
      <c r="AF82" s="40">
        <v>1954.44</v>
      </c>
      <c r="AG82" s="40">
        <v>4792.95</v>
      </c>
      <c r="AH82" s="40">
        <v>3312.1</v>
      </c>
      <c r="AI82" s="40">
        <v>3559.92</v>
      </c>
      <c r="AJ82" s="40">
        <v>1472.33</v>
      </c>
      <c r="AK82" s="40">
        <v>3508.8</v>
      </c>
      <c r="AL82" s="40">
        <v>2249.73</v>
      </c>
      <c r="AM82" s="40">
        <v>1037.42</v>
      </c>
      <c r="AN82" s="40">
        <v>1214.34</v>
      </c>
      <c r="AO82" s="40">
        <v>1184.42</v>
      </c>
      <c r="AP82" s="40">
        <v>1149.34</v>
      </c>
      <c r="AQ82" s="40">
        <v>1365.53</v>
      </c>
      <c r="AR82" s="40">
        <v>3124.4</v>
      </c>
      <c r="AS82" s="40">
        <v>1235.76</v>
      </c>
      <c r="AT82" s="40">
        <v>1180.14</v>
      </c>
      <c r="AU82" s="40">
        <v>1430.26</v>
      </c>
      <c r="AV82" s="40">
        <v>1502.71</v>
      </c>
      <c r="AW82" s="40">
        <v>1041.22</v>
      </c>
      <c r="AX82" s="40">
        <v>1058.4</v>
      </c>
      <c r="AY82" s="40">
        <v>1029.4</v>
      </c>
      <c r="AZ82" s="40">
        <v>1866.24</v>
      </c>
      <c r="BA82" s="40">
        <v>1436.58</v>
      </c>
      <c r="BB82" s="40">
        <f>B82+C82+D82+E82+F82+G82+H82+I82+J82+K82+L82+M82+N82+O82+P82+Q82+R82+S82+T82+U82+V82+W82+X82+Y82+Z82+AA82+AB82+AC82+AD82+AE82+AF82+AG82+AH82+AI82+AJ82+AK82+AL82+AM82+AN82+AO82+AP82+AQ82+AR82+AS82+AT82+AU82+AV82+AW82+AX82+AY82+AZ82+BA82</f>
        <v>86629.91999999998</v>
      </c>
    </row>
    <row r="83" spans="1:54" ht="16" outlineLevel="2">
      <c r="A83" s="34" t="s">
        <v>80</v>
      </c>
      <c r="B83" s="39"/>
      <c r="C83" s="39"/>
      <c r="D83" s="39"/>
      <c r="E83" s="39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39"/>
      <c r="AA83" s="40">
        <v>5280.1</v>
      </c>
      <c r="AB83" s="39"/>
      <c r="AC83" s="39"/>
      <c r="AD83" s="39"/>
      <c r="AE83" s="39"/>
      <c r="AF83" s="39"/>
      <c r="AG83" s="39"/>
      <c r="AH83" s="39"/>
      <c r="AI83" s="39"/>
      <c r="AJ83" s="39"/>
      <c r="AK83" s="39"/>
      <c r="AL83" s="39"/>
      <c r="AM83" s="39"/>
      <c r="AN83" s="39"/>
      <c r="AO83" s="39"/>
      <c r="AP83" s="39"/>
      <c r="AQ83" s="39"/>
      <c r="AR83" s="39"/>
      <c r="AS83" s="39"/>
      <c r="AT83" s="39"/>
      <c r="AU83" s="39"/>
      <c r="AV83" s="39"/>
      <c r="AW83" s="39"/>
      <c r="AX83" s="39"/>
      <c r="AY83" s="39"/>
      <c r="AZ83" s="39"/>
      <c r="BA83" s="39"/>
      <c r="BB83" s="40">
        <f>B83+C83+D83+E83+F83+G83+H83+I83+J83+K83+L83+M83+N83+O83+P83+Q83+R83+S83+T83+U83+V83+W83+X83+Y83+Z83+AA83+AB83+AC83+AD83+AE83+AF83+AG83+AH83+AI83+AJ83+AK83+AL83+AM83+AN83+AO83+AP83+AQ83+AR83+AS83+AT83+AU83+AV83+AW83+AX83+AY83+AZ83+BA83</f>
        <v>5280.1</v>
      </c>
    </row>
    <row r="84" spans="1:54" ht="16" outlineLevel="2">
      <c r="A84" s="34" t="s">
        <v>81</v>
      </c>
      <c r="B84" s="39"/>
      <c r="C84" s="39"/>
      <c r="D84" s="39"/>
      <c r="E84" s="39"/>
      <c r="F84" s="39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  <c r="AA84" s="39"/>
      <c r="AB84" s="39"/>
      <c r="AC84" s="39"/>
      <c r="AD84" s="39"/>
      <c r="AE84" s="39"/>
      <c r="AF84" s="39"/>
      <c r="AG84" s="39"/>
      <c r="AH84" s="39"/>
      <c r="AI84" s="39"/>
      <c r="AJ84" s="39"/>
      <c r="AK84" s="39"/>
      <c r="AL84" s="39"/>
      <c r="AM84" s="39"/>
      <c r="AN84" s="39"/>
      <c r="AO84" s="39"/>
      <c r="AP84" s="39"/>
      <c r="AQ84" s="39"/>
      <c r="AR84" s="39"/>
      <c r="AS84" s="39"/>
      <c r="AT84" s="39"/>
      <c r="AU84" s="39"/>
      <c r="AV84" s="39"/>
      <c r="AW84" s="39"/>
      <c r="AX84" s="39"/>
      <c r="AY84" s="39"/>
      <c r="AZ84" s="39"/>
      <c r="BA84" s="40">
        <v>1250.0</v>
      </c>
      <c r="BB84" s="40">
        <f>B84+C84+D84+E84+F84+G84+H84+I84+J84+K84+L84+M84+N84+O84+P84+Q84+R84+S84+T84+U84+V84+W84+X84+Y84+Z84+AA84+AB84+AC84+AD84+AE84+AF84+AG84+AH84+AI84+AJ84+AK84+AL84+AM84+AN84+AO84+AP84+AQ84+AR84+AS84+AT84+AU84+AV84+AW84+AX84+AY84+AZ84+BA84</f>
        <v>1250.0</v>
      </c>
    </row>
    <row r="85" spans="1:54" ht="16" outlineLevel="2">
      <c r="A85" s="34" t="s">
        <v>82</v>
      </c>
      <c r="B85" s="39"/>
      <c r="C85" s="39"/>
      <c r="D85" s="39"/>
      <c r="E85" s="39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  <c r="AA85" s="39"/>
      <c r="AB85" s="39"/>
      <c r="AC85" s="39"/>
      <c r="AD85" s="39"/>
      <c r="AE85" s="39"/>
      <c r="AF85" s="39"/>
      <c r="AG85" s="39"/>
      <c r="AH85" s="39"/>
      <c r="AI85" s="39"/>
      <c r="AJ85" s="39"/>
      <c r="AK85" s="40">
        <v>1613.6</v>
      </c>
      <c r="AL85" s="39"/>
      <c r="AM85" s="40">
        <v>1905.6</v>
      </c>
      <c r="AN85" s="39"/>
      <c r="AO85" s="39"/>
      <c r="AP85" s="40">
        <v>5017.2</v>
      </c>
      <c r="AQ85" s="40">
        <v>7548.6</v>
      </c>
      <c r="AR85" s="39"/>
      <c r="AS85" s="39"/>
      <c r="AT85" s="39"/>
      <c r="AU85" s="39"/>
      <c r="AV85" s="40">
        <v>1539.44</v>
      </c>
      <c r="AW85" s="40">
        <v>1424.04</v>
      </c>
      <c r="AX85" s="39"/>
      <c r="AY85" s="40">
        <v>1556.84</v>
      </c>
      <c r="AZ85" s="39"/>
      <c r="BA85" s="39"/>
      <c r="BB85" s="40">
        <f>B85+C85+D85+E85+F85+G85+H85+I85+J85+K85+L85+M85+N85+O85+P85+Q85+R85+S85+T85+U85+V85+W85+X85+Y85+Z85+AA85+AB85+AC85+AD85+AE85+AF85+AG85+AH85+AI85+AJ85+AK85+AL85+AM85+AN85+AO85+AP85+AQ85+AR85+AS85+AT85+AU85+AV85+AW85+AX85+AY85+AZ85+BA85</f>
        <v>20605.32</v>
      </c>
    </row>
    <row r="86" spans="1:54" ht="16" outlineLevel="1">
      <c r="A86" s="35" t="s">
        <v>83</v>
      </c>
      <c r="B86" s="41"/>
      <c r="C86" s="41">
        <f>C74+C75+C76+C77+C78+C79+C80+C81+C82+C83+C84+C85</f>
        <v>4781.629999999999</v>
      </c>
      <c r="D86" s="41">
        <f>D74+D75+D76+D77+D78+D79+D80+D81+D82+D83+D84+D85</f>
        <v>57716.229999999996</v>
      </c>
      <c r="E86" s="41">
        <f>E74+E75+E76+E77+E78+E79+E80+E81+E82+E83+E84+E85</f>
        <v>65878.91</v>
      </c>
      <c r="F86" s="41">
        <f>F74+F75+F76+F77+F78+F79+F80+F81+F82+F83+F84+F85</f>
        <v>62389.85</v>
      </c>
      <c r="G86" s="41">
        <f>G74+G75+G76+G77+G78+G79+G80+G81+G82+G83+G84+G85</f>
        <v>100627.97</v>
      </c>
      <c r="H86" s="41">
        <f>H74+H75+H76+H77+H78+H79+H80+H81+H82+H83+H84+H85</f>
        <v>139051.27</v>
      </c>
      <c r="I86" s="41">
        <f>I74+I75+I76+I77+I78+I79+I80+I81+I82+I83+I84+I85</f>
        <v>204287.68000000002</v>
      </c>
      <c r="J86" s="41">
        <f>J74+J75+J76+J77+J78+J79+J80+J81+J82+J83+J84+J85</f>
        <v>181604.72999999998</v>
      </c>
      <c r="K86" s="41">
        <f>K74+K75+K76+K77+K78+K79+K80+K81+K82+K83+K84+K85</f>
        <v>203049.3</v>
      </c>
      <c r="L86" s="41">
        <f>L74+L75+L76+L77+L78+L79+L80+L81+L82+L83+L84+L85</f>
        <v>179463.46</v>
      </c>
      <c r="M86" s="41">
        <f>M74+M75+M76+M77+M78+M79+M80+M81+M82+M83+M84+M85</f>
        <v>263292.03</v>
      </c>
      <c r="N86" s="41">
        <f>N74+N75+N76+N77+N78+N79+N80+N81+N82+N83+N84+N85</f>
        <v>212944.68</v>
      </c>
      <c r="O86" s="41">
        <f>O74+O75+O76+O77+O78+O79+O80+O81+O82+O83+O84+O85</f>
        <v>251189.35</v>
      </c>
      <c r="P86" s="41">
        <f>P74+P75+P76+P77+P78+P79+P80+P81+P82+P83+P84+P85</f>
        <v>181775.49000000002</v>
      </c>
      <c r="Q86" s="41">
        <f>Q74+Q75+Q76+Q77+Q78+Q79+Q80+Q81+Q82+Q83+Q84+Q85</f>
        <v>234221.45</v>
      </c>
      <c r="R86" s="41">
        <f>R74+R75+R76+R77+R78+R79+R80+R81+R82+R83+R84+R85</f>
        <v>421808.02</v>
      </c>
      <c r="S86" s="41">
        <f>S74+S75+S76+S77+S78+S79+S80+S81+S82+S83+S84+S85</f>
        <v>224184.94000000003</v>
      </c>
      <c r="T86" s="41">
        <f>T74+T75+T76+T77+T78+T79+T80+T81+T82+T83+T84+T85</f>
        <v>241604.16999999998</v>
      </c>
      <c r="U86" s="41">
        <f>U74+U75+U76+U77+U78+U79+U80+U81+U82+U83+U84+U85</f>
        <v>276958.78</v>
      </c>
      <c r="V86" s="41">
        <f>V74+V75+V76+V77+V78+V79+V80+V81+V82+V83+V84+V85</f>
        <v>206072.99</v>
      </c>
      <c r="W86" s="41">
        <f>W74+W75+W76+W77+W78+W79+W80+W81+W82+W83+W84+W85</f>
        <v>216812.01</v>
      </c>
      <c r="X86" s="41">
        <f>X74+X75+X76+X77+X78+X79+X80+X81+X82+X83+X84+X85</f>
        <v>298000.68999999994</v>
      </c>
      <c r="Y86" s="41">
        <f>Y74+Y75+Y76+Y77+Y78+Y79+Y80+Y81+Y82+Y83+Y84+Y85</f>
        <v>192567.64</v>
      </c>
      <c r="Z86" s="41">
        <f>Z74+Z75+Z76+Z77+Z78+Z79+Z80+Z81+Z82+Z83+Z84+Z85</f>
        <v>208415.59999999998</v>
      </c>
      <c r="AA86" s="41">
        <f>AA74+AA75+AA76+AA77+AA78+AA79+AA80+AA81+AA82+AA83+AA84+AA85</f>
        <v>297019.68</v>
      </c>
      <c r="AB86" s="41">
        <f>AB74+AB75+AB76+AB77+AB78+AB79+AB80+AB81+AB82+AB83+AB84+AB85</f>
        <v>265786.38999999996</v>
      </c>
      <c r="AC86" s="41">
        <f>AC74+AC75+AC76+AC77+AC78+AC79+AC80+AC81+AC82+AC83+AC84+AC85</f>
        <v>219402.24</v>
      </c>
      <c r="AD86" s="41">
        <f>AD74+AD75+AD76+AD77+AD78+AD79+AD80+AD81+AD82+AD83+AD84+AD85</f>
        <v>273400.84</v>
      </c>
      <c r="AE86" s="41">
        <f>AE74+AE75+AE76+AE77+AE78+AE79+AE80+AE81+AE82+AE83+AE84+AE85</f>
        <v>71990.97</v>
      </c>
      <c r="AF86" s="41">
        <f>AF74+AF75+AF76+AF77+AF78+AF79+AF80+AF81+AF82+AF83+AF84+AF85</f>
        <v>68725.39</v>
      </c>
      <c r="AG86" s="41">
        <f>AG74+AG75+AG76+AG77+AG78+AG79+AG80+AG81+AG82+AG83+AG84+AG85</f>
        <v>67697.68000000001</v>
      </c>
      <c r="AH86" s="41">
        <f>AH74+AH75+AH76+AH77+AH78+AH79+AH80+AH81+AH82+AH83+AH84+AH85</f>
        <v>64445.6</v>
      </c>
      <c r="AI86" s="41">
        <f>AI74+AI75+AI76+AI77+AI78+AI79+AI80+AI81+AI82+AI83+AI84+AI85</f>
        <v>79107.34</v>
      </c>
      <c r="AJ86" s="41">
        <f>AJ74+AJ75+AJ76+AJ77+AJ78+AJ79+AJ80+AJ81+AJ82+AJ83+AJ84+AJ85</f>
        <v>54251.35</v>
      </c>
      <c r="AK86" s="41">
        <f>AK74+AK75+AK76+AK77+AK78+AK79+AK80+AK81+AK82+AK83+AK84+AK85</f>
        <v>65209.280000000006</v>
      </c>
      <c r="AL86" s="41">
        <f>AL74+AL75+AL76+AL77+AL78+AL79+AL80+AL81+AL82+AL83+AL84+AL85</f>
        <v>66770.05</v>
      </c>
      <c r="AM86" s="41">
        <f>AM74+AM75+AM76+AM77+AM78+AM79+AM80+AM81+AM82+AM83+AM84+AM85</f>
        <v>64724.79</v>
      </c>
      <c r="AN86" s="41">
        <f>AN74+AN75+AN76+AN77+AN78+AN79+AN80+AN81+AN82+AN83+AN84+AN85</f>
        <v>90024.93</v>
      </c>
      <c r="AO86" s="41">
        <f>AO74+AO75+AO76+AO77+AO78+AO79+AO80+AO81+AO82+AO83+AO84+AO85</f>
        <v>65602.04000000001</v>
      </c>
      <c r="AP86" s="41">
        <f>AP74+AP75+AP76+AP77+AP78+AP79+AP80+AP81+AP82+AP83+AP84+AP85</f>
        <v>94215.79000000001</v>
      </c>
      <c r="AQ86" s="41">
        <f>AQ74+AQ75+AQ76+AQ77+AQ78+AQ79+AQ80+AQ81+AQ82+AQ83+AQ84+AQ85</f>
        <v>64891.96</v>
      </c>
      <c r="AR86" s="41">
        <f>AR74+AR75+AR76+AR77+AR78+AR79+AR80+AR81+AR82+AR83+AR84+AR85</f>
        <v>60856.44000000001</v>
      </c>
      <c r="AS86" s="41">
        <f>AS74+AS75+AS76+AS77+AS78+AS79+AS80+AS81+AS82+AS83+AS84+AS85</f>
        <v>56170.450000000004</v>
      </c>
      <c r="AT86" s="41">
        <f>AT74+AT75+AT76+AT77+AT78+AT79+AT80+AT81+AT82+AT83+AT84+AT85</f>
        <v>59605.47</v>
      </c>
      <c r="AU86" s="41">
        <f>AU74+AU75+AU76+AU77+AU78+AU79+AU80+AU81+AU82+AU83+AU84+AU85</f>
        <v>80548.45</v>
      </c>
      <c r="AV86" s="41">
        <f>AV74+AV75+AV76+AV77+AV78+AV79+AV80+AV81+AV82+AV83+AV84+AV85</f>
        <v>52627.83</v>
      </c>
      <c r="AW86" s="41">
        <f>AW74+AW75+AW76+AW77+AW78+AW79+AW80+AW81+AW82+AW83+AW84+AW85</f>
        <v>51699.310000000005</v>
      </c>
      <c r="AX86" s="41">
        <f>AX74+AX75+AX76+AX77+AX78+AX79+AX80+AX81+AX82+AX83+AX84+AX85</f>
        <v>55051.01</v>
      </c>
      <c r="AY86" s="41">
        <f>AY74+AY75+AY76+AY77+AY78+AY79+AY80+AY81+AY82+AY83+AY84+AY85</f>
        <v>46899.09</v>
      </c>
      <c r="AZ86" s="41">
        <f>AZ74+AZ75+AZ76+AZ77+AZ78+AZ79+AZ80+AZ81+AZ82+AZ83+AZ84+AZ85</f>
        <v>72106.08</v>
      </c>
      <c r="BA86" s="41">
        <f>BA74+BA75+BA76+BA77+BA78+BA79+BA80+BA81+BA82+BA83+BA84+BA85</f>
        <v>53494.51</v>
      </c>
      <c r="BB86" s="42">
        <f>B86+C86+D86+E86+F86+G86+H86+I86+J86+K86+L86+M86+N86+O86+P86+Q86+R86+S86+T86+U86+V86+W86+X86+Y86+Z86+AA86+AB86+AC86+AD86+AE86+AF86+AG86+AH86+AI86+AJ86+AK86+AL86+AM86+AN86+AO86+AP86+AQ86+AR86+AS86+AT86+AU86+AV86+AW86+AX86+AY86+AZ86+BA86</f>
        <v>7191023.829999997</v>
      </c>
    </row>
    <row r="87" spans="1:54" ht="16" outlineLevel="1">
      <c r="A87" s="32" t="s">
        <v>84</v>
      </c>
      <c r="B87" s="39"/>
      <c r="C87" s="39"/>
      <c r="D87" s="39"/>
      <c r="E87" s="39"/>
      <c r="F87" s="39"/>
      <c r="G87" s="40">
        <v>52.44</v>
      </c>
      <c r="H87" s="40">
        <v>1.1</v>
      </c>
      <c r="I87" s="39"/>
      <c r="J87" s="39"/>
      <c r="K87" s="39"/>
      <c r="L87" s="39"/>
      <c r="M87" s="40">
        <v>229.43</v>
      </c>
      <c r="N87" s="39"/>
      <c r="O87" s="40">
        <v>9.83</v>
      </c>
      <c r="P87" s="39"/>
      <c r="Q87" s="40">
        <v>32.99</v>
      </c>
      <c r="R87" s="40">
        <v>426.08</v>
      </c>
      <c r="S87" s="40">
        <v>136.37</v>
      </c>
      <c r="T87" s="39"/>
      <c r="U87" s="39"/>
      <c r="V87" s="39"/>
      <c r="W87" s="39"/>
      <c r="X87" s="40">
        <v>120.0</v>
      </c>
      <c r="Y87" s="39"/>
      <c r="Z87" s="39"/>
      <c r="AA87" s="40">
        <v>1462.95</v>
      </c>
      <c r="AB87" s="40">
        <v>1359.04</v>
      </c>
      <c r="AC87" s="40">
        <v>41.05</v>
      </c>
      <c r="AD87" s="40">
        <v>69.6</v>
      </c>
      <c r="AE87" s="39"/>
      <c r="AF87" s="40">
        <v>16.78</v>
      </c>
      <c r="AG87" s="40">
        <v>16.4</v>
      </c>
      <c r="AH87" s="40">
        <v>33.19</v>
      </c>
      <c r="AI87" s="40">
        <v>48.29</v>
      </c>
      <c r="AJ87" s="40">
        <v>15.0</v>
      </c>
      <c r="AK87" s="40">
        <v>8.95</v>
      </c>
      <c r="AL87" s="40">
        <v>42.45</v>
      </c>
      <c r="AM87" s="40">
        <v>55.86</v>
      </c>
      <c r="AN87" s="39"/>
      <c r="AO87" s="40">
        <v>73.86</v>
      </c>
      <c r="AP87" s="39"/>
      <c r="AQ87" s="40">
        <v>301.47</v>
      </c>
      <c r="AR87" s="39"/>
      <c r="AS87" s="40">
        <v>6.1</v>
      </c>
      <c r="AT87" s="39"/>
      <c r="AU87" s="40">
        <v>16.0</v>
      </c>
      <c r="AV87" s="39"/>
      <c r="AW87" s="39"/>
      <c r="AX87" s="39"/>
      <c r="AY87" s="39"/>
      <c r="AZ87" s="39"/>
      <c r="BA87" s="39"/>
      <c r="BB87" s="40">
        <f>B87+C87+D87+E87+F87+G87+H87+I87+J87+K87+L87+M87+N87+O87+P87+Q87+R87+S87+T87+U87+V87+W87+X87+Y87+Z87+AA87+AB87+AC87+AD87+AE87+AF87+AG87+AH87+AI87+AJ87+AK87+AL87+AM87+AN87+AO87+AP87+AQ87+AR87+AS87+AT87+AU87+AV87+AW87+AX87+AY87+AZ87+BA87</f>
        <v>4575.2300000000005</v>
      </c>
    </row>
    <row r="88" spans="1:54" ht="16" outlineLevel="1">
      <c r="A88" s="32" t="s">
        <v>85</v>
      </c>
      <c r="B88" s="39"/>
      <c r="C88" s="39"/>
      <c r="D88" s="39"/>
      <c r="E88" s="39"/>
      <c r="F88" s="39"/>
      <c r="G88" s="39"/>
      <c r="H88" s="39"/>
      <c r="I88" s="40">
        <v>1909.78</v>
      </c>
      <c r="J88" s="40">
        <v>455.86</v>
      </c>
      <c r="K88" s="40">
        <v>456.39</v>
      </c>
      <c r="L88" s="40">
        <v>561.69</v>
      </c>
      <c r="M88" s="40">
        <v>456.39</v>
      </c>
      <c r="N88" s="39"/>
      <c r="O88" s="40">
        <v>1183.18</v>
      </c>
      <c r="P88" s="40">
        <v>618.81</v>
      </c>
      <c r="Q88" s="40">
        <v>510.16</v>
      </c>
      <c r="R88" s="40">
        <v>510.16</v>
      </c>
      <c r="S88" s="40">
        <v>592.96</v>
      </c>
      <c r="T88" s="40">
        <v>870.72</v>
      </c>
      <c r="U88" s="40">
        <v>559.42</v>
      </c>
      <c r="V88" s="40">
        <v>559.42</v>
      </c>
      <c r="W88" s="40">
        <v>559.42</v>
      </c>
      <c r="X88" s="40">
        <v>559.42</v>
      </c>
      <c r="Y88" s="40">
        <v>559.42</v>
      </c>
      <c r="Z88" s="40">
        <v>805.84</v>
      </c>
      <c r="AA88" s="40">
        <v>641.84</v>
      </c>
      <c r="AB88" s="40">
        <v>145.0</v>
      </c>
      <c r="AC88" s="40">
        <v>5701.58</v>
      </c>
      <c r="AD88" s="40">
        <v>4841.84</v>
      </c>
      <c r="AE88" s="40">
        <v>5490.84</v>
      </c>
      <c r="AF88" s="40">
        <v>5081.5</v>
      </c>
      <c r="AG88" s="40">
        <v>4834.0</v>
      </c>
      <c r="AH88" s="40">
        <v>4894.0</v>
      </c>
      <c r="AI88" s="40">
        <v>3574.0</v>
      </c>
      <c r="AJ88" s="40">
        <v>4864.0</v>
      </c>
      <c r="AK88" s="40">
        <v>4864.0</v>
      </c>
      <c r="AL88" s="40">
        <v>4864.0</v>
      </c>
      <c r="AM88" s="40">
        <v>4864.0</v>
      </c>
      <c r="AN88" s="40">
        <v>4864.0</v>
      </c>
      <c r="AO88" s="40">
        <v>4864.0</v>
      </c>
      <c r="AP88" s="40">
        <v>5864.0</v>
      </c>
      <c r="AQ88" s="40">
        <v>5864.0</v>
      </c>
      <c r="AR88" s="40">
        <v>5780.0</v>
      </c>
      <c r="AS88" s="40">
        <v>5780.0</v>
      </c>
      <c r="AT88" s="40">
        <v>5750.0</v>
      </c>
      <c r="AU88" s="40">
        <v>5750.0</v>
      </c>
      <c r="AV88" s="40">
        <v>5750.0</v>
      </c>
      <c r="AW88" s="40">
        <v>5750.0</v>
      </c>
      <c r="AX88" s="40">
        <v>5750.0</v>
      </c>
      <c r="AY88" s="40">
        <v>5750.0</v>
      </c>
      <c r="AZ88" s="40">
        <v>5750.0</v>
      </c>
      <c r="BA88" s="40">
        <v>5000.0</v>
      </c>
      <c r="BB88" s="40">
        <f>B88+C88+D88+E88+F88+G88+H88+I88+J88+K88+L88+M88+N88+O88+P88+Q88+R88+S88+T88+U88+V88+W88+X88+Y88+Z88+AA88+AB88+AC88+AD88+AE88+AF88+AG88+AH88+AI88+AJ88+AK88+AL88+AM88+AN88+AO88+AP88+AQ88+AR88+AS88+AT88+AU88+AV88+AW88+AX88+AY88+AZ88+BA88</f>
        <v>144655.64</v>
      </c>
    </row>
    <row r="89" spans="1:54" ht="16" outlineLevel="1">
      <c r="A89" s="32" t="s">
        <v>86</v>
      </c>
      <c r="B89" s="39"/>
      <c r="C89" s="39"/>
      <c r="D89" s="39"/>
      <c r="E89" s="39"/>
      <c r="F89" s="39"/>
      <c r="G89" s="39"/>
      <c r="H89" s="39"/>
      <c r="I89" s="39"/>
      <c r="J89" s="40">
        <v>4.62</v>
      </c>
      <c r="K89" s="39"/>
      <c r="L89" s="40">
        <v>6.54</v>
      </c>
      <c r="M89" s="40">
        <v>10.0</v>
      </c>
      <c r="N89" s="39"/>
      <c r="O89" s="39"/>
      <c r="P89" s="39"/>
      <c r="Q89" s="40">
        <v>22.99</v>
      </c>
      <c r="R89" s="40">
        <v>6.0</v>
      </c>
      <c r="S89" s="40">
        <v>7.75</v>
      </c>
      <c r="T89" s="39"/>
      <c r="U89" s="39"/>
      <c r="V89" s="40">
        <v>8.4</v>
      </c>
      <c r="W89" s="40">
        <v>1.83</v>
      </c>
      <c r="X89" s="40">
        <v>25.22</v>
      </c>
      <c r="Y89" s="39"/>
      <c r="Z89" s="40">
        <v>23.25</v>
      </c>
      <c r="AA89" s="40">
        <v>174.35</v>
      </c>
      <c r="AB89" s="40">
        <v>37.35</v>
      </c>
      <c r="AC89" s="40">
        <v>20.82</v>
      </c>
      <c r="AD89" s="40">
        <v>8.4</v>
      </c>
      <c r="AE89" s="40">
        <v>21.86</v>
      </c>
      <c r="AF89" s="40">
        <v>7.23</v>
      </c>
      <c r="AG89" s="39"/>
      <c r="AH89" s="40">
        <v>26.91</v>
      </c>
      <c r="AI89" s="40">
        <v>42.64</v>
      </c>
      <c r="AJ89" s="40">
        <v>70.3</v>
      </c>
      <c r="AK89" s="40">
        <v>119.49</v>
      </c>
      <c r="AL89" s="40">
        <v>13.8</v>
      </c>
      <c r="AM89" s="40">
        <v>301.19</v>
      </c>
      <c r="AN89" s="40">
        <v>431.07</v>
      </c>
      <c r="AO89" s="40">
        <v>289.27</v>
      </c>
      <c r="AP89" s="39"/>
      <c r="AQ89" s="40">
        <v>257.91</v>
      </c>
      <c r="AR89" s="40">
        <v>411.72</v>
      </c>
      <c r="AS89" s="40">
        <v>40.0</v>
      </c>
      <c r="AT89" s="40">
        <v>637.55</v>
      </c>
      <c r="AU89" s="40">
        <v>285.29</v>
      </c>
      <c r="AV89" s="40">
        <v>146.19</v>
      </c>
      <c r="AW89" s="40">
        <v>223.67</v>
      </c>
      <c r="AX89" s="40">
        <v>209.9</v>
      </c>
      <c r="AY89" s="40">
        <v>139.71</v>
      </c>
      <c r="AZ89" s="40">
        <v>339.9</v>
      </c>
      <c r="BA89" s="40">
        <v>87.57</v>
      </c>
      <c r="BB89" s="40">
        <f>B89+C89+D89+E89+F89+G89+H89+I89+J89+K89+L89+M89+N89+O89+P89+Q89+R89+S89+T89+U89+V89+W89+X89+Y89+Z89+AA89+AB89+AC89+AD89+AE89+AF89+AG89+AH89+AI89+AJ89+AK89+AL89+AM89+AN89+AO89+AP89+AQ89+AR89+AS89+AT89+AU89+AV89+AW89+AX89+AY89+AZ89+BA89</f>
        <v>4460.69</v>
      </c>
    </row>
    <row r="90" spans="1:54" ht="16" outlineLevel="1">
      <c r="A90" s="32" t="s">
        <v>87</v>
      </c>
      <c r="B90" s="40">
        <v>329.75</v>
      </c>
      <c r="C90" s="40">
        <v>102.29</v>
      </c>
      <c r="D90" s="39"/>
      <c r="E90" s="39"/>
      <c r="F90" s="39"/>
      <c r="G90" s="40">
        <v>300.0</v>
      </c>
      <c r="H90" s="39"/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40">
        <v>457.78</v>
      </c>
      <c r="U90" s="39"/>
      <c r="V90" s="39"/>
      <c r="W90" s="39"/>
      <c r="X90" s="40">
        <v>87.68</v>
      </c>
      <c r="Y90" s="39"/>
      <c r="Z90" s="40">
        <v>59.05</v>
      </c>
      <c r="AA90" s="40">
        <v>59.05</v>
      </c>
      <c r="AB90" s="40">
        <v>264.67</v>
      </c>
      <c r="AC90" s="39"/>
      <c r="AD90" s="40">
        <v>15880.97</v>
      </c>
      <c r="AE90" s="39"/>
      <c r="AF90" s="39"/>
      <c r="AG90" s="39"/>
      <c r="AH90" s="39"/>
      <c r="AI90" s="39"/>
      <c r="AJ90" s="39"/>
      <c r="AK90" s="39"/>
      <c r="AL90" s="39"/>
      <c r="AM90" s="39"/>
      <c r="AN90" s="39"/>
      <c r="AO90" s="39"/>
      <c r="AP90" s="39"/>
      <c r="AQ90" s="39"/>
      <c r="AR90" s="39"/>
      <c r="AS90" s="39"/>
      <c r="AT90" s="39"/>
      <c r="AU90" s="39"/>
      <c r="AV90" s="39"/>
      <c r="AW90" s="39"/>
      <c r="AX90" s="39"/>
      <c r="AY90" s="39"/>
      <c r="AZ90" s="39"/>
      <c r="BA90" s="39"/>
      <c r="BB90" s="40">
        <f>B90+C90+D90+E90+F90+G90+H90+I90+J90+K90+L90+M90+N90+O90+P90+Q90+R90+S90+T90+U90+V90+W90+X90+Y90+Z90+AA90+AB90+AC90+AD90+AE90+AF90+AG90+AH90+AI90+AJ90+AK90+AL90+AM90+AN90+AO90+AP90+AQ90+AR90+AS90+AT90+AU90+AV90+AW90+AX90+AY90+AZ90+BA90</f>
        <v>17541.239999999998</v>
      </c>
    </row>
    <row r="91" spans="1:54" ht="16" outlineLevel="2">
      <c r="A91" s="34" t="s">
        <v>88</v>
      </c>
      <c r="B91" s="39"/>
      <c r="C91" s="39"/>
      <c r="D91" s="39"/>
      <c r="E91" s="39"/>
      <c r="F91" s="39"/>
      <c r="G91" s="39"/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39"/>
      <c r="AA91" s="39"/>
      <c r="AB91" s="39"/>
      <c r="AC91" s="39"/>
      <c r="AD91" s="39"/>
      <c r="AE91" s="40">
        <v>322.93</v>
      </c>
      <c r="AF91" s="40">
        <v>786.05</v>
      </c>
      <c r="AG91" s="40">
        <v>303.86</v>
      </c>
      <c r="AH91" s="40">
        <v>9404.0</v>
      </c>
      <c r="AI91" s="40">
        <v>273.7</v>
      </c>
      <c r="AJ91" s="40">
        <v>208.08</v>
      </c>
      <c r="AK91" s="39"/>
      <c r="AL91" s="39"/>
      <c r="AM91" s="39"/>
      <c r="AN91" s="40">
        <v>20.46</v>
      </c>
      <c r="AO91" s="39"/>
      <c r="AP91" s="40">
        <v>320.0</v>
      </c>
      <c r="AQ91" s="39"/>
      <c r="AR91" s="39"/>
      <c r="AS91" s="39"/>
      <c r="AT91" s="40">
        <v>343.92</v>
      </c>
      <c r="AU91" s="40">
        <v>595.0</v>
      </c>
      <c r="AV91" s="40">
        <v>91.51</v>
      </c>
      <c r="AW91" s="39"/>
      <c r="AX91" s="39"/>
      <c r="AY91" s="39"/>
      <c r="AZ91" s="40">
        <v>3245.0</v>
      </c>
      <c r="BA91" s="39"/>
      <c r="BB91" s="40">
        <f>B91+C91+D91+E91+F91+G91+H91+I91+J91+K91+L91+M91+N91+O91+P91+Q91+R91+S91+T91+U91+V91+W91+X91+Y91+Z91+AA91+AB91+AC91+AD91+AE91+AF91+AG91+AH91+AI91+AJ91+AK91+AL91+AM91+AN91+AO91+AP91+AQ91+AR91+AS91+AT91+AU91+AV91+AW91+AX91+AY91+AZ91+BA91</f>
        <v>15914.51</v>
      </c>
    </row>
    <row r="92" spans="1:54" ht="16" outlineLevel="2">
      <c r="A92" s="34" t="s">
        <v>89</v>
      </c>
      <c r="B92" s="39"/>
      <c r="C92" s="39"/>
      <c r="D92" s="39"/>
      <c r="E92" s="39"/>
      <c r="F92" s="39"/>
      <c r="G92" s="39"/>
      <c r="H92" s="39"/>
      <c r="I92" s="39"/>
      <c r="J92" s="39"/>
      <c r="K92" s="39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40">
        <v>12.91</v>
      </c>
      <c r="W92" s="39"/>
      <c r="X92" s="40">
        <v>12.91</v>
      </c>
      <c r="Y92" s="39"/>
      <c r="Z92" s="39"/>
      <c r="AA92" s="39"/>
      <c r="AB92" s="39"/>
      <c r="AC92" s="39"/>
      <c r="AD92" s="39"/>
      <c r="AE92" s="39"/>
      <c r="AF92" s="39"/>
      <c r="AG92" s="39"/>
      <c r="AH92" s="39"/>
      <c r="AI92" s="39"/>
      <c r="AJ92" s="39"/>
      <c r="AK92" s="39"/>
      <c r="AL92" s="39"/>
      <c r="AM92" s="39"/>
      <c r="AN92" s="39"/>
      <c r="AO92" s="39"/>
      <c r="AP92" s="39"/>
      <c r="AQ92" s="39"/>
      <c r="AR92" s="39"/>
      <c r="AS92" s="39"/>
      <c r="AT92" s="39"/>
      <c r="AU92" s="39"/>
      <c r="AV92" s="39"/>
      <c r="AW92" s="39"/>
      <c r="AX92" s="39"/>
      <c r="AY92" s="39"/>
      <c r="AZ92" s="39"/>
      <c r="BA92" s="39"/>
      <c r="BB92" s="40">
        <f>B92+C92+D92+E92+F92+G92+H92+I92+J92+K92+L92+M92+N92+O92+P92+Q92+R92+S92+T92+U92+V92+W92+X92+Y92+Z92+AA92+AB92+AC92+AD92+AE92+AF92+AG92+AH92+AI92+AJ92+AK92+AL92+AM92+AN92+AO92+AP92+AQ92+AR92+AS92+AT92+AU92+AV92+AW92+AX92+AY92+AZ92+BA92</f>
        <v>25.82</v>
      </c>
    </row>
    <row r="93" spans="1:54" ht="16" outlineLevel="2">
      <c r="A93" s="34" t="s">
        <v>90</v>
      </c>
      <c r="B93" s="39"/>
      <c r="C93" s="39"/>
      <c r="D93" s="39"/>
      <c r="E93" s="39"/>
      <c r="F93" s="39"/>
      <c r="G93" s="40">
        <v>64.69</v>
      </c>
      <c r="H93" s="39"/>
      <c r="I93" s="39"/>
      <c r="J93" s="40">
        <v>5649.0</v>
      </c>
      <c r="K93" s="39"/>
      <c r="L93" s="39"/>
      <c r="M93" s="39"/>
      <c r="N93" s="39"/>
      <c r="O93" s="39"/>
      <c r="P93" s="39"/>
      <c r="Q93" s="39"/>
      <c r="R93" s="40">
        <v>24.92</v>
      </c>
      <c r="S93" s="39"/>
      <c r="T93" s="39"/>
      <c r="U93" s="39"/>
      <c r="V93" s="39"/>
      <c r="W93" s="39"/>
      <c r="X93" s="39"/>
      <c r="Y93" s="39"/>
      <c r="Z93" s="39"/>
      <c r="AA93" s="39"/>
      <c r="AB93" s="39"/>
      <c r="AC93" s="39"/>
      <c r="AD93" s="39"/>
      <c r="AE93" s="39"/>
      <c r="AF93" s="39"/>
      <c r="AG93" s="39"/>
      <c r="AH93" s="39"/>
      <c r="AI93" s="39"/>
      <c r="AJ93" s="40">
        <v>-1247.0</v>
      </c>
      <c r="AK93" s="39"/>
      <c r="AL93" s="39"/>
      <c r="AM93" s="39"/>
      <c r="AN93" s="39"/>
      <c r="AO93" s="39"/>
      <c r="AP93" s="39"/>
      <c r="AQ93" s="39"/>
      <c r="AR93" s="39"/>
      <c r="AS93" s="39"/>
      <c r="AT93" s="40">
        <v>12000.0</v>
      </c>
      <c r="AU93" s="39"/>
      <c r="AV93" s="39"/>
      <c r="AW93" s="39"/>
      <c r="AX93" s="39"/>
      <c r="AY93" s="39"/>
      <c r="AZ93" s="39"/>
      <c r="BA93" s="39"/>
      <c r="BB93" s="40">
        <f>B93+C93+D93+E93+F93+G93+H93+I93+J93+K93+L93+M93+N93+O93+P93+Q93+R93+S93+T93+U93+V93+W93+X93+Y93+Z93+AA93+AB93+AC93+AD93+AE93+AF93+AG93+AH93+AI93+AJ93+AK93+AL93+AM93+AN93+AO93+AP93+AQ93+AR93+AS93+AT93+AU93+AV93+AW93+AX93+AY93+AZ93+BA93</f>
        <v>16491.61</v>
      </c>
    </row>
    <row r="94" spans="1:54" ht="16" outlineLevel="2">
      <c r="A94" s="34" t="s">
        <v>91</v>
      </c>
      <c r="B94" s="39"/>
      <c r="C94" s="39"/>
      <c r="D94" s="39"/>
      <c r="E94" s="39"/>
      <c r="F94" s="39"/>
      <c r="G94" s="39"/>
      <c r="H94" s="39"/>
      <c r="I94" s="39"/>
      <c r="J94" s="39"/>
      <c r="K94" s="39"/>
      <c r="L94" s="39"/>
      <c r="M94" s="39"/>
      <c r="N94" s="40">
        <v>122.39</v>
      </c>
      <c r="O94" s="39"/>
      <c r="P94" s="39"/>
      <c r="Q94" s="39"/>
      <c r="R94" s="40">
        <v>941.29</v>
      </c>
      <c r="S94" s="39"/>
      <c r="T94" s="39"/>
      <c r="U94" s="39"/>
      <c r="V94" s="39"/>
      <c r="W94" s="39"/>
      <c r="X94" s="39"/>
      <c r="Y94" s="39"/>
      <c r="Z94" s="39"/>
      <c r="AA94" s="39"/>
      <c r="AB94" s="39"/>
      <c r="AC94" s="39"/>
      <c r="AD94" s="39"/>
      <c r="AE94" s="39"/>
      <c r="AF94" s="39"/>
      <c r="AG94" s="39"/>
      <c r="AH94" s="39"/>
      <c r="AI94" s="39"/>
      <c r="AJ94" s="39"/>
      <c r="AK94" s="39"/>
      <c r="AL94" s="39"/>
      <c r="AM94" s="39"/>
      <c r="AN94" s="39"/>
      <c r="AO94" s="39"/>
      <c r="AP94" s="39"/>
      <c r="AQ94" s="39"/>
      <c r="AR94" s="39"/>
      <c r="AS94" s="39"/>
      <c r="AT94" s="39"/>
      <c r="AU94" s="39"/>
      <c r="AV94" s="39"/>
      <c r="AW94" s="39"/>
      <c r="AX94" s="39"/>
      <c r="AY94" s="39"/>
      <c r="AZ94" s="39"/>
      <c r="BA94" s="39"/>
      <c r="BB94" s="40">
        <f>B94+C94+D94+E94+F94+G94+H94+I94+J94+K94+L94+M94+N94+O94+P94+Q94+R94+S94+T94+U94+V94+W94+X94+Y94+Z94+AA94+AB94+AC94+AD94+AE94+AF94+AG94+AH94+AI94+AJ94+AK94+AL94+AM94+AN94+AO94+AP94+AQ94+AR94+AS94+AT94+AU94+AV94+AW94+AX94+AY94+AZ94+BA94</f>
        <v>1063.68</v>
      </c>
    </row>
    <row r="95" spans="1:54" ht="16" outlineLevel="2">
      <c r="A95" s="34" t="s">
        <v>92</v>
      </c>
      <c r="B95" s="39"/>
      <c r="C95" s="39"/>
      <c r="D95" s="39"/>
      <c r="E95" s="39"/>
      <c r="F95" s="39"/>
      <c r="G95" s="39"/>
      <c r="H95" s="39"/>
      <c r="I95" s="39"/>
      <c r="J95" s="39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40">
        <v>6109.0</v>
      </c>
      <c r="W95" s="39"/>
      <c r="X95" s="39"/>
      <c r="Y95" s="39"/>
      <c r="Z95" s="39"/>
      <c r="AA95" s="39"/>
      <c r="AB95" s="39"/>
      <c r="AC95" s="39"/>
      <c r="AD95" s="39"/>
      <c r="AE95" s="39"/>
      <c r="AF95" s="39"/>
      <c r="AG95" s="39"/>
      <c r="AH95" s="39"/>
      <c r="AI95" s="39"/>
      <c r="AJ95" s="39"/>
      <c r="AK95" s="39"/>
      <c r="AL95" s="39"/>
      <c r="AM95" s="39"/>
      <c r="AN95" s="39"/>
      <c r="AO95" s="39"/>
      <c r="AP95" s="39"/>
      <c r="AQ95" s="39"/>
      <c r="AR95" s="39"/>
      <c r="AS95" s="39"/>
      <c r="AT95" s="40">
        <v>6390.0</v>
      </c>
      <c r="AU95" s="39"/>
      <c r="AV95" s="39"/>
      <c r="AW95" s="39"/>
      <c r="AX95" s="39"/>
      <c r="AY95" s="39"/>
      <c r="AZ95" s="39"/>
      <c r="BA95" s="39"/>
      <c r="BB95" s="40">
        <f>B95+C95+D95+E95+F95+G95+H95+I95+J95+K95+L95+M95+N95+O95+P95+Q95+R95+S95+T95+U95+V95+W95+X95+Y95+Z95+AA95+AB95+AC95+AD95+AE95+AF95+AG95+AH95+AI95+AJ95+AK95+AL95+AM95+AN95+AO95+AP95+AQ95+AR95+AS95+AT95+AU95+AV95+AW95+AX95+AY95+AZ95+BA95</f>
        <v>12499.0</v>
      </c>
    </row>
    <row r="96" spans="1:54" ht="16" outlineLevel="1">
      <c r="A96" s="35" t="s">
        <v>93</v>
      </c>
      <c r="B96" s="41">
        <f>B90+B91+B92+B93+B94+B95</f>
        <v>329.75</v>
      </c>
      <c r="C96" s="41">
        <f>C90+C91+C92+C93+C94+C95</f>
        <v>102.29</v>
      </c>
      <c r="D96" s="41"/>
      <c r="E96" s="41"/>
      <c r="F96" s="41"/>
      <c r="G96" s="41">
        <f>G90+G91+G92+G93+G94+G95</f>
        <v>364.69</v>
      </c>
      <c r="H96" s="41"/>
      <c r="I96" s="41"/>
      <c r="J96" s="41">
        <f>J90+J91+J92+J93+J94+J95</f>
        <v>5649.0</v>
      </c>
      <c r="K96" s="41"/>
      <c r="L96" s="41"/>
      <c r="M96" s="41"/>
      <c r="N96" s="41">
        <f>N90+N91+N92+N93+N94+N95</f>
        <v>122.39</v>
      </c>
      <c r="O96" s="41"/>
      <c r="P96" s="41"/>
      <c r="Q96" s="41"/>
      <c r="R96" s="41">
        <f>R90+R91+R92+R93+R94+R95</f>
        <v>966.2099999999999</v>
      </c>
      <c r="S96" s="41"/>
      <c r="T96" s="41">
        <f>T90+T91+T92+T93+T94+T95</f>
        <v>457.78</v>
      </c>
      <c r="U96" s="41"/>
      <c r="V96" s="41">
        <f>V90+V91+V92+V93+V94+V95</f>
        <v>6121.91</v>
      </c>
      <c r="W96" s="41"/>
      <c r="X96" s="41">
        <f>X90+X91+X92+X93+X94+X95</f>
        <v>100.59</v>
      </c>
      <c r="Y96" s="41"/>
      <c r="Z96" s="41">
        <f>Z90+Z91+Z92+Z93+Z94+Z95</f>
        <v>59.05</v>
      </c>
      <c r="AA96" s="41">
        <f>AA90+AA91+AA92+AA93+AA94+AA95</f>
        <v>59.05</v>
      </c>
      <c r="AB96" s="41">
        <f>AB90+AB91+AB92+AB93+AB94+AB95</f>
        <v>264.67</v>
      </c>
      <c r="AC96" s="41"/>
      <c r="AD96" s="41">
        <f>AD90+AD91+AD92+AD93+AD94+AD95</f>
        <v>15880.97</v>
      </c>
      <c r="AE96" s="41">
        <f>AE90+AE91+AE92+AE93+AE94+AE95</f>
        <v>322.93</v>
      </c>
      <c r="AF96" s="41">
        <f>AF90+AF91+AF92+AF93+AF94+AF95</f>
        <v>786.05</v>
      </c>
      <c r="AG96" s="41">
        <f>AG90+AG91+AG92+AG93+AG94+AG95</f>
        <v>303.86</v>
      </c>
      <c r="AH96" s="41">
        <f>AH90+AH91+AH92+AH93+AH94+AH95</f>
        <v>9404.0</v>
      </c>
      <c r="AI96" s="41">
        <f>AI90+AI91+AI92+AI93+AI94+AI95</f>
        <v>273.7</v>
      </c>
      <c r="AJ96" s="41">
        <f>AJ90+AJ91+AJ92+AJ93+AJ94+AJ95</f>
        <v>-1038.92</v>
      </c>
      <c r="AK96" s="41"/>
      <c r="AL96" s="41"/>
      <c r="AM96" s="41"/>
      <c r="AN96" s="41">
        <f>AN90+AN91+AN92+AN93+AN94+AN95</f>
        <v>20.46</v>
      </c>
      <c r="AO96" s="41"/>
      <c r="AP96" s="41">
        <f>AP90+AP91+AP92+AP93+AP94+AP95</f>
        <v>320.0</v>
      </c>
      <c r="AQ96" s="41"/>
      <c r="AR96" s="41"/>
      <c r="AS96" s="41"/>
      <c r="AT96" s="41">
        <f>AT90+AT91+AT92+AT93+AT94+AT95</f>
        <v>18733.92</v>
      </c>
      <c r="AU96" s="41">
        <f>AU90+AU91+AU92+AU93+AU94+AU95</f>
        <v>595.0</v>
      </c>
      <c r="AV96" s="41">
        <f>AV90+AV91+AV92+AV93+AV94+AV95</f>
        <v>91.51</v>
      </c>
      <c r="AW96" s="41"/>
      <c r="AX96" s="41"/>
      <c r="AY96" s="41"/>
      <c r="AZ96" s="41">
        <f>AZ90+AZ91+AZ92+AZ93+AZ94+AZ95</f>
        <v>3245.0</v>
      </c>
      <c r="BA96" s="41"/>
      <c r="BB96" s="42">
        <f>B96+C96+D96+E96+F96+G96+H96+I96+J96+K96+L96+M96+N96+O96+P96+Q96+R96+S96+T96+U96+V96+W96+X96+Y96+Z96+AA96+AB96+AC96+AD96+AE96+AF96+AG96+AH96+AI96+AJ96+AK96+AL96+AM96+AN96+AO96+AP96+AQ96+AR96+AS96+AT96+AU96+AV96+AW96+AX96+AY96+AZ96+BA96</f>
        <v>63535.86</v>
      </c>
    </row>
    <row r="97" spans="1:54" ht="16" outlineLevel="1">
      <c r="A97" s="32" t="s">
        <v>94</v>
      </c>
      <c r="B97" s="39"/>
      <c r="C97" s="39"/>
      <c r="D97" s="40">
        <v>40.0</v>
      </c>
      <c r="E97" s="39"/>
      <c r="F97" s="39"/>
      <c r="G97" s="39"/>
      <c r="H97" s="39"/>
      <c r="I97" s="40">
        <v>14.27</v>
      </c>
      <c r="J97" s="39"/>
      <c r="K97" s="39"/>
      <c r="L97" s="40">
        <v>782.47</v>
      </c>
      <c r="M97" s="39"/>
      <c r="N97" s="40">
        <v>16.45</v>
      </c>
      <c r="O97" s="40">
        <v>28.98</v>
      </c>
      <c r="P97" s="39"/>
      <c r="Q97" s="39"/>
      <c r="R97" s="39"/>
      <c r="S97" s="40">
        <v>164.98</v>
      </c>
      <c r="T97" s="40">
        <v>71.56</v>
      </c>
      <c r="U97" s="39"/>
      <c r="V97" s="40">
        <v>8.3</v>
      </c>
      <c r="W97" s="39"/>
      <c r="X97" s="40">
        <v>2745.54</v>
      </c>
      <c r="Y97" s="40">
        <v>1083.21</v>
      </c>
      <c r="Z97" s="40">
        <v>399.07</v>
      </c>
      <c r="AA97" s="40">
        <v>1449.96</v>
      </c>
      <c r="AB97" s="40">
        <v>4151.88</v>
      </c>
      <c r="AC97" s="39"/>
      <c r="AD97" s="40">
        <v>391.94</v>
      </c>
      <c r="AE97" s="40">
        <v>80.98</v>
      </c>
      <c r="AF97" s="39"/>
      <c r="AG97" s="39"/>
      <c r="AH97" s="39"/>
      <c r="AI97" s="40">
        <v>11.2</v>
      </c>
      <c r="AJ97" s="39"/>
      <c r="AK97" s="39"/>
      <c r="AL97" s="40">
        <v>9.83</v>
      </c>
      <c r="AM97" s="40">
        <v>6.89</v>
      </c>
      <c r="AN97" s="39"/>
      <c r="AO97" s="39"/>
      <c r="AP97" s="39"/>
      <c r="AQ97" s="39"/>
      <c r="AR97" s="39"/>
      <c r="AS97" s="39"/>
      <c r="AT97" s="39"/>
      <c r="AU97" s="39"/>
      <c r="AV97" s="39"/>
      <c r="AW97" s="39"/>
      <c r="AX97" s="39"/>
      <c r="AY97" s="39"/>
      <c r="AZ97" s="39"/>
      <c r="BA97" s="39"/>
      <c r="BB97" s="40">
        <f>B97+C97+D97+E97+F97+G97+H97+I97+J97+K97+L97+M97+N97+O97+P97+Q97+R97+S97+T97+U97+V97+W97+X97+Y97+Z97+AA97+AB97+AC97+AD97+AE97+AF97+AG97+AH97+AI97+AJ97+AK97+AL97+AM97+AN97+AO97+AP97+AQ97+AR97+AS97+AT97+AU97+AV97+AW97+AX97+AY97+AZ97+BA97</f>
        <v>11457.51</v>
      </c>
    </row>
    <row r="98" spans="1:54" ht="16" outlineLevel="1">
      <c r="A98" s="32" t="s">
        <v>95</v>
      </c>
      <c r="B98" s="39"/>
      <c r="C98" s="39"/>
      <c r="D98" s="39"/>
      <c r="E98" s="39"/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39"/>
      <c r="AA98" s="39"/>
      <c r="AB98" s="39"/>
      <c r="AC98" s="39"/>
      <c r="AD98" s="39"/>
      <c r="AE98" s="39"/>
      <c r="AF98" s="39"/>
      <c r="AG98" s="39"/>
      <c r="AH98" s="39"/>
      <c r="AI98" s="39"/>
      <c r="AJ98" s="39"/>
      <c r="AK98" s="39"/>
      <c r="AL98" s="39"/>
      <c r="AM98" s="39"/>
      <c r="AN98" s="39"/>
      <c r="AO98" s="39"/>
      <c r="AP98" s="39"/>
      <c r="AQ98" s="39"/>
      <c r="AR98" s="39"/>
      <c r="AS98" s="39"/>
      <c r="AT98" s="39"/>
      <c r="AU98" s="39"/>
      <c r="AV98" s="40">
        <v>557.2</v>
      </c>
      <c r="AW98" s="39"/>
      <c r="AX98" s="39"/>
      <c r="AY98" s="39"/>
      <c r="AZ98" s="39"/>
      <c r="BA98" s="39"/>
      <c r="BB98" s="40">
        <f>B98+C98+D98+E98+F98+G98+H98+I98+J98+K98+L98+M98+N98+O98+P98+Q98+R98+S98+T98+U98+V98+W98+X98+Y98+Z98+AA98+AB98+AC98+AD98+AE98+AF98+AG98+AH98+AI98+AJ98+AK98+AL98+AM98+AN98+AO98+AP98+AQ98+AR98+AS98+AT98+AU98+AV98+AW98+AX98+AY98+AZ98+BA98</f>
        <v>557.2</v>
      </c>
    </row>
    <row r="99" spans="1:54" ht="16" outlineLevel="1">
      <c r="A99" s="32" t="s">
        <v>96</v>
      </c>
      <c r="B99" s="39"/>
      <c r="C99" s="39"/>
      <c r="D99" s="39"/>
      <c r="E99" s="39"/>
      <c r="F99" s="39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  <c r="AA99" s="39"/>
      <c r="AB99" s="39"/>
      <c r="AC99" s="39"/>
      <c r="AD99" s="39"/>
      <c r="AE99" s="39"/>
      <c r="AF99" s="39"/>
      <c r="AG99" s="39"/>
      <c r="AH99" s="39"/>
      <c r="AI99" s="39"/>
      <c r="AJ99" s="39"/>
      <c r="AK99" s="39"/>
      <c r="AL99" s="39"/>
      <c r="AM99" s="39"/>
      <c r="AN99" s="39"/>
      <c r="AO99" s="39"/>
      <c r="AP99" s="39"/>
      <c r="AQ99" s="39"/>
      <c r="AR99" s="39"/>
      <c r="AS99" s="39"/>
      <c r="AT99" s="39"/>
      <c r="AU99" s="39"/>
      <c r="AV99" s="39"/>
      <c r="AW99" s="40">
        <v>260.08</v>
      </c>
      <c r="AX99" s="39"/>
      <c r="AY99" s="39"/>
      <c r="AZ99" s="39"/>
      <c r="BA99" s="39"/>
      <c r="BB99" s="40">
        <f>B99+C99+D99+E99+F99+G99+H99+I99+J99+K99+L99+M99+N99+O99+P99+Q99+R99+S99+T99+U99+V99+W99+X99+Y99+Z99+AA99+AB99+AC99+AD99+AE99+AF99+AG99+AH99+AI99+AJ99+AK99+AL99+AM99+AN99+AO99+AP99+AQ99+AR99+AS99+AT99+AU99+AV99+AW99+AX99+AY99+AZ99+BA99</f>
        <v>260.08</v>
      </c>
    </row>
    <row r="100" spans="1:54" ht="16" outlineLevel="1">
      <c r="A100" s="32" t="s">
        <v>97</v>
      </c>
      <c r="B100" s="39"/>
      <c r="C100" s="39"/>
      <c r="D100" s="39"/>
      <c r="E100" s="39"/>
      <c r="F100" s="39"/>
      <c r="G100" s="39"/>
      <c r="H100" s="39"/>
      <c r="I100" s="39"/>
      <c r="J100" s="39"/>
      <c r="K100" s="39"/>
      <c r="L100" s="39"/>
      <c r="M100" s="39"/>
      <c r="N100" s="39"/>
      <c r="O100" s="39"/>
      <c r="P100" s="39"/>
      <c r="Q100" s="40">
        <v>465.13</v>
      </c>
      <c r="R100" s="40">
        <v>280.9</v>
      </c>
      <c r="S100" s="40">
        <v>480.99</v>
      </c>
      <c r="T100" s="40">
        <v>421.18</v>
      </c>
      <c r="U100" s="40">
        <v>500.32</v>
      </c>
      <c r="V100" s="40">
        <v>563.13</v>
      </c>
      <c r="W100" s="40">
        <v>475.26</v>
      </c>
      <c r="X100" s="40">
        <v>475.26</v>
      </c>
      <c r="Y100" s="40">
        <v>485.35</v>
      </c>
      <c r="Z100" s="40">
        <v>14194.87</v>
      </c>
      <c r="AA100" s="40">
        <v>777.71</v>
      </c>
      <c r="AB100" s="40">
        <v>755.1</v>
      </c>
      <c r="AC100" s="40">
        <v>1078.31</v>
      </c>
      <c r="AD100" s="40">
        <v>-4355.89</v>
      </c>
      <c r="AE100" s="39"/>
      <c r="AF100" s="39"/>
      <c r="AG100" s="39"/>
      <c r="AH100" s="39"/>
      <c r="AI100" s="39"/>
      <c r="AJ100" s="39"/>
      <c r="AK100" s="39"/>
      <c r="AL100" s="39"/>
      <c r="AM100" s="39"/>
      <c r="AN100" s="39"/>
      <c r="AO100" s="39"/>
      <c r="AP100" s="39"/>
      <c r="AQ100" s="39"/>
      <c r="AR100" s="39"/>
      <c r="AS100" s="39"/>
      <c r="AT100" s="39"/>
      <c r="AU100" s="39"/>
      <c r="AV100" s="39"/>
      <c r="AW100" s="39"/>
      <c r="AX100" s="39"/>
      <c r="AY100" s="39"/>
      <c r="AZ100" s="39"/>
      <c r="BA100" s="39"/>
      <c r="BB100" s="40">
        <f>B100+C100+D100+E100+F100+G100+H100+I100+J100+K100+L100+M100+N100+O100+P100+Q100+R100+S100+T100+U100+V100+W100+X100+Y100+Z100+AA100+AB100+AC100+AD100+AE100+AF100+AG100+AH100+AI100+AJ100+AK100+AL100+AM100+AN100+AO100+AP100+AQ100+AR100+AS100+AT100+AU100+AV100+AW100+AX100+AY100+AZ100+BA100</f>
        <v>16597.62</v>
      </c>
    </row>
    <row r="101" spans="1:54" ht="16" outlineLevel="2">
      <c r="A101" s="34" t="s">
        <v>98</v>
      </c>
      <c r="B101" s="39"/>
      <c r="C101" s="39"/>
      <c r="D101" s="39"/>
      <c r="E101" s="39"/>
      <c r="F101" s="39"/>
      <c r="G101" s="39"/>
      <c r="H101" s="39"/>
      <c r="I101" s="39"/>
      <c r="J101" s="39"/>
      <c r="K101" s="39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39"/>
      <c r="AA101" s="39"/>
      <c r="AB101" s="39"/>
      <c r="AC101" s="39"/>
      <c r="AD101" s="39"/>
      <c r="AE101" s="40">
        <v>1018.29</v>
      </c>
      <c r="AF101" s="40">
        <v>624.59</v>
      </c>
      <c r="AG101" s="40">
        <v>493.41</v>
      </c>
      <c r="AH101" s="40">
        <v>728.59</v>
      </c>
      <c r="AI101" s="40">
        <v>889.92</v>
      </c>
      <c r="AJ101" s="40">
        <v>1857.2</v>
      </c>
      <c r="AK101" s="40">
        <v>824.75</v>
      </c>
      <c r="AL101" s="40">
        <v>674.43</v>
      </c>
      <c r="AM101" s="40">
        <v>630.51</v>
      </c>
      <c r="AN101" s="40">
        <v>700.03</v>
      </c>
      <c r="AO101" s="40">
        <v>944.0</v>
      </c>
      <c r="AP101" s="40">
        <v>666.46</v>
      </c>
      <c r="AQ101" s="40">
        <v>678.08</v>
      </c>
      <c r="AR101" s="40">
        <v>684.3</v>
      </c>
      <c r="AS101" s="40">
        <v>681.47</v>
      </c>
      <c r="AT101" s="40">
        <v>669.98</v>
      </c>
      <c r="AU101" s="40">
        <v>1105.31</v>
      </c>
      <c r="AV101" s="40">
        <v>683.31</v>
      </c>
      <c r="AW101" s="40">
        <v>844.51</v>
      </c>
      <c r="AX101" s="40">
        <v>690.35</v>
      </c>
      <c r="AY101" s="40">
        <v>665.0</v>
      </c>
      <c r="AZ101" s="40">
        <v>703.82</v>
      </c>
      <c r="BA101" s="40">
        <v>433.51</v>
      </c>
      <c r="BB101" s="40">
        <f>B101+C101+D101+E101+F101+G101+H101+I101+J101+K101+L101+M101+N101+O101+P101+Q101+R101+S101+T101+U101+V101+W101+X101+Y101+Z101+AA101+AB101+AC101+AD101+AE101+AF101+AG101+AH101+AI101+AJ101+AK101+AL101+AM101+AN101+AO101+AP101+AQ101+AR101+AS101+AT101+AU101+AV101+AW101+AX101+AY101+AZ101+BA101</f>
        <v>17891.819999999996</v>
      </c>
    </row>
    <row r="102" spans="1:54" ht="16" outlineLevel="2">
      <c r="A102" s="34" t="s">
        <v>99</v>
      </c>
      <c r="B102" s="39"/>
      <c r="C102" s="39"/>
      <c r="D102" s="39"/>
      <c r="E102" s="39"/>
      <c r="F102" s="39"/>
      <c r="G102" s="39"/>
      <c r="H102" s="39"/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9"/>
      <c r="AA102" s="39"/>
      <c r="AB102" s="39"/>
      <c r="AC102" s="39"/>
      <c r="AD102" s="39"/>
      <c r="AE102" s="39"/>
      <c r="AF102" s="40">
        <v>314.87</v>
      </c>
      <c r="AG102" s="40">
        <v>110.92</v>
      </c>
      <c r="AH102" s="39"/>
      <c r="AI102" s="40">
        <v>221.84</v>
      </c>
      <c r="AJ102" s="40">
        <v>110.92</v>
      </c>
      <c r="AK102" s="40">
        <v>110.92</v>
      </c>
      <c r="AL102" s="40">
        <v>110.92</v>
      </c>
      <c r="AM102" s="40">
        <v>110.92</v>
      </c>
      <c r="AN102" s="40">
        <v>110.92</v>
      </c>
      <c r="AO102" s="40">
        <v>110.92</v>
      </c>
      <c r="AP102" s="40">
        <v>110.92</v>
      </c>
      <c r="AQ102" s="40">
        <v>110.92</v>
      </c>
      <c r="AR102" s="40">
        <v>110.92</v>
      </c>
      <c r="AS102" s="40">
        <v>110.92</v>
      </c>
      <c r="AT102" s="40">
        <v>110.92</v>
      </c>
      <c r="AU102" s="40">
        <v>110.92</v>
      </c>
      <c r="AV102" s="40">
        <v>110.92</v>
      </c>
      <c r="AW102" s="40">
        <v>110.92</v>
      </c>
      <c r="AX102" s="40">
        <v>110.92</v>
      </c>
      <c r="AY102" s="40">
        <v>110.92</v>
      </c>
      <c r="AZ102" s="40">
        <v>110.92</v>
      </c>
      <c r="BA102" s="39"/>
      <c r="BB102" s="40">
        <f>B102+C102+D102+E102+F102+G102+H102+I102+J102+K102+L102+M102+N102+O102+P102+Q102+R102+S102+T102+U102+V102+W102+X102+Y102+Z102+AA102+AB102+AC102+AD102+AE102+AF102+AG102+AH102+AI102+AJ102+AK102+AL102+AM102+AN102+AO102+AP102+AQ102+AR102+AS102+AT102+AU102+AV102+AW102+AX102+AY102+AZ102+BA102</f>
        <v>2533.270000000001</v>
      </c>
    </row>
    <row r="103" spans="1:54" ht="16" outlineLevel="2">
      <c r="A103" s="34" t="s">
        <v>100</v>
      </c>
      <c r="B103" s="39"/>
      <c r="C103" s="39"/>
      <c r="D103" s="39"/>
      <c r="E103" s="39"/>
      <c r="F103" s="39"/>
      <c r="G103" s="39"/>
      <c r="H103" s="39"/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  <c r="Z103" s="39"/>
      <c r="AA103" s="39"/>
      <c r="AB103" s="39"/>
      <c r="AC103" s="39"/>
      <c r="AD103" s="39"/>
      <c r="AE103" s="39"/>
      <c r="AF103" s="39"/>
      <c r="AG103" s="40">
        <v>459.8</v>
      </c>
      <c r="AH103" s="39"/>
      <c r="AI103" s="40">
        <v>79.9</v>
      </c>
      <c r="AJ103" s="40">
        <v>4.85</v>
      </c>
      <c r="AK103" s="40">
        <v>149.6</v>
      </c>
      <c r="AL103" s="40">
        <v>9.7</v>
      </c>
      <c r="AM103" s="40">
        <v>9.7</v>
      </c>
      <c r="AN103" s="40">
        <v>14.55</v>
      </c>
      <c r="AO103" s="40">
        <v>4.85</v>
      </c>
      <c r="AP103" s="39"/>
      <c r="AQ103" s="40">
        <v>9.7</v>
      </c>
      <c r="AR103" s="40">
        <v>429.4</v>
      </c>
      <c r="AS103" s="40">
        <v>109.6</v>
      </c>
      <c r="AT103" s="40">
        <v>9.7</v>
      </c>
      <c r="AU103" s="40">
        <v>14.55</v>
      </c>
      <c r="AV103" s="40">
        <v>9.7</v>
      </c>
      <c r="AW103" s="40">
        <v>9.7</v>
      </c>
      <c r="AX103" s="40">
        <v>371.95</v>
      </c>
      <c r="AY103" s="40">
        <v>9.7</v>
      </c>
      <c r="AZ103" s="40">
        <v>14.55</v>
      </c>
      <c r="BA103" s="40">
        <v>4.85</v>
      </c>
      <c r="BB103" s="40">
        <f>B103+C103+D103+E103+F103+G103+H103+I103+J103+K103+L103+M103+N103+O103+P103+Q103+R103+S103+T103+U103+V103+W103+X103+Y103+Z103+AA103+AB103+AC103+AD103+AE103+AF103+AG103+AH103+AI103+AJ103+AK103+AL103+AM103+AN103+AO103+AP103+AQ103+AR103+AS103+AT103+AU103+AV103+AW103+AX103+AY103+AZ103+BA103</f>
        <v>1726.3500000000001</v>
      </c>
    </row>
    <row r="104" spans="1:54" ht="16" outlineLevel="1">
      <c r="A104" s="35" t="s">
        <v>101</v>
      </c>
      <c r="B104" s="41"/>
      <c r="C104" s="41"/>
      <c r="D104" s="41"/>
      <c r="E104" s="41"/>
      <c r="F104" s="41"/>
      <c r="G104" s="41"/>
      <c r="H104" s="41"/>
      <c r="I104" s="41"/>
      <c r="J104" s="41"/>
      <c r="K104" s="41"/>
      <c r="L104" s="41"/>
      <c r="M104" s="41"/>
      <c r="N104" s="41"/>
      <c r="O104" s="41"/>
      <c r="P104" s="41"/>
      <c r="Q104" s="41">
        <f>Q100+Q101+Q102+Q103</f>
        <v>465.13</v>
      </c>
      <c r="R104" s="41">
        <f>R100+R101+R102+R103</f>
        <v>280.9</v>
      </c>
      <c r="S104" s="41">
        <f>S100+S101+S102+S103</f>
        <v>480.99</v>
      </c>
      <c r="T104" s="41">
        <f>T100+T101+T102+T103</f>
        <v>421.18</v>
      </c>
      <c r="U104" s="41">
        <f>U100+U101+U102+U103</f>
        <v>500.32</v>
      </c>
      <c r="V104" s="41">
        <f>V100+V101+V102+V103</f>
        <v>563.13</v>
      </c>
      <c r="W104" s="41">
        <f>W100+W101+W102+W103</f>
        <v>475.26</v>
      </c>
      <c r="X104" s="41">
        <f>X100+X101+X102+X103</f>
        <v>475.26</v>
      </c>
      <c r="Y104" s="41">
        <f>Y100+Y101+Y102+Y103</f>
        <v>485.35</v>
      </c>
      <c r="Z104" s="41">
        <f>Z100+Z101+Z102+Z103</f>
        <v>14194.87</v>
      </c>
      <c r="AA104" s="41">
        <f>AA100+AA101+AA102+AA103</f>
        <v>777.71</v>
      </c>
      <c r="AB104" s="41">
        <f>AB100+AB101+AB102+AB103</f>
        <v>755.1</v>
      </c>
      <c r="AC104" s="41">
        <f>AC100+AC101+AC102+AC103</f>
        <v>1078.31</v>
      </c>
      <c r="AD104" s="41">
        <f>AD100+AD101+AD102+AD103</f>
        <v>-4355.89</v>
      </c>
      <c r="AE104" s="41">
        <f>AE100+AE101+AE102+AE103</f>
        <v>1018.29</v>
      </c>
      <c r="AF104" s="41">
        <f>AF100+AF101+AF102+AF103</f>
        <v>939.46</v>
      </c>
      <c r="AG104" s="41">
        <f>AG100+AG101+AG102+AG103</f>
        <v>1064.13</v>
      </c>
      <c r="AH104" s="41">
        <f>AH100+AH101+AH102+AH103</f>
        <v>728.59</v>
      </c>
      <c r="AI104" s="41">
        <f>AI100+AI101+AI102+AI103</f>
        <v>1191.66</v>
      </c>
      <c r="AJ104" s="41">
        <f>AJ100+AJ101+AJ102+AJ103</f>
        <v>1972.97</v>
      </c>
      <c r="AK104" s="41">
        <f>AK100+AK101+AK102+AK103</f>
        <v>1085.27</v>
      </c>
      <c r="AL104" s="41">
        <f>AL100+AL101+AL102+AL103</f>
        <v>795.05</v>
      </c>
      <c r="AM104" s="41">
        <f>AM100+AM101+AM102+AM103</f>
        <v>751.13</v>
      </c>
      <c r="AN104" s="41">
        <f>AN100+AN101+AN102+AN103</f>
        <v>825.4999999999999</v>
      </c>
      <c r="AO104" s="41">
        <f>AO100+AO101+AO102+AO103</f>
        <v>1059.77</v>
      </c>
      <c r="AP104" s="41">
        <f>AP100+AP101+AP102+AP103</f>
        <v>777.38</v>
      </c>
      <c r="AQ104" s="41">
        <f>AQ100+AQ101+AQ102+AQ103</f>
        <v>798.7</v>
      </c>
      <c r="AR104" s="41">
        <f>AR100+AR101+AR102+AR103</f>
        <v>1224.62</v>
      </c>
      <c r="AS104" s="41">
        <f>AS100+AS101+AS102+AS103</f>
        <v>901.99</v>
      </c>
      <c r="AT104" s="41">
        <f>AT100+AT101+AT102+AT103</f>
        <v>790.6</v>
      </c>
      <c r="AU104" s="41">
        <f>AU100+AU101+AU102+AU103</f>
        <v>1230.78</v>
      </c>
      <c r="AV104" s="41">
        <f>AV100+AV101+AV102+AV103</f>
        <v>803.93</v>
      </c>
      <c r="AW104" s="41">
        <f>AW100+AW101+AW102+AW103</f>
        <v>965.13</v>
      </c>
      <c r="AX104" s="41">
        <f>AX100+AX101+AX102+AX103</f>
        <v>1173.22</v>
      </c>
      <c r="AY104" s="41">
        <f>AY100+AY101+AY102+AY103</f>
        <v>785.62</v>
      </c>
      <c r="AZ104" s="41">
        <f>AZ100+AZ101+AZ102+AZ103</f>
        <v>829.29</v>
      </c>
      <c r="BA104" s="41">
        <f>BA100+BA101+BA102+BA103</f>
        <v>438.36</v>
      </c>
      <c r="BB104" s="42">
        <f>B104+C104+D104+E104+F104+G104+H104+I104+J104+K104+L104+M104+N104+O104+P104+Q104+R104+S104+T104+U104+V104+W104+X104+Y104+Z104+AA104+AB104+AC104+AD104+AE104+AF104+AG104+AH104+AI104+AJ104+AK104+AL104+AM104+AN104+AO104+AP104+AQ104+AR104+AS104+AT104+AU104+AV104+AW104+AX104+AY104+AZ104+BA104</f>
        <v>38749.060000000005</v>
      </c>
    </row>
    <row r="105" spans="1:54" ht="16" outlineLevel="1">
      <c r="A105" s="32" t="s">
        <v>102</v>
      </c>
      <c r="B105" s="39"/>
      <c r="C105" s="39"/>
      <c r="D105" s="39"/>
      <c r="E105" s="39"/>
      <c r="F105" s="39"/>
      <c r="G105" s="39"/>
      <c r="H105" s="39"/>
      <c r="I105" s="39"/>
      <c r="J105" s="39"/>
      <c r="K105" s="39"/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  <c r="Z105" s="39"/>
      <c r="AA105" s="39"/>
      <c r="AB105" s="39"/>
      <c r="AC105" s="39"/>
      <c r="AD105" s="39"/>
      <c r="AE105" s="40">
        <v>150.0</v>
      </c>
      <c r="AF105" s="40">
        <v>100.0</v>
      </c>
      <c r="AG105" s="40">
        <v>100.0</v>
      </c>
      <c r="AH105" s="40">
        <v>100.0</v>
      </c>
      <c r="AI105" s="40">
        <v>150.0</v>
      </c>
      <c r="AJ105" s="40">
        <v>400.0</v>
      </c>
      <c r="AK105" s="40">
        <v>225.0</v>
      </c>
      <c r="AL105" s="39"/>
      <c r="AM105" s="40">
        <v>150.0</v>
      </c>
      <c r="AN105" s="40">
        <v>100.0</v>
      </c>
      <c r="AO105" s="40">
        <v>100.0</v>
      </c>
      <c r="AP105" s="40">
        <v>100.0</v>
      </c>
      <c r="AQ105" s="40">
        <v>50.0</v>
      </c>
      <c r="AR105" s="39"/>
      <c r="AS105" s="39"/>
      <c r="AT105" s="39"/>
      <c r="AU105" s="39"/>
      <c r="AV105" s="39"/>
      <c r="AW105" s="39"/>
      <c r="AX105" s="39"/>
      <c r="AY105" s="39"/>
      <c r="AZ105" s="39"/>
      <c r="BA105" s="39"/>
      <c r="BB105" s="40">
        <f>B105+C105+D105+E105+F105+G105+H105+I105+J105+K105+L105+M105+N105+O105+P105+Q105+R105+S105+T105+U105+V105+W105+X105+Y105+Z105+AA105+AB105+AC105+AD105+AE105+AF105+AG105+AH105+AI105+AJ105+AK105+AL105+AM105+AN105+AO105+AP105+AQ105+AR105+AS105+AT105+AU105+AV105+AW105+AX105+AY105+AZ105+BA105</f>
        <v>1725.0</v>
      </c>
    </row>
    <row r="106" spans="1:54" ht="16" outlineLevel="1">
      <c r="A106" s="32" t="s">
        <v>103</v>
      </c>
      <c r="B106" s="39"/>
      <c r="C106" s="39"/>
      <c r="D106" s="39"/>
      <c r="E106" s="39"/>
      <c r="F106" s="39"/>
      <c r="G106" s="39"/>
      <c r="H106" s="39"/>
      <c r="I106" s="39"/>
      <c r="J106" s="39"/>
      <c r="K106" s="39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  <c r="AA106" s="39"/>
      <c r="AB106" s="39"/>
      <c r="AC106" s="39"/>
      <c r="AD106" s="39"/>
      <c r="AE106" s="39"/>
      <c r="AF106" s="39"/>
      <c r="AG106" s="39"/>
      <c r="AH106" s="39"/>
      <c r="AI106" s="39"/>
      <c r="AJ106" s="39"/>
      <c r="AK106" s="39"/>
      <c r="AL106" s="39"/>
      <c r="AM106" s="40">
        <v>1000.0</v>
      </c>
      <c r="AN106" s="39"/>
      <c r="AO106" s="40">
        <v>300.0</v>
      </c>
      <c r="AP106" s="39"/>
      <c r="AQ106" s="39"/>
      <c r="AR106" s="39"/>
      <c r="AS106" s="39"/>
      <c r="AT106" s="39"/>
      <c r="AU106" s="40">
        <v>500.0</v>
      </c>
      <c r="AV106" s="39"/>
      <c r="AW106" s="39"/>
      <c r="AX106" s="40">
        <v>1020.0</v>
      </c>
      <c r="AY106" s="39"/>
      <c r="AZ106" s="39"/>
      <c r="BA106" s="40">
        <v>500.0</v>
      </c>
      <c r="BB106" s="40">
        <f>B106+C106+D106+E106+F106+G106+H106+I106+J106+K106+L106+M106+N106+O106+P106+Q106+R106+S106+T106+U106+V106+W106+X106+Y106+Z106+AA106+AB106+AC106+AD106+AE106+AF106+AG106+AH106+AI106+AJ106+AK106+AL106+AM106+AN106+AO106+AP106+AQ106+AR106+AS106+AT106+AU106+AV106+AW106+AX106+AY106+AZ106+BA106</f>
        <v>3320.0</v>
      </c>
    </row>
    <row r="107" spans="1:54" ht="16" outlineLevel="1">
      <c r="A107" s="32" t="s">
        <v>104</v>
      </c>
      <c r="B107" s="39"/>
      <c r="C107" s="39"/>
      <c r="D107" s="39"/>
      <c r="E107" s="39"/>
      <c r="F107" s="39"/>
      <c r="G107" s="39"/>
      <c r="H107" s="39"/>
      <c r="I107" s="39"/>
      <c r="J107" s="39"/>
      <c r="K107" s="39"/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39"/>
      <c r="AA107" s="39"/>
      <c r="AB107" s="39"/>
      <c r="AC107" s="39"/>
      <c r="AD107" s="39"/>
      <c r="AE107" s="39"/>
      <c r="AF107" s="39"/>
      <c r="AG107" s="39"/>
      <c r="AH107" s="39"/>
      <c r="AI107" s="39"/>
      <c r="AJ107" s="39"/>
      <c r="AK107" s="39"/>
      <c r="AL107" s="39"/>
      <c r="AM107" s="39"/>
      <c r="AN107" s="39"/>
      <c r="AO107" s="39"/>
      <c r="AP107" s="39"/>
      <c r="AQ107" s="39"/>
      <c r="AR107" s="39"/>
      <c r="AS107" s="39"/>
      <c r="AT107" s="39"/>
      <c r="AU107" s="39"/>
      <c r="AV107" s="39"/>
      <c r="AW107" s="39"/>
      <c r="AX107" s="39"/>
      <c r="AY107" s="39"/>
      <c r="AZ107" s="39"/>
      <c r="BA107" s="39"/>
      <c r="BB107" s="39"/>
    </row>
    <row r="108" spans="1:54" ht="16" outlineLevel="2">
      <c r="A108" s="34" t="s">
        <v>105</v>
      </c>
      <c r="B108" s="39"/>
      <c r="C108" s="39"/>
      <c r="D108" s="39"/>
      <c r="E108" s="39"/>
      <c r="F108" s="39"/>
      <c r="G108" s="39"/>
      <c r="H108" s="39"/>
      <c r="I108" s="39"/>
      <c r="J108" s="39"/>
      <c r="K108" s="39"/>
      <c r="L108" s="39"/>
      <c r="M108" s="39"/>
      <c r="N108" s="39"/>
      <c r="O108" s="39"/>
      <c r="P108" s="39"/>
      <c r="Q108" s="39"/>
      <c r="R108" s="40">
        <v>5600.0</v>
      </c>
      <c r="S108" s="39"/>
      <c r="T108" s="39"/>
      <c r="U108" s="39"/>
      <c r="V108" s="39"/>
      <c r="W108" s="39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9"/>
      <c r="AU108" s="39"/>
      <c r="AV108" s="39"/>
      <c r="AW108" s="39"/>
      <c r="AX108" s="39"/>
      <c r="AY108" s="39"/>
      <c r="AZ108" s="39"/>
      <c r="BA108" s="39"/>
      <c r="BB108" s="40">
        <f>B108+C108+D108+E108+F108+G108+H108+I108+J108+K108+L108+M108+N108+O108+P108+Q108+R108+S108+T108+U108+V108+W108+X108+Y108+Z108+AA108+AB108+AC108+AD108+AE108+AF108+AG108+AH108+AI108+AJ108+AK108+AL108+AM108+AN108+AO108+AP108+AQ108+AR108+AS108+AT108+AU108+AV108+AW108+AX108+AY108+AZ108+BA108</f>
        <v>5600.0</v>
      </c>
    </row>
    <row r="109" spans="1:54" ht="16" outlineLevel="2">
      <c r="A109" s="34" t="s">
        <v>106</v>
      </c>
      <c r="B109" s="39"/>
      <c r="C109" s="39"/>
      <c r="D109" s="39"/>
      <c r="E109" s="39"/>
      <c r="F109" s="39"/>
      <c r="G109" s="39"/>
      <c r="H109" s="39"/>
      <c r="I109" s="39"/>
      <c r="J109" s="39"/>
      <c r="K109" s="39"/>
      <c r="L109" s="39"/>
      <c r="M109" s="39"/>
      <c r="N109" s="39"/>
      <c r="O109" s="39"/>
      <c r="P109" s="39"/>
      <c r="Q109" s="39"/>
      <c r="R109" s="40">
        <v>3700.0</v>
      </c>
      <c r="S109" s="39"/>
      <c r="T109" s="39"/>
      <c r="U109" s="39"/>
      <c r="V109" s="39"/>
      <c r="W109" s="39"/>
      <c r="X109" s="39"/>
      <c r="Y109" s="39"/>
      <c r="Z109" s="39"/>
      <c r="AA109" s="39"/>
      <c r="AB109" s="39"/>
      <c r="AC109" s="39"/>
      <c r="AD109" s="39"/>
      <c r="AE109" s="39"/>
      <c r="AF109" s="39"/>
      <c r="AG109" s="39"/>
      <c r="AH109" s="39"/>
      <c r="AI109" s="39"/>
      <c r="AJ109" s="39"/>
      <c r="AK109" s="39"/>
      <c r="AL109" s="39"/>
      <c r="AM109" s="39"/>
      <c r="AN109" s="39"/>
      <c r="AO109" s="39"/>
      <c r="AP109" s="39"/>
      <c r="AQ109" s="39"/>
      <c r="AR109" s="39"/>
      <c r="AS109" s="39"/>
      <c r="AT109" s="39"/>
      <c r="AU109" s="39"/>
      <c r="AV109" s="39"/>
      <c r="AW109" s="39"/>
      <c r="AX109" s="39"/>
      <c r="AY109" s="39"/>
      <c r="AZ109" s="39"/>
      <c r="BA109" s="39"/>
      <c r="BB109" s="40">
        <f>B109+C109+D109+E109+F109+G109+H109+I109+J109+K109+L109+M109+N109+O109+P109+Q109+R109+S109+T109+U109+V109+W109+X109+Y109+Z109+AA109+AB109+AC109+AD109+AE109+AF109+AG109+AH109+AI109+AJ109+AK109+AL109+AM109+AN109+AO109+AP109+AQ109+AR109+AS109+AT109+AU109+AV109+AW109+AX109+AY109+AZ109+BA109</f>
        <v>3700.0</v>
      </c>
    </row>
    <row r="110" spans="1:54" ht="16" outlineLevel="1">
      <c r="A110" s="35" t="s">
        <v>107</v>
      </c>
      <c r="B110" s="41"/>
      <c r="C110" s="41"/>
      <c r="D110" s="41"/>
      <c r="E110" s="41"/>
      <c r="F110" s="41"/>
      <c r="G110" s="41"/>
      <c r="H110" s="41"/>
      <c r="I110" s="41"/>
      <c r="J110" s="41"/>
      <c r="K110" s="41"/>
      <c r="L110" s="41"/>
      <c r="M110" s="41"/>
      <c r="N110" s="41"/>
      <c r="O110" s="41"/>
      <c r="P110" s="41"/>
      <c r="Q110" s="41"/>
      <c r="R110" s="41">
        <f>R107+R108+R109</f>
        <v>9300.0</v>
      </c>
      <c r="S110" s="41"/>
      <c r="T110" s="41"/>
      <c r="U110" s="41"/>
      <c r="V110" s="41"/>
      <c r="W110" s="41"/>
      <c r="X110" s="41"/>
      <c r="Y110" s="41"/>
      <c r="Z110" s="41"/>
      <c r="AA110" s="41"/>
      <c r="AB110" s="41"/>
      <c r="AC110" s="41"/>
      <c r="AD110" s="41"/>
      <c r="AE110" s="41"/>
      <c r="AF110" s="41"/>
      <c r="AG110" s="41"/>
      <c r="AH110" s="41"/>
      <c r="AI110" s="41"/>
      <c r="AJ110" s="41"/>
      <c r="AK110" s="41"/>
      <c r="AL110" s="41"/>
      <c r="AM110" s="41"/>
      <c r="AN110" s="41"/>
      <c r="AO110" s="41"/>
      <c r="AP110" s="41"/>
      <c r="AQ110" s="41"/>
      <c r="AR110" s="41"/>
      <c r="AS110" s="41"/>
      <c r="AT110" s="41"/>
      <c r="AU110" s="41"/>
      <c r="AV110" s="41"/>
      <c r="AW110" s="41"/>
      <c r="AX110" s="41"/>
      <c r="AY110" s="41"/>
      <c r="AZ110" s="41"/>
      <c r="BA110" s="41"/>
      <c r="BB110" s="42">
        <f>B110+C110+D110+E110+F110+G110+H110+I110+J110+K110+L110+M110+N110+O110+P110+Q110+R110+S110+T110+U110+V110+W110+X110+Y110+Z110+AA110+AB110+AC110+AD110+AE110+AF110+AG110+AH110+AI110+AJ110+AK110+AL110+AM110+AN110+AO110+AP110+AQ110+AR110+AS110+AT110+AU110+AV110+AW110+AX110+AY110+AZ110+BA110</f>
        <v>9300.0</v>
      </c>
    </row>
    <row r="111" spans="1:54" ht="16" outlineLevel="1">
      <c r="A111" s="32" t="s">
        <v>108</v>
      </c>
      <c r="B111" s="39"/>
      <c r="C111" s="39"/>
      <c r="D111" s="39"/>
      <c r="E111" s="40">
        <v>160.47</v>
      </c>
      <c r="F111" s="40">
        <v>79.34</v>
      </c>
      <c r="G111" s="39"/>
      <c r="H111" s="39"/>
      <c r="I111" s="40">
        <v>76.65</v>
      </c>
      <c r="J111" s="40">
        <v>29.99</v>
      </c>
      <c r="K111" s="40">
        <v>548.58</v>
      </c>
      <c r="L111" s="40">
        <v>1340.62</v>
      </c>
      <c r="M111" s="40">
        <v>433.26</v>
      </c>
      <c r="N111" s="40">
        <v>1276.84</v>
      </c>
      <c r="O111" s="40">
        <v>1085.9</v>
      </c>
      <c r="P111" s="40">
        <v>533.27</v>
      </c>
      <c r="Q111" s="40">
        <v>1374.99</v>
      </c>
      <c r="R111" s="40">
        <v>3259.75</v>
      </c>
      <c r="S111" s="40">
        <v>1574.6</v>
      </c>
      <c r="T111" s="40">
        <v>1431.47</v>
      </c>
      <c r="U111" s="40">
        <v>1506.09</v>
      </c>
      <c r="V111" s="40">
        <v>1382.83</v>
      </c>
      <c r="W111" s="40">
        <v>1371.11</v>
      </c>
      <c r="X111" s="40">
        <v>7318.32</v>
      </c>
      <c r="Y111" s="40">
        <v>2495.07</v>
      </c>
      <c r="Z111" s="40">
        <v>2550.08</v>
      </c>
      <c r="AA111" s="40">
        <v>2522.34</v>
      </c>
      <c r="AB111" s="40">
        <v>2413.94</v>
      </c>
      <c r="AC111" s="40">
        <v>1851.28</v>
      </c>
      <c r="AD111" s="40">
        <v>3573.95</v>
      </c>
      <c r="AE111" s="40">
        <v>8624.31</v>
      </c>
      <c r="AF111" s="40">
        <v>3592.11</v>
      </c>
      <c r="AG111" s="40">
        <v>7589.15</v>
      </c>
      <c r="AH111" s="40">
        <v>5175.52</v>
      </c>
      <c r="AI111" s="40">
        <v>2898.54</v>
      </c>
      <c r="AJ111" s="40">
        <v>3815.95</v>
      </c>
      <c r="AK111" s="40">
        <v>5203.91</v>
      </c>
      <c r="AL111" s="40">
        <v>2423.78</v>
      </c>
      <c r="AM111" s="40">
        <v>5347.69</v>
      </c>
      <c r="AN111" s="40">
        <v>2053.15</v>
      </c>
      <c r="AO111" s="40">
        <v>6508.81</v>
      </c>
      <c r="AP111" s="40">
        <v>8843.02</v>
      </c>
      <c r="AQ111" s="40">
        <v>4772.57</v>
      </c>
      <c r="AR111" s="40">
        <v>3710.4</v>
      </c>
      <c r="AS111" s="40">
        <v>6255.44</v>
      </c>
      <c r="AT111" s="40">
        <v>3753.21</v>
      </c>
      <c r="AU111" s="40">
        <v>3907.48</v>
      </c>
      <c r="AV111" s="40">
        <v>3630.69</v>
      </c>
      <c r="AW111" s="40">
        <v>4138.22</v>
      </c>
      <c r="AX111" s="40">
        <v>2739.1</v>
      </c>
      <c r="AY111" s="40">
        <v>4208.22</v>
      </c>
      <c r="AZ111" s="40">
        <v>3280.29</v>
      </c>
      <c r="BA111" s="40">
        <v>2899.65</v>
      </c>
      <c r="BB111" s="40">
        <f>B111+C111+D111+E111+F111+G111+H111+I111+J111+K111+L111+M111+N111+O111+P111+Q111+R111+S111+T111+U111+V111+W111+X111+Y111+Z111+AA111+AB111+AC111+AD111+AE111+AF111+AG111+AH111+AI111+AJ111+AK111+AL111+AM111+AN111+AO111+AP111+AQ111+AR111+AS111+AT111+AU111+AV111+AW111+AX111+AY111+AZ111+BA111</f>
        <v>145561.94999999998</v>
      </c>
    </row>
    <row r="112" spans="1:54" ht="16" outlineLevel="1">
      <c r="A112" s="32" t="s">
        <v>109</v>
      </c>
      <c r="B112" s="39"/>
      <c r="C112" s="39"/>
      <c r="D112" s="39"/>
      <c r="E112" s="39"/>
      <c r="F112" s="39"/>
      <c r="G112" s="39"/>
      <c r="H112" s="39"/>
      <c r="I112" s="39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40">
        <v>182.89</v>
      </c>
      <c r="Z112" s="40">
        <v>1.5</v>
      </c>
      <c r="AA112" s="40">
        <v>1.5</v>
      </c>
      <c r="AB112" s="40">
        <v>327.48</v>
      </c>
      <c r="AC112" s="40">
        <v>33.39</v>
      </c>
      <c r="AD112" s="40">
        <v>1.5</v>
      </c>
      <c r="AE112" s="39"/>
      <c r="AF112" s="39"/>
      <c r="AG112" s="39"/>
      <c r="AH112" s="39"/>
      <c r="AI112" s="39"/>
      <c r="AJ112" s="39"/>
      <c r="AK112" s="39"/>
      <c r="AL112" s="39"/>
      <c r="AM112" s="39"/>
      <c r="AN112" s="39"/>
      <c r="AO112" s="39"/>
      <c r="AP112" s="39"/>
      <c r="AQ112" s="39"/>
      <c r="AR112" s="39"/>
      <c r="AS112" s="39"/>
      <c r="AT112" s="39"/>
      <c r="AU112" s="39"/>
      <c r="AV112" s="39"/>
      <c r="AW112" s="39"/>
      <c r="AX112" s="39"/>
      <c r="AY112" s="39"/>
      <c r="AZ112" s="39"/>
      <c r="BA112" s="39"/>
      <c r="BB112" s="40">
        <f>B112+C112+D112+E112+F112+G112+H112+I112+J112+K112+L112+M112+N112+O112+P112+Q112+R112+S112+T112+U112+V112+W112+X112+Y112+Z112+AA112+AB112+AC112+AD112+AE112+AF112+AG112+AH112+AI112+AJ112+AK112+AL112+AM112+AN112+AO112+AP112+AQ112+AR112+AS112+AT112+AU112+AV112+AW112+AX112+AY112+AZ112+BA112</f>
        <v>548.26</v>
      </c>
    </row>
    <row r="113" spans="1:54" ht="16" outlineLevel="1">
      <c r="A113" s="32" t="s">
        <v>110</v>
      </c>
      <c r="B113" s="39"/>
      <c r="C113" s="39"/>
      <c r="D113" s="39"/>
      <c r="E113" s="39"/>
      <c r="F113" s="39"/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39"/>
      <c r="AA113" s="40">
        <v>2285.51</v>
      </c>
      <c r="AB113" s="40">
        <v>-2285.51</v>
      </c>
      <c r="AC113" s="40">
        <v>0</v>
      </c>
      <c r="AD113" s="40">
        <v>0</v>
      </c>
      <c r="AE113" s="39"/>
      <c r="AF113" s="39"/>
      <c r="AG113" s="39"/>
      <c r="AH113" s="39"/>
      <c r="AI113" s="39"/>
      <c r="AJ113" s="39"/>
      <c r="AK113" s="39"/>
      <c r="AL113" s="39"/>
      <c r="AM113" s="40">
        <v>0</v>
      </c>
      <c r="AN113" s="40">
        <v>0</v>
      </c>
      <c r="AO113" s="40">
        <v>0</v>
      </c>
      <c r="AP113" s="39"/>
      <c r="AQ113" s="39"/>
      <c r="AR113" s="39"/>
      <c r="AS113" s="39"/>
      <c r="AT113" s="39"/>
      <c r="AU113" s="39"/>
      <c r="AV113" s="39"/>
      <c r="AW113" s="39"/>
      <c r="AX113" s="39"/>
      <c r="AY113" s="39"/>
      <c r="AZ113" s="39"/>
      <c r="BA113" s="39"/>
      <c r="BB113" s="40">
        <f>B113+C113+D113+E113+F113+G113+H113+I113+J113+K113+L113+M113+N113+O113+P113+Q113+R113+S113+T113+U113+V113+W113+X113+Y113+Z113+AA113+AB113+AC113+AD113+AE113+AF113+AG113+AH113+AI113+AJ113+AK113+AL113+AM113+AN113+AO113+AP113+AQ113+AR113+AS113+AT113+AU113+AV113+AW113+AX113+AY113+AZ113+BA113</f>
        <v>0.0</v>
      </c>
    </row>
    <row r="114" spans="1:54" ht="16" outlineLevel="1">
      <c r="A114" s="32" t="s">
        <v>111</v>
      </c>
      <c r="B114" s="39"/>
      <c r="C114" s="39"/>
      <c r="D114" s="39"/>
      <c r="E114" s="39"/>
      <c r="F114" s="39"/>
      <c r="G114" s="39"/>
      <c r="H114" s="39"/>
      <c r="I114" s="39"/>
      <c r="J114" s="39"/>
      <c r="K114" s="39"/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39"/>
      <c r="Z114" s="39"/>
      <c r="AA114" s="39"/>
      <c r="AB114" s="39"/>
      <c r="AC114" s="39"/>
      <c r="AD114" s="39"/>
      <c r="AE114" s="39"/>
      <c r="AF114" s="39"/>
      <c r="AG114" s="39"/>
      <c r="AH114" s="39"/>
      <c r="AI114" s="39"/>
      <c r="AJ114" s="39"/>
      <c r="AK114" s="39"/>
      <c r="AL114" s="39"/>
      <c r="AM114" s="39"/>
      <c r="AN114" s="39"/>
      <c r="AO114" s="39"/>
      <c r="AP114" s="39"/>
      <c r="AQ114" s="39"/>
      <c r="AR114" s="39"/>
      <c r="AS114" s="39"/>
      <c r="AT114" s="39"/>
      <c r="AU114" s="39"/>
      <c r="AV114" s="39"/>
      <c r="AW114" s="39"/>
      <c r="AX114" s="39"/>
      <c r="AY114" s="39"/>
      <c r="AZ114" s="40">
        <v>-166.36</v>
      </c>
      <c r="BA114" s="40">
        <v>10613.73</v>
      </c>
      <c r="BB114" s="40">
        <f>B114+C114+D114+E114+F114+G114+H114+I114+J114+K114+L114+M114+N114+O114+P114+Q114+R114+S114+T114+U114+V114+W114+X114+Y114+Z114+AA114+AB114+AC114+AD114+AE114+AF114+AG114+AH114+AI114+AJ114+AK114+AL114+AM114+AN114+AO114+AP114+AQ114+AR114+AS114+AT114+AU114+AV114+AW114+AX114+AY114+AZ114+BA114</f>
        <v>10447.369999999999</v>
      </c>
    </row>
    <row r="115" spans="1:54" ht="16">
      <c r="A115" s="33" t="s">
        <v>112</v>
      </c>
      <c r="B115" s="41">
        <f>B43+B44+B45+B46+B47+B48+B49+B59+B65+B66+B67+B68+B69+B70+B71+B72+B73+B86+B87+B88+B89+B96+B97+B98+B99+B104+B105+B106+B110+B111+B112+B113+B114</f>
        <v>1644.71</v>
      </c>
      <c r="C115" s="41">
        <f>C43+C44+C45+C46+C47+C48+C49+C59+C65+C66+C67+C68+C69+C70+C71+C72+C73+C86+C87+C88+C89+C96+C97+C98+C99+C104+C105+C106+C110+C111+C112+C113+C114</f>
        <v>6814.919999999999</v>
      </c>
      <c r="D115" s="41">
        <f>D43+D44+D45+D46+D47+D48+D49+D59+D65+D66+D67+D68+D69+D70+D71+D72+D73+D86+D87+D88+D89+D96+D97+D98+D99+D104+D105+D106+D110+D111+D112+D113+D114</f>
        <v>58309.409999999996</v>
      </c>
      <c r="E115" s="41">
        <f>E43+E44+E45+E46+E47+E48+E49+E59+E65+E66+E67+E68+E69+E70+E71+E72+E73+E86+E87+E88+E89+E96+E97+E98+E99+E104+E105+E106+E110+E111+E112+E113+E114</f>
        <v>68334.51000000001</v>
      </c>
      <c r="F115" s="41">
        <f>F43+F44+F45+F46+F47+F48+F49+F59+F65+F66+F67+F68+F69+F70+F71+F72+F73+F86+F87+F88+F89+F96+F97+F98+F99+F104+F105+F106+F110+F111+F112+F113+F114</f>
        <v>76546.59999999999</v>
      </c>
      <c r="G115" s="41">
        <f>G43+G44+G45+G46+G47+G48+G49+G59+G65+G66+G67+G68+G69+G70+G71+G72+G73+G86+G87+G88+G89+G96+G97+G98+G99+G104+G105+G106+G110+G111+G112+G113+G114</f>
        <v>106266.94</v>
      </c>
      <c r="H115" s="41">
        <f>H43+H44+H45+H46+H47+H48+H49+H59+H65+H66+H67+H68+H69+H70+H71+H72+H73+H86+H87+H88+H89+H96+H97+H98+H99+H104+H105+H106+H110+H111+H112+H113+H114</f>
        <v>140371.66999999998</v>
      </c>
      <c r="I115" s="41">
        <f>I43+I44+I45+I46+I47+I48+I49+I59+I65+I66+I67+I68+I69+I70+I71+I72+I73+I86+I87+I88+I89+I96+I97+I98+I99+I104+I105+I106+I110+I111+I112+I113+I114</f>
        <v>221092.1</v>
      </c>
      <c r="J115" s="41">
        <f>J43+J44+J45+J46+J47+J48+J49+J59+J65+J66+J67+J68+J69+J70+J71+J72+J73+J86+J87+J88+J89+J96+J97+J98+J99+J104+J105+J106+J110+J111+J112+J113+J114</f>
        <v>191028.28999999995</v>
      </c>
      <c r="K115" s="41">
        <f>K43+K44+K45+K46+K47+K48+K49+K59+K65+K66+K67+K68+K69+K70+K71+K72+K73+K86+K87+K88+K89+K96+K97+K98+K99+K104+K105+K106+K110+K111+K112+K113+K114</f>
        <v>205354.77</v>
      </c>
      <c r="L115" s="41">
        <f>L43+L44+L45+L46+L47+L48+L49+L59+L65+L66+L67+L68+L69+L70+L71+L72+L73+L86+L87+L88+L89+L96+L97+L98+L99+L104+L105+L106+L110+L111+L112+L113+L114</f>
        <v>186316.02</v>
      </c>
      <c r="M115" s="41">
        <f>M43+M44+M45+M46+M47+M48+M49+M59+M65+M66+M67+M68+M69+M70+M71+M72+M73+M86+M87+M88+M89+M96+M97+M98+M99+M104+M105+M106+M110+M111+M112+M113+M114</f>
        <v>272865.29000000004</v>
      </c>
      <c r="N115" s="41">
        <f>N43+N44+N45+N46+N47+N48+N49+N59+N65+N66+N67+N68+N69+N70+N71+N72+N73+N86+N87+N88+N89+N96+N97+N98+N99+N104+N105+N106+N110+N111+N112+N113+N114</f>
        <v>232721.59000000003</v>
      </c>
      <c r="O115" s="41">
        <f>O43+O44+O45+O46+O47+O48+O49+O59+O65+O66+O67+O68+O69+O70+O71+O72+O73+O86+O87+O88+O89+O96+O97+O98+O99+O104+O105+O106+O110+O111+O112+O113+O114</f>
        <v>263451.87</v>
      </c>
      <c r="P115" s="41">
        <f>P43+P44+P45+P46+P47+P48+P49+P59+P65+P66+P67+P68+P69+P70+P71+P72+P73+P86+P87+P88+P89+P96+P97+P98+P99+P104+P105+P106+P110+P111+P112+P113+P114</f>
        <v>217020.71000000002</v>
      </c>
      <c r="Q115" s="41">
        <f>Q43+Q44+Q45+Q46+Q47+Q48+Q49+Q59+Q65+Q66+Q67+Q68+Q69+Q70+Q71+Q72+Q73+Q86+Q87+Q88+Q89+Q96+Q97+Q98+Q99+Q104+Q105+Q106+Q110+Q111+Q112+Q113+Q114</f>
        <v>269699.73999999993</v>
      </c>
      <c r="R115" s="41">
        <f>R43+R44+R45+R46+R47+R48+R49+R59+R65+R66+R67+R68+R69+R70+R71+R72+R73+R86+R87+R88+R89+R96+R97+R98+R99+R104+R105+R106+R110+R111+R112+R113+R114</f>
        <v>829472.0599999999</v>
      </c>
      <c r="S115" s="41">
        <f>S43+S44+S45+S46+S47+S48+S49+S59+S65+S66+S67+S68+S69+S70+S71+S72+S73+S86+S87+S88+S89+S96+S97+S98+S99+S104+S105+S106+S110+S111+S112+S113+S114</f>
        <v>258512.11000000002</v>
      </c>
      <c r="T115" s="41">
        <f>T43+T44+T45+T46+T47+T48+T49+T59+T65+T66+T67+T68+T69+T70+T71+T72+T73+T86+T87+T88+T89+T96+T97+T98+T99+T104+T105+T106+T110+T111+T112+T113+T114</f>
        <v>258611.31999999998</v>
      </c>
      <c r="U115" s="41">
        <f>U43+U44+U45+U46+U47+U48+U49+U59+U65+U66+U67+U68+U69+U70+U71+U72+U73+U86+U87+U88+U89+U96+U97+U98+U99+U104+U105+U106+U110+U111+U112+U113+U114</f>
        <v>303235.76000000007</v>
      </c>
      <c r="V115" s="41">
        <f>V43+V44+V45+V46+V47+V48+V49+V59+V65+V66+V67+V68+V69+V70+V71+V72+V73+V86+V87+V88+V89+V96+V97+V98+V99+V104+V105+V106+V110+V111+V112+V113+V114</f>
        <v>246546.53999999998</v>
      </c>
      <c r="W115" s="41">
        <f>W43+W44+W45+W46+W47+W48+W49+W59+W65+W66+W67+W68+W69+W70+W71+W72+W73+W86+W87+W88+W89+W96+W97+W98+W99+W104+W105+W106+W110+W111+W112+W113+W114</f>
        <v>377527.80999999994</v>
      </c>
      <c r="X115" s="41">
        <f>X43+X44+X45+X46+X47+X48+X49+X59+X65+X66+X67+X68+X69+X70+X71+X72+X73+X86+X87+X88+X89+X96+X97+X98+X99+X104+X105+X106+X110+X111+X112+X113+X114</f>
        <v>352681.7699999999</v>
      </c>
      <c r="Y115" s="41">
        <f>Y43+Y44+Y45+Y46+Y47+Y48+Y49+Y59+Y65+Y66+Y67+Y68+Y69+Y70+Y71+Y72+Y73+Y86+Y87+Y88+Y89+Y96+Y97+Y98+Y99+Y104+Y105+Y106+Y110+Y111+Y112+Y113+Y114</f>
        <v>201259.90000000005</v>
      </c>
      <c r="Z115" s="41">
        <f>Z43+Z44+Z45+Z46+Z47+Z48+Z49+Z59+Z65+Z66+Z67+Z68+Z69+Z70+Z71+Z72+Z73+Z86+Z87+Z88+Z89+Z96+Z97+Z98+Z99+Z104+Z105+Z106+Z110+Z111+Z112+Z113+Z114</f>
        <v>285524.22000000003</v>
      </c>
      <c r="AA115" s="41">
        <f>AA43+AA44+AA45+AA46+AA47+AA48+AA49+AA59+AA65+AA66+AA67+AA68+AA69+AA70+AA71+AA72+AA73+AA86+AA87+AA88+AA89+AA96+AA97+AA98+AA99+AA104+AA105+AA106+AA110+AA111+AA112+AA113+AA114</f>
        <v>352720.4800000001</v>
      </c>
      <c r="AB115" s="41">
        <f>AB43+AB44+AB45+AB46+AB47+AB48+AB49+AB59+AB65+AB66+AB67+AB68+AB69+AB70+AB71+AB72+AB73+AB86+AB87+AB88+AB89+AB96+AB97+AB98+AB99+AB104+AB105+AB106+AB110+AB111+AB112+AB113+AB114</f>
        <v>450084.4899999998</v>
      </c>
      <c r="AC115" s="41">
        <f>AC43+AC44+AC45+AC46+AC47+AC48+AC49+AC59+AC65+AC66+AC67+AC68+AC69+AC70+AC71+AC72+AC73+AC86+AC87+AC88+AC89+AC96+AC97+AC98+AC99+AC104+AC105+AC106+AC110+AC111+AC112+AC113+AC114</f>
        <v>414510.7700000001</v>
      </c>
      <c r="AD115" s="41">
        <f>AD43+AD44+AD45+AD46+AD47+AD48+AD49+AD59+AD65+AD66+AD67+AD68+AD69+AD70+AD71+AD72+AD73+AD86+AD87+AD88+AD89+AD96+AD97+AD98+AD99+AD104+AD105+AD106+AD110+AD111+AD112+AD113+AD114</f>
        <v>278600.55000000005</v>
      </c>
      <c r="AE115" s="41">
        <f>AE43+AE44+AE45+AE46+AE47+AE48+AE49+AE59+AE65+AE66+AE67+AE68+AE69+AE70+AE71+AE72+AE73+AE86+AE87+AE88+AE89+AE96+AE97+AE98+AE99+AE104+AE105+AE106+AE110+AE111+AE112+AE113+AE114</f>
        <v>74446.02</v>
      </c>
      <c r="AF115" s="41">
        <f>AF43+AF44+AF45+AF46+AF47+AF48+AF49+AF59+AF65+AF66+AF67+AF68+AF69+AF70+AF71+AF72+AF73+AF86+AF87+AF88+AF89+AF96+AF97+AF98+AF99+AF104+AF105+AF106+AF110+AF111+AF112+AF113+AF114</f>
        <v>122076.14000000001</v>
      </c>
      <c r="AG115" s="41">
        <f>AG43+AG44+AG45+AG46+AG47+AG48+AG49+AG59+AG65+AG66+AG67+AG68+AG69+AG70+AG71+AG72+AG73+AG86+AG87+AG88+AG89+AG96+AG97+AG98+AG99+AG104+AG105+AG106+AG110+AG111+AG112+AG113+AG114</f>
        <v>115328.58</v>
      </c>
      <c r="AH115" s="41">
        <f>AH43+AH44+AH45+AH46+AH47+AH48+AH49+AH59+AH65+AH66+AH67+AH68+AH69+AH70+AH71+AH72+AH73+AH86+AH87+AH88+AH89+AH96+AH97+AH98+AH99+AH104+AH105+AH106+AH110+AH111+AH112+AH113+AH114</f>
        <v>127408.66000000002</v>
      </c>
      <c r="AI115" s="41">
        <f>AI43+AI44+AI45+AI46+AI47+AI48+AI49+AI59+AI65+AI66+AI67+AI68+AI69+AI70+AI71+AI72+AI73+AI86+AI87+AI88+AI89+AI96+AI97+AI98+AI99+AI104+AI105+AI106+AI110+AI111+AI112+AI113+AI114</f>
        <v>115299.91999999997</v>
      </c>
      <c r="AJ115" s="41">
        <f>AJ43+AJ44+AJ45+AJ46+AJ47+AJ48+AJ49+AJ59+AJ65+AJ66+AJ67+AJ68+AJ69+AJ70+AJ71+AJ72+AJ73+AJ86+AJ87+AJ88+AJ89+AJ96+AJ97+AJ98+AJ99+AJ104+AJ105+AJ106+AJ110+AJ111+AJ112+AJ113+AJ114</f>
        <v>95282.55</v>
      </c>
      <c r="AK115" s="41">
        <f>AK43+AK44+AK45+AK46+AK47+AK48+AK49+AK59+AK65+AK66+AK67+AK68+AK69+AK70+AK71+AK72+AK73+AK86+AK87+AK88+AK89+AK96+AK97+AK98+AK99+AK104+AK105+AK106+AK110+AK111+AK112+AK113+AK114</f>
        <v>105330.39000000001</v>
      </c>
      <c r="AL115" s="41">
        <f>AL43+AL44+AL45+AL46+AL47+AL48+AL49+AL59+AL65+AL66+AL67+AL68+AL69+AL70+AL71+AL72+AL73+AL86+AL87+AL88+AL89+AL96+AL97+AL98+AL99+AL104+AL105+AL106+AL110+AL111+AL112+AL113+AL114</f>
        <v>118693.81</v>
      </c>
      <c r="AM115" s="41">
        <f>AM43+AM44+AM45+AM46+AM47+AM48+AM49+AM59+AM65+AM66+AM67+AM68+AM69+AM70+AM71+AM72+AM73+AM86+AM87+AM88+AM89+AM96+AM97+AM98+AM99+AM104+AM105+AM106+AM110+AM111+AM112+AM113+AM114</f>
        <v>116878.29000000001</v>
      </c>
      <c r="AN115" s="41">
        <f>AN43+AN44+AN45+AN46+AN47+AN48+AN49+AN59+AN65+AN66+AN67+AN68+AN69+AN70+AN71+AN72+AN73+AN86+AN87+AN88+AN89+AN96+AN97+AN98+AN99+AN104+AN105+AN106+AN110+AN111+AN112+AN113+AN114</f>
        <v>137988.33</v>
      </c>
      <c r="AO115" s="41">
        <f>AO43+AO44+AO45+AO46+AO47+AO48+AO49+AO59+AO65+AO66+AO67+AO68+AO69+AO70+AO71+AO72+AO73+AO86+AO87+AO88+AO89+AO96+AO97+AO98+AO99+AO104+AO105+AO106+AO110+AO111+AO112+AO113+AO114</f>
        <v>121199.79000000001</v>
      </c>
      <c r="AP115" s="41">
        <f>AP43+AP44+AP45+AP46+AP47+AP48+AP49+AP59+AP65+AP66+AP67+AP68+AP69+AP70+AP71+AP72+AP73+AP86+AP87+AP88+AP89+AP96+AP97+AP98+AP99+AP104+AP105+AP106+AP110+AP111+AP112+AP113+AP114</f>
        <v>395202.70999999996</v>
      </c>
      <c r="AQ115" s="41">
        <f>AQ43+AQ44+AQ45+AQ46+AQ47+AQ48+AQ49+AQ59+AQ65+AQ66+AQ67+AQ68+AQ69+AQ70+AQ71+AQ72+AQ73+AQ86+AQ87+AQ88+AQ89+AQ96+AQ97+AQ98+AQ99+AQ104+AQ105+AQ106+AQ110+AQ111+AQ112+AQ113+AQ114</f>
        <v>95138.92000000001</v>
      </c>
      <c r="AR115" s="41">
        <f>AR43+AR44+AR45+AR46+AR47+AR48+AR49+AR59+AR65+AR66+AR67+AR68+AR69+AR70+AR71+AR72+AR73+AR86+AR87+AR88+AR89+AR96+AR97+AR98+AR99+AR104+AR105+AR106+AR110+AR111+AR112+AR113+AR114</f>
        <v>114790.29999999999</v>
      </c>
      <c r="AS115" s="41">
        <f>AS43+AS44+AS45+AS46+AS47+AS48+AS49+AS59+AS65+AS66+AS67+AS68+AS69+AS70+AS71+AS72+AS73+AS86+AS87+AS88+AS89+AS96+AS97+AS98+AS99+AS104+AS105+AS106+AS110+AS111+AS112+AS113+AS114</f>
        <v>138584.61000000002</v>
      </c>
      <c r="AT115" s="41">
        <f>AT43+AT44+AT45+AT46+AT47+AT48+AT49+AT59+AT65+AT66+AT67+AT68+AT69+AT70+AT71+AT72+AT73+AT86+AT87+AT88+AT89+AT96+AT97+AT98+AT99+AT104+AT105+AT106+AT110+AT111+AT112+AT113+AT114</f>
        <v>112986.41000000002</v>
      </c>
      <c r="AU115" s="41">
        <f>AU43+AU44+AU45+AU46+AU47+AU48+AU49+AU59+AU65+AU66+AU67+AU68+AU69+AU70+AU71+AU72+AU73+AU86+AU87+AU88+AU89+AU96+AU97+AU98+AU99+AU104+AU105+AU106+AU110+AU111+AU112+AU113+AU114</f>
        <v>127399.96999999999</v>
      </c>
      <c r="AV115" s="41">
        <f>AV43+AV44+AV45+AV46+AV47+AV48+AV49+AV59+AV65+AV66+AV67+AV68+AV69+AV70+AV71+AV72+AV73+AV86+AV87+AV88+AV89+AV96+AV97+AV98+AV99+AV104+AV105+AV106+AV110+AV111+AV112+AV113+AV114</f>
        <v>102758.24999999999</v>
      </c>
      <c r="AW115" s="41">
        <f>AW43+AW44+AW45+AW46+AW47+AW48+AW49+AW59+AW65+AW66+AW67+AW68+AW69+AW70+AW71+AW72+AW73+AW86+AW87+AW88+AW89+AW96+AW97+AW98+AW99+AW104+AW105+AW106+AW110+AW111+AW112+AW113+AW114</f>
        <v>100610.51000000001</v>
      </c>
      <c r="AX115" s="41">
        <f>AX43+AX44+AX45+AX46+AX47+AX48+AX49+AX59+AX65+AX66+AX67+AX68+AX69+AX70+AX71+AX72+AX73+AX86+AX87+AX88+AX89+AX96+AX97+AX98+AX99+AX104+AX105+AX106+AX110+AX111+AX112+AX113+AX114</f>
        <v>103788.68000000001</v>
      </c>
      <c r="AY115" s="41">
        <f>AY43+AY44+AY45+AY46+AY47+AY48+AY49+AY59+AY65+AY66+AY67+AY68+AY69+AY70+AY71+AY72+AY73+AY86+AY87+AY88+AY89+AY96+AY97+AY98+AY99+AY104+AY105+AY106+AY110+AY111+AY112+AY113+AY114</f>
        <v>92951.13999999998</v>
      </c>
      <c r="AZ115" s="41">
        <f>AZ43+AZ44+AZ45+AZ46+AZ47+AZ48+AZ49+AZ59+AZ65+AZ66+AZ67+AZ68+AZ69+AZ70+AZ71+AZ72+AZ73+AZ86+AZ87+AZ88+AZ89+AZ96+AZ97+AZ98+AZ99+AZ104+AZ105+AZ106+AZ110+AZ111+AZ112+AZ113+AZ114</f>
        <v>128118.02999999998</v>
      </c>
      <c r="BA115" s="41">
        <f>BA43+BA44+BA45+BA46+BA47+BA48+BA49+BA59+BA65+BA66+BA67+BA68+BA69+BA70+BA71+BA72+BA73+BA86+BA87+BA88+BA89+BA96+BA97+BA98+BA99+BA104+BA105+BA106+BA110+BA111+BA112+BA113+BA114</f>
        <v>107943.84</v>
      </c>
      <c r="BB115" s="42">
        <f>B115+C115+D115+E115+F115+G115+H115+I115+J115+K115+L115+M115+N115+O115+P115+Q115+R115+S115+T115+U115+V115+W115+X115+Y115+Z115+AA115+AB115+AC115+AD115+AE115+AF115+AG115+AH115+AI115+AJ115+AK115+AL115+AM115+AN115+AO115+AP115+AQ115+AR115+AS115+AT115+AU115+AV115+AW115+AX115+AY115+AZ115+BA115</f>
        <v>9997332.77</v>
      </c>
    </row>
    <row r="116" spans="1:54" ht="16">
      <c r="A116" s="33" t="s">
        <v>113</v>
      </c>
      <c r="B116" s="41">
        <f>B38-B115</f>
        <v>-2654.61</v>
      </c>
      <c r="C116" s="41">
        <f>C38-C115</f>
        <v>-15811.04</v>
      </c>
      <c r="D116" s="41">
        <f>D38-D115</f>
        <v>9468.68</v>
      </c>
      <c r="E116" s="41">
        <f>E38-E115</f>
        <v>66512.31</v>
      </c>
      <c r="F116" s="41">
        <f>F38-F115</f>
        <v>72389.71</v>
      </c>
      <c r="G116" s="41">
        <f>G38-G115</f>
        <v>9189.64</v>
      </c>
      <c r="H116" s="41">
        <f>H38-H115</f>
        <v>62505.43000000002</v>
      </c>
      <c r="I116" s="41">
        <f>I38-I115</f>
        <v>-105421.29000000001</v>
      </c>
      <c r="J116" s="41">
        <f>J38-J115</f>
        <v>270592.0</v>
      </c>
      <c r="K116" s="41">
        <f>K38-K115</f>
        <v>83231.32000000004</v>
      </c>
      <c r="L116" s="41">
        <f>L38-L115</f>
        <v>85480.54000000001</v>
      </c>
      <c r="M116" s="41">
        <f>M38-M115</f>
        <v>-4520.600000000035</v>
      </c>
      <c r="N116" s="41">
        <f>N38-N115</f>
        <v>60347.19</v>
      </c>
      <c r="O116" s="41">
        <f>O38-O115</f>
        <v>25739.27000000002</v>
      </c>
      <c r="P116" s="41">
        <f>P38-P115</f>
        <v>-83932.53000000003</v>
      </c>
      <c r="Q116" s="41">
        <f>Q38-Q115</f>
        <v>-53857.36999999994</v>
      </c>
      <c r="R116" s="41">
        <f>R38-R115</f>
        <v>-464878.93999999994</v>
      </c>
      <c r="S116" s="41">
        <f>S38-S115</f>
        <v>-81848.63</v>
      </c>
      <c r="T116" s="41">
        <f>T38-T115</f>
        <v>-2963.6299999999756</v>
      </c>
      <c r="U116" s="41">
        <f>U38-U115</f>
        <v>135544.98999999993</v>
      </c>
      <c r="V116" s="41">
        <f>V38-V115</f>
        <v>77392.58000000002</v>
      </c>
      <c r="W116" s="41">
        <f>W38-W115</f>
        <v>-33255.0199999999</v>
      </c>
      <c r="X116" s="41">
        <f>X38-X115</f>
        <v>-33840.5199999999</v>
      </c>
      <c r="Y116" s="41">
        <f>Y38-Y115</f>
        <v>47011.79999999996</v>
      </c>
      <c r="Z116" s="41">
        <f>Z38-Z115</f>
        <v>-98918.85000000003</v>
      </c>
      <c r="AA116" s="41">
        <f>AA38-AA115</f>
        <v>145460.9499999999</v>
      </c>
      <c r="AB116" s="41">
        <f>AB38-AB115</f>
        <v>-134702.57999999978</v>
      </c>
      <c r="AC116" s="41">
        <f>AC38-AC115</f>
        <v>-57673.9800000001</v>
      </c>
      <c r="AD116" s="41">
        <f>AD38-AD115</f>
        <v>47108.28999999992</v>
      </c>
      <c r="AE116" s="41">
        <f>AE38-AE115</f>
        <v>99856.10000000002</v>
      </c>
      <c r="AF116" s="41">
        <f>AF38-AF115</f>
        <v>-58321.73000000001</v>
      </c>
      <c r="AG116" s="41">
        <f>AG38-AG115</f>
        <v>51849.59000000001</v>
      </c>
      <c r="AH116" s="41">
        <f>AH38-AH115</f>
        <v>187687.99</v>
      </c>
      <c r="AI116" s="41">
        <f>AI38-AI115</f>
        <v>15532.880000000077</v>
      </c>
      <c r="AJ116" s="41">
        <f>AJ38-AJ115</f>
        <v>96255.52999999998</v>
      </c>
      <c r="AK116" s="41">
        <f>AK38-AK115</f>
        <v>102294.89000000001</v>
      </c>
      <c r="AL116" s="41">
        <f>AL38-AL115</f>
        <v>-55855.600000000006</v>
      </c>
      <c r="AM116" s="41">
        <f>AM38-AM115</f>
        <v>108971.93999999994</v>
      </c>
      <c r="AN116" s="41">
        <f>AN38-AN115</f>
        <v>96296.26000000001</v>
      </c>
      <c r="AO116" s="41">
        <f>AO38-AO115</f>
        <v>-122003.74999999997</v>
      </c>
      <c r="AP116" s="41">
        <f>AP38-AP115</f>
        <v>-202437.99999999997</v>
      </c>
      <c r="AQ116" s="41">
        <f>AQ38-AQ115</f>
        <v>22056.590000000026</v>
      </c>
      <c r="AR116" s="41">
        <f>AR38-AR115</f>
        <v>311944.01000000007</v>
      </c>
      <c r="AS116" s="41">
        <f>AS38-AS115</f>
        <v>-6804.610000000044</v>
      </c>
      <c r="AT116" s="41">
        <f>AT38-AT115</f>
        <v>8461.369999999995</v>
      </c>
      <c r="AU116" s="41">
        <f>AU38-AU115</f>
        <v>112177.52</v>
      </c>
      <c r="AV116" s="41">
        <f>AV38-AV115</f>
        <v>11130.76000000001</v>
      </c>
      <c r="AW116" s="41">
        <f>AW38-AW115</f>
        <v>-7219.999999999985</v>
      </c>
      <c r="AX116" s="41">
        <f>AX38-AX115</f>
        <v>16335.039999999964</v>
      </c>
      <c r="AY116" s="41">
        <f>AY38-AY115</f>
        <v>-44584.01000000004</v>
      </c>
      <c r="AZ116" s="41">
        <f>AZ38-AZ115</f>
        <v>-78974.23999999998</v>
      </c>
      <c r="BA116" s="41">
        <f>BA38-BA115</f>
        <v>158468.97000000006</v>
      </c>
      <c r="BB116" s="42">
        <f>B116+C116+D116+E116+F116+G116+H116+I116+J116+K116+L116+M116+N116+O116+P116+Q116+R116+S116+T116+U116+V116+W116+X116+Y116+Z116+AA116+AB116+AC116+AD116+AE116+AF116+AG116+AH116+AI116+AJ116+AK116+AL116+AM116+AN116+AO116+AP116+AQ116+AR116+AS116+AT116+AU116+AV116+AW116+AX116+AY116+AZ116+BA116</f>
        <v>846812.6100000002</v>
      </c>
    </row>
    <row r="117" spans="1:53" ht="16">
      <c r="A117" s="31" t="s">
        <v>114</v>
      </c>
      <c r="B117" s="39"/>
      <c r="C117" s="39"/>
      <c r="D117" s="39"/>
      <c r="E117" s="39"/>
      <c r="F117" s="39"/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Z117" s="39"/>
      <c r="AA117" s="39"/>
      <c r="AB117" s="39"/>
      <c r="AC117" s="39"/>
      <c r="AD117" s="39"/>
      <c r="AE117" s="39"/>
      <c r="AF117" s="39"/>
      <c r="AG117" s="39"/>
      <c r="AH117" s="39"/>
      <c r="AI117" s="39"/>
      <c r="AJ117" s="39"/>
      <c r="AK117" s="39"/>
      <c r="AL117" s="39"/>
      <c r="AM117" s="39"/>
      <c r="AN117" s="39"/>
      <c r="AO117" s="39"/>
      <c r="AP117" s="39"/>
      <c r="AQ117" s="39"/>
      <c r="AR117" s="39"/>
      <c r="AS117" s="39"/>
      <c r="AT117" s="39"/>
      <c r="AU117" s="39"/>
      <c r="AV117" s="39"/>
      <c r="AW117" s="39"/>
      <c r="AX117" s="39"/>
      <c r="AY117" s="39"/>
      <c r="AZ117" s="39"/>
      <c r="BA117" s="39"/>
    </row>
    <row r="118" spans="1:54" ht="16" outlineLevel="1">
      <c r="A118" s="32" t="s">
        <v>115</v>
      </c>
      <c r="B118" s="39"/>
      <c r="C118" s="39"/>
      <c r="D118" s="39"/>
      <c r="E118" s="39"/>
      <c r="F118" s="39"/>
      <c r="G118" s="39"/>
      <c r="H118" s="39"/>
      <c r="I118" s="39"/>
      <c r="J118" s="39"/>
      <c r="K118" s="39"/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39"/>
      <c r="Z118" s="39"/>
      <c r="AA118" s="39"/>
      <c r="AB118" s="39"/>
      <c r="AC118" s="39"/>
      <c r="AD118" s="39"/>
      <c r="AE118" s="39"/>
      <c r="AF118" s="39"/>
      <c r="AG118" s="39"/>
      <c r="AH118" s="39"/>
      <c r="AI118" s="39"/>
      <c r="AJ118" s="39"/>
      <c r="AK118" s="40">
        <v>140.54</v>
      </c>
      <c r="AL118" s="40">
        <v>320.97</v>
      </c>
      <c r="AM118" s="40">
        <v>311.64</v>
      </c>
      <c r="AN118" s="40">
        <v>299.09</v>
      </c>
      <c r="AO118" s="40">
        <v>438.12</v>
      </c>
      <c r="AP118" s="40">
        <v>387.58</v>
      </c>
      <c r="AQ118" s="40">
        <v>359.07</v>
      </c>
      <c r="AR118" s="40">
        <v>333.23</v>
      </c>
      <c r="AS118" s="40">
        <v>342.8</v>
      </c>
      <c r="AT118" s="40">
        <v>549.71</v>
      </c>
      <c r="AU118" s="40">
        <v>700.25</v>
      </c>
      <c r="AV118" s="40">
        <v>949.58</v>
      </c>
      <c r="AW118" s="40">
        <v>1201.71</v>
      </c>
      <c r="AX118" s="40">
        <v>489.74</v>
      </c>
      <c r="AY118" s="40">
        <v>1016.39</v>
      </c>
      <c r="AZ118" s="40">
        <v>1104.92</v>
      </c>
      <c r="BA118" s="40">
        <v>841.12</v>
      </c>
      <c r="BB118" s="40">
        <f>B118+C118+D118+E118+F118+G118+H118+I118+J118+K118+L118+M118+N118+O118+P118+Q118+R118+S118+T118+U118+V118+W118+X118+Y118+Z118+AA118+AB118+AC118+AD118+AE118+AF118+AG118+AH118+AI118+AJ118+AK118+AL118+AM118+AN118+AO118+AP118+AQ118+AR118+AS118+AT118+AU118+AV118+AW118+AX118+AY118+AZ118+BA118</f>
        <v>9786.460000000001</v>
      </c>
    </row>
    <row r="119" spans="1:54" ht="16">
      <c r="A119" s="33" t="s">
        <v>116</v>
      </c>
      <c r="B119" s="41"/>
      <c r="C119" s="41"/>
      <c r="D119" s="41"/>
      <c r="E119" s="41"/>
      <c r="F119" s="41"/>
      <c r="G119" s="41"/>
      <c r="H119" s="41"/>
      <c r="I119" s="41"/>
      <c r="J119" s="41"/>
      <c r="K119" s="41"/>
      <c r="L119" s="41"/>
      <c r="M119" s="41"/>
      <c r="N119" s="41"/>
      <c r="O119" s="41"/>
      <c r="P119" s="41"/>
      <c r="Q119" s="41"/>
      <c r="R119" s="41"/>
      <c r="S119" s="41"/>
      <c r="T119" s="41"/>
      <c r="U119" s="41"/>
      <c r="V119" s="41"/>
      <c r="W119" s="41"/>
      <c r="X119" s="41"/>
      <c r="Y119" s="41"/>
      <c r="Z119" s="41"/>
      <c r="AA119" s="41"/>
      <c r="AB119" s="41"/>
      <c r="AC119" s="41"/>
      <c r="AD119" s="41"/>
      <c r="AE119" s="41"/>
      <c r="AF119" s="41"/>
      <c r="AG119" s="41"/>
      <c r="AH119" s="41"/>
      <c r="AI119" s="41"/>
      <c r="AJ119" s="41"/>
      <c r="AK119" s="41">
        <f>AK118</f>
        <v>140.54</v>
      </c>
      <c r="AL119" s="41">
        <f>AL118</f>
        <v>320.97</v>
      </c>
      <c r="AM119" s="41">
        <f>AM118</f>
        <v>311.64</v>
      </c>
      <c r="AN119" s="41">
        <f>AN118</f>
        <v>299.09</v>
      </c>
      <c r="AO119" s="41">
        <f>AO118</f>
        <v>438.12</v>
      </c>
      <c r="AP119" s="41">
        <f>AP118</f>
        <v>387.58</v>
      </c>
      <c r="AQ119" s="41">
        <f>AQ118</f>
        <v>359.07</v>
      </c>
      <c r="AR119" s="41">
        <f>AR118</f>
        <v>333.23</v>
      </c>
      <c r="AS119" s="41">
        <f>AS118</f>
        <v>342.8</v>
      </c>
      <c r="AT119" s="41">
        <f>AT118</f>
        <v>549.71</v>
      </c>
      <c r="AU119" s="41">
        <f>AU118</f>
        <v>700.25</v>
      </c>
      <c r="AV119" s="41">
        <f>AV118</f>
        <v>949.58</v>
      </c>
      <c r="AW119" s="41">
        <f>AW118</f>
        <v>1201.71</v>
      </c>
      <c r="AX119" s="41">
        <f>AX118</f>
        <v>489.74</v>
      </c>
      <c r="AY119" s="41">
        <f>AY118</f>
        <v>1016.39</v>
      </c>
      <c r="AZ119" s="41">
        <f>AZ118</f>
        <v>1104.92</v>
      </c>
      <c r="BA119" s="41">
        <f>BA118</f>
        <v>841.12</v>
      </c>
      <c r="BB119" s="42">
        <f>B119+C119+D119+E119+F119+G119+H119+I119+J119+K119+L119+M119+N119+O119+P119+Q119+R119+S119+T119+U119+V119+W119+X119+Y119+Z119+AA119+AB119+AC119+AD119+AE119+AF119+AG119+AH119+AI119+AJ119+AK119+AL119+AM119+AN119+AO119+AP119+AQ119+AR119+AS119+AT119+AU119+AV119+AW119+AX119+AY119+AZ119+BA119</f>
        <v>9786.460000000001</v>
      </c>
    </row>
    <row r="120" spans="1:53" ht="16">
      <c r="A120" s="31" t="s">
        <v>117</v>
      </c>
      <c r="B120" s="39"/>
      <c r="C120" s="39"/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  <c r="AA120" s="39"/>
      <c r="AB120" s="39"/>
      <c r="AC120" s="39"/>
      <c r="AD120" s="39"/>
      <c r="AE120" s="39"/>
      <c r="AF120" s="39"/>
      <c r="AG120" s="39"/>
      <c r="AH120" s="39"/>
      <c r="AI120" s="39"/>
      <c r="AJ120" s="39"/>
      <c r="AK120" s="39"/>
      <c r="AL120" s="39"/>
      <c r="AM120" s="39"/>
      <c r="AN120" s="39"/>
      <c r="AO120" s="39"/>
      <c r="AP120" s="39"/>
      <c r="AQ120" s="39"/>
      <c r="AR120" s="39"/>
      <c r="AS120" s="39"/>
      <c r="AT120" s="39"/>
      <c r="AU120" s="39"/>
      <c r="AV120" s="39"/>
      <c r="AW120" s="39"/>
      <c r="AX120" s="39"/>
      <c r="AY120" s="39"/>
      <c r="AZ120" s="39"/>
      <c r="BA120" s="39"/>
    </row>
    <row r="121" spans="1:54" ht="16" outlineLevel="1">
      <c r="A121" s="32" t="s">
        <v>118</v>
      </c>
      <c r="B121" s="39"/>
      <c r="C121" s="39"/>
      <c r="D121" s="39"/>
      <c r="E121" s="39"/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40">
        <v>-6109.26</v>
      </c>
      <c r="AA121" s="39"/>
      <c r="AB121" s="40">
        <v>176.16</v>
      </c>
      <c r="AC121" s="39"/>
      <c r="AD121" s="39"/>
      <c r="AE121" s="40">
        <v>16802.68</v>
      </c>
      <c r="AF121" s="40">
        <v>347.87</v>
      </c>
      <c r="AG121" s="40">
        <v>0</v>
      </c>
      <c r="AH121" s="39"/>
      <c r="AI121" s="39"/>
      <c r="AJ121" s="39"/>
      <c r="AK121" s="39"/>
      <c r="AL121" s="39"/>
      <c r="AM121" s="39"/>
      <c r="AN121" s="39"/>
      <c r="AO121" s="39"/>
      <c r="AP121" s="40">
        <v>-4517.71</v>
      </c>
      <c r="AQ121" s="39"/>
      <c r="AR121" s="39"/>
      <c r="AS121" s="39"/>
      <c r="AT121" s="39"/>
      <c r="AU121" s="39"/>
      <c r="AV121" s="39"/>
      <c r="AW121" s="39"/>
      <c r="AX121" s="39"/>
      <c r="AY121" s="39"/>
      <c r="AZ121" s="39"/>
      <c r="BA121" s="39"/>
      <c r="BB121" s="40">
        <f>B121+C121+D121+E121+F121+G121+H121+I121+J121+K121+L121+M121+N121+O121+P121+Q121+R121+S121+T121+U121+V121+W121+X121+Y121+Z121+AA121+AB121+AC121+AD121+AE121+AF121+AG121+AH121+AI121+AJ121+AK121+AL121+AM121+AN121+AO121+AP121+AQ121+AR121+AS121+AT121+AU121+AV121+AW121+AX121+AY121+AZ121+BA121</f>
        <v>6699.740000000001</v>
      </c>
    </row>
    <row r="122" spans="1:54" ht="16" outlineLevel="1">
      <c r="A122" s="32" t="s">
        <v>119</v>
      </c>
      <c r="B122" s="39"/>
      <c r="C122" s="39"/>
      <c r="D122" s="39"/>
      <c r="E122" s="39"/>
      <c r="F122" s="39"/>
      <c r="G122" s="39"/>
      <c r="H122" s="39"/>
      <c r="I122" s="39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39"/>
      <c r="AA122" s="40">
        <v>-3500.0</v>
      </c>
      <c r="AB122" s="39"/>
      <c r="AC122" s="39"/>
      <c r="AD122" s="39"/>
      <c r="AE122" s="40">
        <v>-8000.0</v>
      </c>
      <c r="AF122" s="39"/>
      <c r="AG122" s="39"/>
      <c r="AH122" s="40">
        <v>-42724.97</v>
      </c>
      <c r="AI122" s="39"/>
      <c r="AJ122" s="39"/>
      <c r="AK122" s="39"/>
      <c r="AL122" s="39"/>
      <c r="AM122" s="39"/>
      <c r="AN122" s="39"/>
      <c r="AO122" s="39"/>
      <c r="AP122" s="40">
        <v>-73936.73</v>
      </c>
      <c r="AQ122" s="39"/>
      <c r="AR122" s="40">
        <v>-25426.47</v>
      </c>
      <c r="AS122" s="40">
        <v>351.7</v>
      </c>
      <c r="AT122" s="39"/>
      <c r="AU122" s="39"/>
      <c r="AV122" s="39"/>
      <c r="AW122" s="39"/>
      <c r="AX122" s="40">
        <v>26437.89</v>
      </c>
      <c r="AY122" s="39"/>
      <c r="AZ122" s="39"/>
      <c r="BA122" s="39"/>
      <c r="BB122" s="40">
        <f>B122+C122+D122+E122+F122+G122+H122+I122+J122+K122+L122+M122+N122+O122+P122+Q122+R122+S122+T122+U122+V122+W122+X122+Y122+Z122+AA122+AB122+AC122+AD122+AE122+AF122+AG122+AH122+AI122+AJ122+AK122+AL122+AM122+AN122+AO122+AP122+AQ122+AR122+AS122+AT122+AU122+AV122+AW122+AX122+AY122+AZ122+BA122</f>
        <v>-126798.57999999997</v>
      </c>
    </row>
    <row r="123" spans="1:54" ht="16" outlineLevel="1">
      <c r="A123" s="32" t="s">
        <v>120</v>
      </c>
      <c r="B123" s="39"/>
      <c r="C123" s="39"/>
      <c r="D123" s="39"/>
      <c r="E123" s="39"/>
      <c r="F123" s="39"/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39"/>
      <c r="AA123" s="39"/>
      <c r="AB123" s="39"/>
      <c r="AC123" s="39"/>
      <c r="AD123" s="39"/>
      <c r="AE123" s="39"/>
      <c r="AF123" s="39"/>
      <c r="AG123" s="39"/>
      <c r="AH123" s="39"/>
      <c r="AI123" s="39"/>
      <c r="AJ123" s="39"/>
      <c r="AK123" s="39"/>
      <c r="AL123" s="39"/>
      <c r="AM123" s="39"/>
      <c r="AN123" s="39"/>
      <c r="AO123" s="39"/>
      <c r="AP123" s="40">
        <v>1483.89</v>
      </c>
      <c r="AQ123" s="39"/>
      <c r="AR123" s="39"/>
      <c r="AS123" s="39"/>
      <c r="AT123" s="39"/>
      <c r="AU123" s="39"/>
      <c r="AV123" s="39"/>
      <c r="AW123" s="39"/>
      <c r="AX123" s="39"/>
      <c r="AY123" s="39"/>
      <c r="AZ123" s="39"/>
      <c r="BA123" s="39"/>
      <c r="BB123" s="40">
        <f>B123+C123+D123+E123+F123+G123+H123+I123+J123+K123+L123+M123+N123+O123+P123+Q123+R123+S123+T123+U123+V123+W123+X123+Y123+Z123+AA123+AB123+AC123+AD123+AE123+AF123+AG123+AH123+AI123+AJ123+AK123+AL123+AM123+AN123+AO123+AP123+AQ123+AR123+AS123+AT123+AU123+AV123+AW123+AX123+AY123+AZ123+BA123</f>
        <v>1483.89</v>
      </c>
    </row>
    <row r="124" spans="1:54" ht="16" outlineLevel="1">
      <c r="A124" s="32" t="s">
        <v>121</v>
      </c>
      <c r="B124" s="39"/>
      <c r="C124" s="39"/>
      <c r="D124" s="39"/>
      <c r="E124" s="39"/>
      <c r="F124" s="39"/>
      <c r="G124" s="39"/>
      <c r="H124" s="39"/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39"/>
      <c r="AA124" s="39"/>
      <c r="AB124" s="39"/>
      <c r="AC124" s="39"/>
      <c r="AD124" s="39"/>
      <c r="AE124" s="39"/>
      <c r="AF124" s="39"/>
      <c r="AG124" s="39"/>
      <c r="AH124" s="39"/>
      <c r="AI124" s="39"/>
      <c r="AJ124" s="39"/>
      <c r="AK124" s="39"/>
      <c r="AL124" s="39"/>
      <c r="AM124" s="39"/>
      <c r="AN124" s="39"/>
      <c r="AO124" s="39"/>
      <c r="AP124" s="39"/>
      <c r="AQ124" s="39"/>
      <c r="AR124" s="39"/>
      <c r="AS124" s="39"/>
      <c r="AT124" s="39"/>
      <c r="AU124" s="39"/>
      <c r="AV124" s="39"/>
      <c r="AW124" s="39"/>
      <c r="AX124" s="39"/>
      <c r="AY124" s="39"/>
      <c r="AZ124" s="39"/>
      <c r="BA124" s="39"/>
      <c r="BB124" s="39"/>
    </row>
    <row r="125" spans="1:54" ht="16" outlineLevel="2">
      <c r="A125" s="34" t="s">
        <v>122</v>
      </c>
      <c r="B125" s="39"/>
      <c r="C125" s="39"/>
      <c r="D125" s="39"/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39"/>
      <c r="AA125" s="39"/>
      <c r="AB125" s="39"/>
      <c r="AC125" s="39"/>
      <c r="AD125" s="40">
        <v>40124.07</v>
      </c>
      <c r="AE125" s="39"/>
      <c r="AF125" s="39"/>
      <c r="AG125" s="39"/>
      <c r="AH125" s="39"/>
      <c r="AI125" s="39"/>
      <c r="AJ125" s="39"/>
      <c r="AK125" s="39"/>
      <c r="AL125" s="39"/>
      <c r="AM125" s="39"/>
      <c r="AN125" s="39"/>
      <c r="AO125" s="39"/>
      <c r="AP125" s="39"/>
      <c r="AQ125" s="39"/>
      <c r="AR125" s="39"/>
      <c r="AS125" s="39"/>
      <c r="AT125" s="39"/>
      <c r="AU125" s="39"/>
      <c r="AV125" s="39"/>
      <c r="AW125" s="39"/>
      <c r="AX125" s="39"/>
      <c r="AY125" s="39"/>
      <c r="AZ125" s="39"/>
      <c r="BA125" s="39"/>
      <c r="BB125" s="40">
        <f>B125+C125+D125+E125+F125+G125+H125+I125+J125+K125+L125+M125+N125+O125+P125+Q125+R125+S125+T125+U125+V125+W125+X125+Y125+Z125+AA125+AB125+AC125+AD125+AE125+AF125+AG125+AH125+AI125+AJ125+AK125+AL125+AM125+AN125+AO125+AP125+AQ125+AR125+AS125+AT125+AU125+AV125+AW125+AX125+AY125+AZ125+BA125</f>
        <v>40124.07</v>
      </c>
    </row>
    <row r="126" spans="1:54" ht="16" outlineLevel="2">
      <c r="A126" s="34" t="s">
        <v>123</v>
      </c>
      <c r="B126" s="39"/>
      <c r="C126" s="39"/>
      <c r="D126" s="39"/>
      <c r="E126" s="39"/>
      <c r="F126" s="39"/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39"/>
      <c r="AA126" s="39"/>
      <c r="AB126" s="39"/>
      <c r="AC126" s="39"/>
      <c r="AD126" s="40">
        <v>15486.76</v>
      </c>
      <c r="AE126" s="39"/>
      <c r="AF126" s="39"/>
      <c r="AG126" s="39"/>
      <c r="AH126" s="39"/>
      <c r="AI126" s="39"/>
      <c r="AJ126" s="39"/>
      <c r="AK126" s="39"/>
      <c r="AL126" s="39"/>
      <c r="AM126" s="39"/>
      <c r="AN126" s="39"/>
      <c r="AO126" s="39"/>
      <c r="AP126" s="39"/>
      <c r="AQ126" s="39"/>
      <c r="AR126" s="39"/>
      <c r="AS126" s="39"/>
      <c r="AT126" s="39"/>
      <c r="AU126" s="39"/>
      <c r="AV126" s="39"/>
      <c r="AW126" s="39"/>
      <c r="AX126" s="39"/>
      <c r="AY126" s="39"/>
      <c r="AZ126" s="39"/>
      <c r="BA126" s="39"/>
      <c r="BB126" s="40">
        <f>B126+C126+D126+E126+F126+G126+H126+I126+J126+K126+L126+M126+N126+O126+P126+Q126+R126+S126+T126+U126+V126+W126+X126+Y126+Z126+AA126+AB126+AC126+AD126+AE126+AF126+AG126+AH126+AI126+AJ126+AK126+AL126+AM126+AN126+AO126+AP126+AQ126+AR126+AS126+AT126+AU126+AV126+AW126+AX126+AY126+AZ126+BA126</f>
        <v>15486.76</v>
      </c>
    </row>
    <row r="127" spans="1:54" ht="16" outlineLevel="1">
      <c r="A127" s="35" t="s">
        <v>124</v>
      </c>
      <c r="B127" s="41"/>
      <c r="C127" s="41"/>
      <c r="D127" s="41"/>
      <c r="E127" s="41"/>
      <c r="F127" s="41"/>
      <c r="G127" s="41"/>
      <c r="H127" s="41"/>
      <c r="I127" s="41"/>
      <c r="J127" s="41"/>
      <c r="K127" s="41"/>
      <c r="L127" s="41"/>
      <c r="M127" s="41"/>
      <c r="N127" s="41"/>
      <c r="O127" s="41"/>
      <c r="P127" s="41"/>
      <c r="Q127" s="41"/>
      <c r="R127" s="41"/>
      <c r="S127" s="41"/>
      <c r="T127" s="41"/>
      <c r="U127" s="41"/>
      <c r="V127" s="41"/>
      <c r="W127" s="41"/>
      <c r="X127" s="41"/>
      <c r="Y127" s="41"/>
      <c r="Z127" s="41"/>
      <c r="AA127" s="41"/>
      <c r="AB127" s="41"/>
      <c r="AC127" s="41"/>
      <c r="AD127" s="41">
        <f>AD124+AD125+AD126</f>
        <v>55610.83</v>
      </c>
      <c r="AE127" s="41"/>
      <c r="AF127" s="41"/>
      <c r="AG127" s="41"/>
      <c r="AH127" s="41"/>
      <c r="AI127" s="41"/>
      <c r="AJ127" s="41"/>
      <c r="AK127" s="41"/>
      <c r="AL127" s="41"/>
      <c r="AM127" s="41"/>
      <c r="AN127" s="41"/>
      <c r="AO127" s="41"/>
      <c r="AP127" s="41"/>
      <c r="AQ127" s="41"/>
      <c r="AR127" s="41"/>
      <c r="AS127" s="41"/>
      <c r="AT127" s="41"/>
      <c r="AU127" s="41"/>
      <c r="AV127" s="41"/>
      <c r="AW127" s="41"/>
      <c r="AX127" s="41"/>
      <c r="AY127" s="41"/>
      <c r="AZ127" s="41"/>
      <c r="BA127" s="41"/>
      <c r="BB127" s="42">
        <f>B127+C127+D127+E127+F127+G127+H127+I127+J127+K127+L127+M127+N127+O127+P127+Q127+R127+S127+T127+U127+V127+W127+X127+Y127+Z127+AA127+AB127+AC127+AD127+AE127+AF127+AG127+AH127+AI127+AJ127+AK127+AL127+AM127+AN127+AO127+AP127+AQ127+AR127+AS127+AT127+AU127+AV127+AW127+AX127+AY127+AZ127+BA127</f>
        <v>55610.83</v>
      </c>
    </row>
    <row r="128" spans="1:54" ht="16">
      <c r="A128" s="33" t="s">
        <v>125</v>
      </c>
      <c r="B128" s="41"/>
      <c r="C128" s="41"/>
      <c r="D128" s="41"/>
      <c r="E128" s="41"/>
      <c r="F128" s="41"/>
      <c r="G128" s="41"/>
      <c r="H128" s="41"/>
      <c r="I128" s="41"/>
      <c r="J128" s="41"/>
      <c r="K128" s="41"/>
      <c r="L128" s="41"/>
      <c r="M128" s="41"/>
      <c r="N128" s="41"/>
      <c r="O128" s="41"/>
      <c r="P128" s="41"/>
      <c r="Q128" s="41"/>
      <c r="R128" s="41"/>
      <c r="S128" s="41"/>
      <c r="T128" s="41"/>
      <c r="U128" s="41"/>
      <c r="V128" s="41"/>
      <c r="W128" s="41"/>
      <c r="X128" s="41"/>
      <c r="Y128" s="41"/>
      <c r="Z128" s="41">
        <f>Z121+Z122+Z123+Z127</f>
        <v>-6109.26</v>
      </c>
      <c r="AA128" s="41">
        <f>AA121+AA122+AA123+AA127</f>
        <v>-3500.0</v>
      </c>
      <c r="AB128" s="41">
        <f>AB121+AB122+AB123+AB127</f>
        <v>176.16</v>
      </c>
      <c r="AC128" s="41"/>
      <c r="AD128" s="41">
        <f>AD121+AD122+AD123+AD127</f>
        <v>55610.83</v>
      </c>
      <c r="AE128" s="41">
        <f>AE121+AE122+AE123+AE127</f>
        <v>8802.68</v>
      </c>
      <c r="AF128" s="41">
        <f>AF121+AF122+AF123+AF127</f>
        <v>347.87</v>
      </c>
      <c r="AG128" s="41">
        <f>AG121+AG122+AG123+AG127</f>
        <v>0.0</v>
      </c>
      <c r="AH128" s="41">
        <f>AH121+AH122+AH123+AH127</f>
        <v>-42724.97</v>
      </c>
      <c r="AI128" s="41"/>
      <c r="AJ128" s="41"/>
      <c r="AK128" s="41"/>
      <c r="AL128" s="41"/>
      <c r="AM128" s="41"/>
      <c r="AN128" s="41"/>
      <c r="AO128" s="41"/>
      <c r="AP128" s="41">
        <f>AP121+AP122+AP123+AP127</f>
        <v>-76970.55</v>
      </c>
      <c r="AQ128" s="41"/>
      <c r="AR128" s="41">
        <f>AR121+AR122+AR123+AR127</f>
        <v>-25426.47</v>
      </c>
      <c r="AS128" s="41">
        <f>AS121+AS122+AS123+AS127</f>
        <v>351.7</v>
      </c>
      <c r="AT128" s="41"/>
      <c r="AU128" s="41"/>
      <c r="AV128" s="41"/>
      <c r="AW128" s="41"/>
      <c r="AX128" s="41">
        <f>AX121+AX122+AX123+AX127</f>
        <v>26437.89</v>
      </c>
      <c r="AY128" s="41"/>
      <c r="AZ128" s="41"/>
      <c r="BA128" s="41"/>
      <c r="BB128" s="42">
        <f>B128+C128+D128+E128+F128+G128+H128+I128+J128+K128+L128+M128+N128+O128+P128+Q128+R128+S128+T128+U128+V128+W128+X128+Y128+Z128+AA128+AB128+AC128+AD128+AE128+AF128+AG128+AH128+AI128+AJ128+AK128+AL128+AM128+AN128+AO128+AP128+AQ128+AR128+AS128+AT128+AU128+AV128+AW128+AX128+AY128+AZ128+BA128</f>
        <v>-63004.119999999995</v>
      </c>
    </row>
    <row r="129" spans="1:54" ht="16">
      <c r="A129" s="33" t="s">
        <v>126</v>
      </c>
      <c r="B129" s="41"/>
      <c r="C129" s="41"/>
      <c r="D129" s="41"/>
      <c r="E129" s="41"/>
      <c r="F129" s="41"/>
      <c r="G129" s="41"/>
      <c r="H129" s="41"/>
      <c r="I129" s="41"/>
      <c r="J129" s="41"/>
      <c r="K129" s="41"/>
      <c r="L129" s="41"/>
      <c r="M129" s="41"/>
      <c r="N129" s="41"/>
      <c r="O129" s="41"/>
      <c r="P129" s="41"/>
      <c r="Q129" s="41"/>
      <c r="R129" s="41"/>
      <c r="S129" s="41"/>
      <c r="T129" s="41"/>
      <c r="U129" s="41"/>
      <c r="V129" s="41"/>
      <c r="W129" s="41"/>
      <c r="X129" s="41"/>
      <c r="Y129" s="41"/>
      <c r="Z129" s="41">
        <f>Z119-Z128</f>
        <v>6109.26</v>
      </c>
      <c r="AA129" s="41">
        <f>AA119-AA128</f>
        <v>3500.0</v>
      </c>
      <c r="AB129" s="41">
        <f>AB119-AB128</f>
        <v>-176.16</v>
      </c>
      <c r="AC129" s="41"/>
      <c r="AD129" s="41">
        <f>AD119-AD128</f>
        <v>-55610.83</v>
      </c>
      <c r="AE129" s="41">
        <f>AE119-AE128</f>
        <v>-8802.68</v>
      </c>
      <c r="AF129" s="41">
        <f>AF119-AF128</f>
        <v>-347.87</v>
      </c>
      <c r="AG129" s="41">
        <f>AG119-AG128</f>
        <v>0.0</v>
      </c>
      <c r="AH129" s="41">
        <f>AH119-AH128</f>
        <v>42724.97</v>
      </c>
      <c r="AI129" s="41"/>
      <c r="AJ129" s="41"/>
      <c r="AK129" s="41">
        <f>AK119-AK128</f>
        <v>140.54</v>
      </c>
      <c r="AL129" s="41">
        <f>AL119-AL128</f>
        <v>320.97</v>
      </c>
      <c r="AM129" s="41">
        <f>AM119-AM128</f>
        <v>311.64</v>
      </c>
      <c r="AN129" s="41">
        <f>AN119-AN128</f>
        <v>299.09</v>
      </c>
      <c r="AO129" s="41">
        <f>AO119-AO128</f>
        <v>438.12</v>
      </c>
      <c r="AP129" s="41">
        <f>AP119-AP128</f>
        <v>77358.13</v>
      </c>
      <c r="AQ129" s="41">
        <f>AQ119-AQ128</f>
        <v>359.07</v>
      </c>
      <c r="AR129" s="41">
        <f>AR119-AR128</f>
        <v>25759.7</v>
      </c>
      <c r="AS129" s="41">
        <f>AS119-AS128</f>
        <v>-8.899999999999977</v>
      </c>
      <c r="AT129" s="41">
        <f>AT119-AT128</f>
        <v>549.71</v>
      </c>
      <c r="AU129" s="41">
        <f>AU119-AU128</f>
        <v>700.25</v>
      </c>
      <c r="AV129" s="41">
        <f>AV119-AV128</f>
        <v>949.58</v>
      </c>
      <c r="AW129" s="41">
        <f>AW119-AW128</f>
        <v>1201.71</v>
      </c>
      <c r="AX129" s="41">
        <f>AX119-AX128</f>
        <v>-25948.149999999998</v>
      </c>
      <c r="AY129" s="41">
        <f>AY119-AY128</f>
        <v>1016.39</v>
      </c>
      <c r="AZ129" s="41">
        <f>AZ119-AZ128</f>
        <v>1104.92</v>
      </c>
      <c r="BA129" s="41">
        <f>BA119-BA128</f>
        <v>841.12</v>
      </c>
      <c r="BB129" s="42">
        <f>B129+C129+D129+E129+F129+G129+H129+I129+J129+K129+L129+M129+N129+O129+P129+Q129+R129+S129+T129+U129+V129+W129+X129+Y129+Z129+AA129+AB129+AC129+AD129+AE129+AF129+AG129+AH129+AI129+AJ129+AK129+AL129+AM129+AN129+AO129+AP129+AQ129+AR129+AS129+AT129+AU129+AV129+AW129+AX129+AY129+AZ129+BA129</f>
        <v>72790.58000000002</v>
      </c>
    </row>
    <row r="130" spans="1:54" ht="16">
      <c r="A130" s="33" t="s">
        <v>127</v>
      </c>
      <c r="B130" s="41">
        <f>B116+B129</f>
        <v>-2654.61</v>
      </c>
      <c r="C130" s="41">
        <f>C116+C129</f>
        <v>-15811.04</v>
      </c>
      <c r="D130" s="41">
        <f>D116+D129</f>
        <v>9468.68</v>
      </c>
      <c r="E130" s="41">
        <f>E116+E129</f>
        <v>66512.31</v>
      </c>
      <c r="F130" s="41">
        <f>F116+F129</f>
        <v>72389.71</v>
      </c>
      <c r="G130" s="41">
        <f>G116+G129</f>
        <v>9189.64</v>
      </c>
      <c r="H130" s="41">
        <f>H116+H129</f>
        <v>62505.43000000002</v>
      </c>
      <c r="I130" s="41">
        <f>I116+I129</f>
        <v>-105421.29000000001</v>
      </c>
      <c r="J130" s="41">
        <f>J116+J129</f>
        <v>270592.0</v>
      </c>
      <c r="K130" s="41">
        <f>K116+K129</f>
        <v>83231.32000000004</v>
      </c>
      <c r="L130" s="41">
        <f>L116+L129</f>
        <v>85480.54000000001</v>
      </c>
      <c r="M130" s="41">
        <f>M116+M129</f>
        <v>-4520.600000000035</v>
      </c>
      <c r="N130" s="41">
        <f>N116+N129</f>
        <v>60347.19</v>
      </c>
      <c r="O130" s="41">
        <f>O116+O129</f>
        <v>25739.27000000002</v>
      </c>
      <c r="P130" s="41">
        <f>P116+P129</f>
        <v>-83932.53000000003</v>
      </c>
      <c r="Q130" s="41">
        <f>Q116+Q129</f>
        <v>-53857.36999999994</v>
      </c>
      <c r="R130" s="41">
        <f>R116+R129</f>
        <v>-464878.93999999994</v>
      </c>
      <c r="S130" s="41">
        <f>S116+S129</f>
        <v>-81848.63</v>
      </c>
      <c r="T130" s="41">
        <f>T116+T129</f>
        <v>-2963.6299999999756</v>
      </c>
      <c r="U130" s="41">
        <f>U116+U129</f>
        <v>135544.98999999993</v>
      </c>
      <c r="V130" s="41">
        <f>V116+V129</f>
        <v>77392.58000000002</v>
      </c>
      <c r="W130" s="41">
        <f>W116+W129</f>
        <v>-33255.0199999999</v>
      </c>
      <c r="X130" s="41">
        <f>X116+X129</f>
        <v>-33840.5199999999</v>
      </c>
      <c r="Y130" s="41">
        <f>Y116+Y129</f>
        <v>47011.79999999996</v>
      </c>
      <c r="Z130" s="41">
        <f>Z116+Z129</f>
        <v>-92809.59000000004</v>
      </c>
      <c r="AA130" s="41">
        <f>AA116+AA129</f>
        <v>148960.9499999999</v>
      </c>
      <c r="AB130" s="41">
        <f>AB116+AB129</f>
        <v>-134878.7399999998</v>
      </c>
      <c r="AC130" s="41">
        <f>AC116+AC129</f>
        <v>-57673.9800000001</v>
      </c>
      <c r="AD130" s="41">
        <f>AD116+AD129</f>
        <v>-8502.54000000008</v>
      </c>
      <c r="AE130" s="41">
        <f>AE116+AE129</f>
        <v>91053.42000000001</v>
      </c>
      <c r="AF130" s="41">
        <f>AF116+AF129</f>
        <v>-58669.60000000001</v>
      </c>
      <c r="AG130" s="41">
        <f>AG116+AG129</f>
        <v>51849.59000000001</v>
      </c>
      <c r="AH130" s="41">
        <f>AH116+AH129</f>
        <v>230412.96</v>
      </c>
      <c r="AI130" s="41">
        <f>AI116+AI129</f>
        <v>15532.880000000077</v>
      </c>
      <c r="AJ130" s="41">
        <f>AJ116+AJ129</f>
        <v>96255.52999999998</v>
      </c>
      <c r="AK130" s="41">
        <f>AK116+AK129</f>
        <v>102435.43000000001</v>
      </c>
      <c r="AL130" s="41">
        <f>AL116+AL129</f>
        <v>-55534.630000000005</v>
      </c>
      <c r="AM130" s="41">
        <f>AM116+AM129</f>
        <v>109283.57999999994</v>
      </c>
      <c r="AN130" s="41">
        <f>AN116+AN129</f>
        <v>96595.35</v>
      </c>
      <c r="AO130" s="41">
        <f>AO116+AO129</f>
        <v>-121565.62999999998</v>
      </c>
      <c r="AP130" s="41">
        <f>AP116+AP129</f>
        <v>-125079.86999999997</v>
      </c>
      <c r="AQ130" s="41">
        <f>AQ116+AQ129</f>
        <v>22415.660000000025</v>
      </c>
      <c r="AR130" s="41">
        <f>AR116+AR129</f>
        <v>337703.7100000001</v>
      </c>
      <c r="AS130" s="41">
        <f>AS116+AS129</f>
        <v>-6813.510000000044</v>
      </c>
      <c r="AT130" s="41">
        <f>AT116+AT129</f>
        <v>9011.079999999994</v>
      </c>
      <c r="AU130" s="41">
        <f>AU116+AU129</f>
        <v>112877.77</v>
      </c>
      <c r="AV130" s="41">
        <f>AV116+AV129</f>
        <v>12080.34000000001</v>
      </c>
      <c r="AW130" s="41">
        <f>AW116+AW129</f>
        <v>-6018.289999999985</v>
      </c>
      <c r="AX130" s="41">
        <f>AX116+AX129</f>
        <v>-9613.110000000033</v>
      </c>
      <c r="AY130" s="41">
        <f>AY116+AY129</f>
        <v>-43567.62000000004</v>
      </c>
      <c r="AZ130" s="41">
        <f>AZ116+AZ129</f>
        <v>-77869.31999999998</v>
      </c>
      <c r="BA130" s="41">
        <f>BA116+BA129</f>
        <v>159310.09000000005</v>
      </c>
      <c r="BB130" s="42">
        <f>B130+C130+D130+E130+F130+G130+H130+I130+J130+K130+L130+M130+N130+O130+P130+Q130+R130+S130+T130+U130+V130+W130+X130+Y130+Z130+AA130+AB130+AC130+AD130+AE130+AF130+AG130+AH130+AI130+AJ130+AK130+AL130+AM130+AN130+AO130+AP130+AQ130+AR130+AS130+AT130+AU130+AV130+AW130+AX130+AY130+AZ130+BA130</f>
        <v>919603.1900000003</v>
      </c>
    </row>
    <row r="134" spans="1:1" ht="16">
      <c r="A134" s="43" t="s">
        <v>182</v>
      </c>
    </row>
  </sheetData>
  <mergeCells count="4">
    <mergeCell ref="A1:BB1"/>
    <mergeCell ref="A2:BB2"/>
    <mergeCell ref="A3:BB3"/>
    <mergeCell ref="A134:BB134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Microsoft Office User</cp:lastModifiedBy>
  <dcterms:created xsi:type="dcterms:W3CDTF">2022-03-24T08:55:57Z</dcterms:created>
  <dcterms:modified xsi:type="dcterms:W3CDTF">2022-03-30T09:41:57Z</dcterms:modified>
  <cp:category/>
</cp:coreProperties>
</file>