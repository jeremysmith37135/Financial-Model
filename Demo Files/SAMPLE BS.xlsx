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23" i="1" l="1"/>
</calcChain>
</file>

<file path=xl/sharedStrings.xml><?xml version="1.0" encoding="utf-8"?>
<sst xmlns="http://schemas.openxmlformats.org/spreadsheetml/2006/main" count="135" uniqueCount="135">
  <si>
    <t>Balance Sheet</t>
  </si>
  <si>
    <t>AMP Quality Energy Services</t>
  </si>
  <si>
    <t>As of December 31, 2024</t>
  </si>
  <si>
    <t>Assets</t>
  </si>
  <si>
    <t>Current Assets</t>
  </si>
  <si>
    <t>Bank Accounts</t>
  </si>
  <si>
    <t>1000 UCBI Operating (2844)</t>
  </si>
  <si>
    <t>1010 UCBI Payroll (2851)</t>
  </si>
  <si>
    <t>1014 UCBI Holding (1738)</t>
  </si>
  <si>
    <t>1019 UCBI Freedom (0011) (deleted)</t>
  </si>
  <si>
    <t>1030 UCBI Prombo (1746)</t>
  </si>
  <si>
    <t>1051 Investments</t>
  </si>
  <si>
    <t>1099 zClearing (should be $0)</t>
  </si>
  <si>
    <t>Total for Bank Accounts</t>
  </si>
  <si>
    <t>Accounts Receivable</t>
  </si>
  <si>
    <t>1100 Accounts Receivable</t>
  </si>
  <si>
    <t>Total for Accounts Receivable</t>
  </si>
  <si>
    <t>Other Current Assets</t>
  </si>
  <si>
    <t>1101 Undeposited Funds</t>
  </si>
  <si>
    <t>1150 Due From Calibration</t>
  </si>
  <si>
    <t>1155 Due from Armadillo</t>
  </si>
  <si>
    <t>1250 Employee Advances</t>
  </si>
  <si>
    <t>1255 Employee Repayment</t>
  </si>
  <si>
    <t>Total for Other Current Assets</t>
  </si>
  <si>
    <t>Total for Current Assets</t>
  </si>
  <si>
    <t>Fixed Assets</t>
  </si>
  <si>
    <t>1500 Company Assets</t>
  </si>
  <si>
    <t>1510 Machinery &amp; Equipment</t>
  </si>
  <si>
    <t>1530 Furniture and Small Equipment</t>
  </si>
  <si>
    <t>1600 Buildings</t>
  </si>
  <si>
    <t>1601 AMP New Building #1</t>
  </si>
  <si>
    <t>1602 AMP New Building #2</t>
  </si>
  <si>
    <t>1603 Building Renovations</t>
  </si>
  <si>
    <t>Total for 1600 Buildings</t>
  </si>
  <si>
    <t>1700 Computers &amp; Software</t>
  </si>
  <si>
    <t>1800 Automobiles &amp; Trucks</t>
  </si>
  <si>
    <t>1805 Truck 26 - 2018 Ford F150</t>
  </si>
  <si>
    <t>1801 Truck 22 - 2022 Ford Bronco</t>
  </si>
  <si>
    <t>Total for 1800 Automobiles &amp; Trucks</t>
  </si>
  <si>
    <t>1899 Accumulated Depreciation</t>
  </si>
  <si>
    <t>Total for 1500 Company Assets</t>
  </si>
  <si>
    <t>Total for Fixed Assets</t>
  </si>
  <si>
    <t>Other Assets</t>
  </si>
  <si>
    <t>1925 Atlis Motors Inc</t>
  </si>
  <si>
    <t>1950 Trademarks</t>
  </si>
  <si>
    <t>Total for Other Assets</t>
  </si>
  <si>
    <t>Total for Assets</t>
  </si>
  <si>
    <t>Liabilities and Equity</t>
  </si>
  <si>
    <t>Liabilities</t>
  </si>
  <si>
    <t>Current Liabilities</t>
  </si>
  <si>
    <t>Accounts Payable</t>
  </si>
  <si>
    <t>Credit Cards</t>
  </si>
  <si>
    <t>2100 Pcard Billing (1784)</t>
  </si>
  <si>
    <t>2105 CC Billing (1707)</t>
  </si>
  <si>
    <t>2110 Brian Rodgers AMEX Bonvoy</t>
  </si>
  <si>
    <t>2111 Brian Rodgers AMEX Green</t>
  </si>
  <si>
    <t>2112 Brian Rodgers Amex (1000) Delta</t>
  </si>
  <si>
    <t>2130 B.Rodgers (7408) Chase Ink Intl Group</t>
  </si>
  <si>
    <t>2131 M.Prombo (7416) Chase Ink Intl</t>
  </si>
  <si>
    <t>2132 L.Wright (2564) Chase</t>
  </si>
  <si>
    <t>2133 R.Bennett (4397) Chase</t>
  </si>
  <si>
    <t>2134 B Rodgers (8621) Chase</t>
  </si>
  <si>
    <t>2140 Brian (7718) Citi Diamond Preferred</t>
  </si>
  <si>
    <t>2150 Brian Discover IT Card</t>
  </si>
  <si>
    <t>Total for Credit Cards</t>
  </si>
  <si>
    <t>Other Current Liabilities</t>
  </si>
  <si>
    <t>2250 LOC - United Community Bank (4344)</t>
  </si>
  <si>
    <t>2300A Payroll Tax Liabilities OLD (deleted)</t>
  </si>
  <si>
    <t>2300 Payroll Tax Liabilities</t>
  </si>
  <si>
    <t>2301 941</t>
  </si>
  <si>
    <t>2302 940</t>
  </si>
  <si>
    <t>2303 AL Withholding</t>
  </si>
  <si>
    <t>2304 AL Unemployment Tax</t>
  </si>
  <si>
    <t>2310 GA Income Tax</t>
  </si>
  <si>
    <t>2311 GA Unemployment Tax</t>
  </si>
  <si>
    <t>2312 MD Income Tax</t>
  </si>
  <si>
    <t>2313 MD Unemployment Tax</t>
  </si>
  <si>
    <t>2314 TN Unemployment Taxes</t>
  </si>
  <si>
    <t>Total for 2300 Payroll Tax Liabilities</t>
  </si>
  <si>
    <t>2350 Benefits Payable</t>
  </si>
  <si>
    <t>2351 Dental Insurance</t>
  </si>
  <si>
    <t>2352 Vision Insurance</t>
  </si>
  <si>
    <t>2353 Short-Term Disability</t>
  </si>
  <si>
    <t>2354 Voluntary Life Insurance</t>
  </si>
  <si>
    <t>2355 Critical Illness/Accident/Hospital Indemnity</t>
  </si>
  <si>
    <t>2356 Health Insurance- EE+DEP</t>
  </si>
  <si>
    <t>2360 Simple IRA (B Rodgers)</t>
  </si>
  <si>
    <t>Total for 2350 Benefits Payable</t>
  </si>
  <si>
    <t>2530 City of Decatur Payable</t>
  </si>
  <si>
    <t>2536 Sales Tax Agency Payable</t>
  </si>
  <si>
    <t>2560 Tennessee Department of Revenue Payable</t>
  </si>
  <si>
    <t>2570 Note-Byline Financial Group (201036) $2,203.24 120 Generator (deleted)</t>
  </si>
  <si>
    <t>Direct Deposit Payable</t>
  </si>
  <si>
    <t>Total for Other Current Liabilities</t>
  </si>
  <si>
    <t>Total for Current Liabilities</t>
  </si>
  <si>
    <t>Long-term Liabilities</t>
  </si>
  <si>
    <t>2600 Loans from Shareholders</t>
  </si>
  <si>
    <t>2910 Note - Kubota Tractor $388.44</t>
  </si>
  <si>
    <t>2921 Note - UCB (0000) $673.75 Truck 13 (deleted)</t>
  </si>
  <si>
    <t>2922 Note - UCB (0200) $939.25 Truck 14 (deleted)</t>
  </si>
  <si>
    <t>2923 Note - UCB (1700) $795.19 Truck 15 (deleted)</t>
  </si>
  <si>
    <t>2924 Note - UCB (1900) $1373.19 Truck 17</t>
  </si>
  <si>
    <t>2925 Note - UCB (2100) $1206.15 Truck 19</t>
  </si>
  <si>
    <t>2926 Note - UCB (6800) $1580.19 Truck 20</t>
  </si>
  <si>
    <t>2927 Note - UCB (1000) $1783.08 Truck 21</t>
  </si>
  <si>
    <t>2928 Note - UCB (1772) $1296.19 Truck 22</t>
  </si>
  <si>
    <t>2929 Note - Chase (5918) $721.37 Truck 23</t>
  </si>
  <si>
    <t>2931 Note - Bank Ind 1016.34 TRUCK 26</t>
  </si>
  <si>
    <t>2932 Note - Santander (4970) $2140.42 Truck 27</t>
  </si>
  <si>
    <t>2942 Note - UCB (4343) SPI-4000</t>
  </si>
  <si>
    <t>2943 Note - Kubota Credit (4957) $2225.02 Skid Loader</t>
  </si>
  <si>
    <t>2900 EIDL SBA Loan (8201)</t>
  </si>
  <si>
    <t>Total for Long-term Liabilities</t>
  </si>
  <si>
    <t>Total for Liabilities</t>
  </si>
  <si>
    <t>Equity</t>
  </si>
  <si>
    <t>3200 Shareholder Calibration</t>
  </si>
  <si>
    <t>3300 Shareholder Distributions</t>
  </si>
  <si>
    <t>3900 Retained Earnings</t>
  </si>
  <si>
    <t>Net Income</t>
  </si>
  <si>
    <t>Total for Equity</t>
  </si>
  <si>
    <t>Total for Liabilities and Equity</t>
  </si>
  <si>
    <t>Distribution account</t>
  </si>
  <si>
    <t>January 2024</t>
  </si>
  <si>
    <t>February 2024</t>
  </si>
  <si>
    <t>March 2024</t>
  </si>
  <si>
    <t>April 2024</t>
  </si>
  <si>
    <t>May 2024</t>
  </si>
  <si>
    <t>June 2024</t>
  </si>
  <si>
    <t>July 2024</t>
  </si>
  <si>
    <t>August 2024</t>
  </si>
  <si>
    <t>September 2024</t>
  </si>
  <si>
    <t>October 2024</t>
  </si>
  <si>
    <t>November 2024</t>
  </si>
  <si>
    <t>December 2024</t>
  </si>
  <si>
    <t>Cash Basis Sunday, November 23, 2025 09:20 PM GMT-06:00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</si>
</sst>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#,##0.00"/>
  </numFmts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57">
    <xf numFmtId="0" fontId="0" fillId="0" borderId="0" xfId="0"/>
    <xf numFmtId="0" fontId="2" fillId="0" borderId="0" xfId="0" applyFont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0" fontId="0" fillId="0" borderId="0" xfId="0" applyAlignment="1">
      <alignment horizontal="left" indent="2"/>
    </xf>
    <xf numFmtId="0" fontId="3" fillId="0" borderId="0" xfId="0" applyFont="1" applyAlignment="1">
      <alignment horizontal="left" indent="2"/>
    </xf>
    <xf numFmtId="0" fontId="0" fillId="0" borderId="0" xfId="0" applyAlignment="1">
      <alignment horizontal="left" indent="3"/>
    </xf>
    <xf numFmtId="0" fontId="3" fillId="0" borderId="0" xfId="0" applyFont="1" applyAlignment="1">
      <alignment horizontal="left" indent="3"/>
    </xf>
    <xf numFmtId="177" fontId="0" fillId="0" borderId="0" xfId="0" applyNumberFormat="1"/>
    <xf numFmtId="177" fontId="3" fillId="0" borderId="0" xfId="0" applyNumberFormat="1" applyFont="1"/>
    <xf numFmtId="0" fontId="2" fillId="0" borderId="0" xfId="0" applyFont="1" applyAlignment="1">
      <alignment horizontal="left" indent="2"/>
    </xf>
    <xf numFmtId="0" fontId="4" fillId="0" borderId="0" xfId="0" applyFont="1" applyAlignment="1">
      <alignment horizontal="left" indent="2"/>
    </xf>
    <xf numFmtId="177" fontId="2" fillId="0" borderId="0" xfId="0" applyNumberFormat="1" applyFont="1"/>
    <xf numFmtId="177" fontId="2" fillId="0" borderId="2" xfId="0" applyNumberFormat="1" applyFont="1" applyBorder="1"/>
    <xf numFmtId="177" fontId="4" fillId="0" borderId="2" xfId="0" applyNumberFormat="1" applyFont="1" applyBorder="1"/>
    <xf numFmtId="0" fontId="2" fillId="0" borderId="0" xfId="0" applyFont="1" applyAlignment="1">
      <alignment horizontal="left" indent="1"/>
    </xf>
    <xf numFmtId="0" fontId="4" fillId="0" borderId="0" xfId="0" applyFont="1" applyAlignment="1">
      <alignment horizontal="left" indent="1"/>
    </xf>
    <xf numFmtId="0" fontId="0" fillId="0" borderId="0" xfId="0" applyAlignment="1">
      <alignment horizontal="left" indent="4"/>
    </xf>
    <xf numFmtId="0" fontId="3" fillId="0" borderId="0" xfId="0" applyFont="1" applyAlignment="1">
      <alignment horizontal="left" indent="4"/>
    </xf>
    <xf numFmtId="0" fontId="2" fillId="0" borderId="0" xfId="0" applyFont="1" applyAlignment="1">
      <alignment horizontal="left" indent="3"/>
    </xf>
    <xf numFmtId="0" fontId="4" fillId="0" borderId="0" xfId="0" applyFont="1" applyAlignment="1">
      <alignment horizontal="left" indent="3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0" fillId="0" borderId="0" xfId="0" applyAlignment="1">
      <alignment horizontal="left" indent="5"/>
    </xf>
    <xf numFmtId="0" fontId="3" fillId="0" borderId="0" xfId="0" applyFont="1" applyAlignment="1">
      <alignment horizontal="left" indent="5"/>
    </xf>
    <xf numFmtId="0" fontId="2" fillId="0" borderId="0" xfId="0" applyFont="1" applyAlignment="1">
      <alignment horizontal="left" indent="4"/>
    </xf>
    <xf numFmtId="0" fontId="4" fillId="0" borderId="0" xfId="0" applyFont="1" applyAlignment="1">
      <alignment horizontal="left" indent="4"/>
    </xf>
    <xf numFmtId="0" fontId="2" fillId="0" borderId="1" xfId="20">
      <alignment/>
      <protection/>
    </xf>
    <xf numFmtId="0" fontId="5" fillId="0" borderId="1" xfId="20" applyFont="1">
      <alignment/>
      <protection/>
    </xf>
    <xf numFmtId="0" fontId="8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5" fillId="0" borderId="1" xfId="20" applyFont="1" applyAlignment="1">
      <alignment wrapText="1"/>
      <protection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 wrapText="1" indent="1"/>
    </xf>
    <xf numFmtId="0" fontId="3" fillId="0" borderId="0" xfId="0" applyFont="1" applyAlignment="1">
      <alignment horizontal="left" wrapText="1" indent="2"/>
    </xf>
    <xf numFmtId="0" fontId="3" fillId="0" borderId="0" xfId="0" applyFont="1" applyAlignment="1">
      <alignment horizontal="left" wrapText="1" indent="3"/>
    </xf>
    <xf numFmtId="0" fontId="4" fillId="0" borderId="0" xfId="0" applyFont="1" applyAlignment="1">
      <alignment horizontal="left" wrapText="1" indent="2"/>
    </xf>
    <xf numFmtId="0" fontId="4" fillId="0" borderId="0" xfId="0" applyFont="1" applyAlignment="1">
      <alignment horizontal="left" wrapText="1" indent="1"/>
    </xf>
    <xf numFmtId="0" fontId="3" fillId="0" borderId="0" xfId="0" applyFont="1" applyAlignment="1">
      <alignment horizontal="left" wrapText="1" indent="4"/>
    </xf>
    <xf numFmtId="0" fontId="4" fillId="0" borderId="0" xfId="0" applyFont="1" applyAlignment="1">
      <alignment horizontal="left" wrapText="1" indent="3"/>
    </xf>
    <xf numFmtId="0" fontId="4" fillId="0" borderId="0" xfId="0" applyFont="1" applyAlignment="1">
      <alignment horizontal="left" wrapText="1"/>
    </xf>
    <xf numFmtId="0" fontId="3" fillId="0" borderId="0" xfId="0" applyFont="1" applyAlignment="1">
      <alignment horizontal="left" wrapText="1" indent="5"/>
    </xf>
    <xf numFmtId="0" fontId="4" fillId="0" borderId="0" xfId="0" applyFont="1" applyAlignment="1">
      <alignment horizontal="left" wrapText="1" indent="4"/>
    </xf>
    <xf numFmtId="0" fontId="0" fillId="0" borderId="0" xfId="0" applyAlignment="1">
      <alignment wrapText="1"/>
    </xf>
    <xf numFmtId="0" fontId="5" fillId="0" borderId="1" xfId="20" applyFont="1" applyBorder="1" applyAlignment="1">
      <alignment wrapText="1"/>
      <protection/>
    </xf>
    <xf numFmtId="0" fontId="5" fillId="0" borderId="1" xfId="20" applyFont="1" applyBorder="1" applyAlignment="1">
      <alignment horizontal="center" wrapText="1"/>
      <protection/>
    </xf>
    <xf numFmtId="0" fontId="3" fillId="0" borderId="0" xfId="0" applyFont="1" applyAlignment="1">
      <alignment wrapText="1"/>
    </xf>
    <xf numFmtId="177" fontId="3" fillId="0" borderId="0" xfId="0" applyNumberFormat="1" applyFont="1" applyAlignment="1">
      <alignment wrapText="1"/>
    </xf>
    <xf numFmtId="177" fontId="4" fillId="0" borderId="2" xfId="0" applyNumberFormat="1" applyFont="1" applyBorder="1" applyAlignment="1">
      <alignment wrapText="1"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M127"/>
  <sheetViews>
    <sheetView tabSelected="1" workbookViewId="0" topLeftCell="A1"/>
  </sheetViews>
  <sheetFormatPr defaultColWidth="11.255" defaultRowHeight="16" outlineLevelRow="5"/>
  <cols>
    <col min="1" max="1" width="65.125" style="50" customWidth="1"/>
    <col min="2" max="2" width="16.125" style="50" customWidth="1"/>
    <col min="3" max="13" width="20.375" style="50" customWidth="1"/>
  </cols>
  <sheetData>
    <row r="1" spans="1:1" ht="16">
      <c r="A1" s="35" t="s">
        <v>0</v>
      </c>
    </row>
    <row r="2" spans="1:1" ht="16">
      <c r="A2" s="36" t="s">
        <v>1</v>
      </c>
    </row>
    <row r="3" spans="1:1" ht="16">
      <c r="A3" s="37" t="s">
        <v>2</v>
      </c>
    </row>
    <row r="5" spans="1:13" ht="16">
      <c r="A5" s="52" t="s">
        <v>121</v>
      </c>
      <c r="B5" s="52" t="s">
        <v>122</v>
      </c>
      <c r="C5" s="52" t="s">
        <v>123</v>
      </c>
      <c r="D5" s="52" t="s">
        <v>124</v>
      </c>
      <c r="E5" s="52" t="s">
        <v>125</v>
      </c>
      <c r="F5" s="52" t="s">
        <v>126</v>
      </c>
      <c r="G5" s="52" t="s">
        <v>127</v>
      </c>
      <c r="H5" s="52" t="s">
        <v>128</v>
      </c>
      <c r="I5" s="52" t="s">
        <v>129</v>
      </c>
      <c r="J5" s="52" t="s">
        <v>130</v>
      </c>
      <c r="K5" s="52" t="s">
        <v>131</v>
      </c>
      <c r="L5" s="52" t="s">
        <v>132</v>
      </c>
      <c r="M5" s="52" t="s">
        <v>133</v>
      </c>
    </row>
    <row r="6" spans="1:13" ht="16">
      <c r="A6" s="39" t="s">
        <v>3</v>
      </c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</row>
    <row r="7" spans="1:13" ht="16" outlineLevel="1">
      <c r="A7" s="40" t="s">
        <v>4</v>
      </c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</row>
    <row r="8" spans="1:13" ht="16" outlineLevel="2">
      <c r="A8" s="41" t="s">
        <v>5</v>
      </c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</row>
    <row r="9" spans="1:13" ht="16" outlineLevel="3">
      <c r="A9" s="42" t="s">
        <v>6</v>
      </c>
      <c r="B9" s="54">
        <v>170906.45</v>
      </c>
      <c r="C9" s="54">
        <v>38882.110000000015</v>
      </c>
      <c r="D9" s="54">
        <v>266297.2</v>
      </c>
      <c r="E9" s="54">
        <v>199553.96000000002</v>
      </c>
      <c r="F9" s="54">
        <v>85836.18000000002</v>
      </c>
      <c r="G9" s="54">
        <v>95201.50000000003</v>
      </c>
      <c r="H9" s="54">
        <v>130676.08000000003</v>
      </c>
      <c r="I9" s="54">
        <v>119943.55000000003</v>
      </c>
      <c r="J9" s="54">
        <v>46425.340000000026</v>
      </c>
      <c r="K9" s="54">
        <v>-8497.939999999973</v>
      </c>
      <c r="L9" s="54">
        <v>81723.61000000003</v>
      </c>
      <c r="M9" s="54">
        <v>88856.63000000003</v>
      </c>
    </row>
    <row r="10" spans="1:13" ht="16" outlineLevel="3">
      <c r="A10" s="42" t="s">
        <v>7</v>
      </c>
      <c r="B10" s="54">
        <v>67327.54</v>
      </c>
      <c r="C10" s="54">
        <v>111570.9</v>
      </c>
      <c r="D10" s="54">
        <v>44014.39</v>
      </c>
      <c r="E10" s="54">
        <v>27414.66</v>
      </c>
      <c r="F10" s="54">
        <v>19608.72</v>
      </c>
      <c r="G10" s="54">
        <v>30857.88</v>
      </c>
      <c r="H10" s="54">
        <v>40649.64</v>
      </c>
      <c r="I10" s="54">
        <v>74883.38</v>
      </c>
      <c r="J10" s="54">
        <v>85720.77</v>
      </c>
      <c r="K10" s="54">
        <v>71650.02</v>
      </c>
      <c r="L10" s="54">
        <v>84307.65000000001</v>
      </c>
      <c r="M10" s="54">
        <v>220900.89</v>
      </c>
    </row>
    <row r="11" spans="1:13" ht="16" outlineLevel="3">
      <c r="A11" s="42" t="s">
        <v>8</v>
      </c>
      <c r="B11" s="54">
        <v>576.7400000000198</v>
      </c>
      <c r="C11" s="54">
        <v>576.7400000000198</v>
      </c>
      <c r="D11" s="54">
        <v>576.7400000000198</v>
      </c>
      <c r="E11" s="54">
        <v>576.7400000000198</v>
      </c>
      <c r="F11" s="54">
        <v>152576.74000000002</v>
      </c>
      <c r="G11" s="54">
        <v>576.7400000000198</v>
      </c>
      <c r="H11" s="54">
        <v>576.7400000000198</v>
      </c>
      <c r="I11" s="54">
        <v>576.7400000000198</v>
      </c>
      <c r="J11" s="54">
        <v>576.7400000000198</v>
      </c>
      <c r="K11" s="54">
        <v>576.7400000000198</v>
      </c>
      <c r="L11" s="54">
        <v>576.7400000000198</v>
      </c>
      <c r="M11" s="54">
        <v>576.7400000000198</v>
      </c>
    </row>
    <row r="12" spans="1:13" ht="16" outlineLevel="3">
      <c r="A12" s="42" t="s">
        <v>9</v>
      </c>
      <c r="B12" s="54">
        <v>184.52</v>
      </c>
      <c r="C12" s="54">
        <v>184.52</v>
      </c>
      <c r="D12" s="54">
        <v>184.52</v>
      </c>
      <c r="E12" s="54">
        <v>184.52</v>
      </c>
      <c r="F12" s="54">
        <v>184.52</v>
      </c>
      <c r="G12" s="54">
        <v>8278.95</v>
      </c>
      <c r="H12" s="54">
        <v>8278.95</v>
      </c>
      <c r="I12" s="54">
        <v>184.52000000000044</v>
      </c>
      <c r="J12" s="54">
        <v>184.52000000000044</v>
      </c>
      <c r="K12" s="54">
        <v>184.52000000000044</v>
      </c>
      <c r="L12" s="54">
        <v>184.52000000000044</v>
      </c>
      <c r="M12" s="54">
        <v>4.263256414560601E-13</v>
      </c>
    </row>
    <row r="13" spans="1:13" ht="16" outlineLevel="3">
      <c r="A13" s="42" t="s">
        <v>10</v>
      </c>
      <c r="B13" s="54">
        <v>74408.73</v>
      </c>
      <c r="C13" s="54">
        <v>44635.659999999996</v>
      </c>
      <c r="D13" s="54">
        <v>80738.68</v>
      </c>
      <c r="E13" s="54">
        <v>66160.7</v>
      </c>
      <c r="F13" s="54">
        <v>61137.03</v>
      </c>
      <c r="G13" s="54">
        <v>61137.03</v>
      </c>
      <c r="H13" s="54">
        <v>74852.4</v>
      </c>
      <c r="I13" s="54">
        <v>33815.409999999996</v>
      </c>
      <c r="J13" s="54">
        <v>185099.48</v>
      </c>
      <c r="K13" s="54">
        <v>134696.97</v>
      </c>
      <c r="L13" s="54">
        <v>105320.82</v>
      </c>
      <c r="M13" s="54">
        <v>111902.34000000001</v>
      </c>
    </row>
    <row r="14" spans="1:13" ht="16" outlineLevel="3">
      <c r="A14" s="42" t="s">
        <v>11</v>
      </c>
      <c r="B14" s="54">
        <v>0</v>
      </c>
      <c r="C14" s="54">
        <v>0</v>
      </c>
      <c r="D14" s="54">
        <v>0</v>
      </c>
      <c r="E14" s="54">
        <v>0</v>
      </c>
      <c r="F14" s="54">
        <v>0</v>
      </c>
      <c r="G14" s="54">
        <v>0</v>
      </c>
      <c r="H14" s="54">
        <v>0</v>
      </c>
      <c r="I14" s="54">
        <v>0</v>
      </c>
      <c r="J14" s="54">
        <v>0</v>
      </c>
      <c r="K14" s="54">
        <v>0</v>
      </c>
      <c r="L14" s="54">
        <v>0</v>
      </c>
      <c r="M14" s="54">
        <v>0</v>
      </c>
    </row>
    <row r="15" spans="1:13" ht="16" outlineLevel="3">
      <c r="A15" s="42" t="s">
        <v>12</v>
      </c>
      <c r="B15" s="54">
        <v>0</v>
      </c>
      <c r="C15" s="54">
        <v>0</v>
      </c>
      <c r="D15" s="54">
        <v>0</v>
      </c>
      <c r="E15" s="54">
        <v>-555.0</v>
      </c>
      <c r="F15" s="54">
        <v>1431.83</v>
      </c>
      <c r="G15" s="54">
        <v>1431.83</v>
      </c>
      <c r="H15" s="54">
        <v>5520.76</v>
      </c>
      <c r="I15" s="54">
        <v>0</v>
      </c>
      <c r="J15" s="54">
        <v>0</v>
      </c>
      <c r="K15" s="54">
        <v>0</v>
      </c>
      <c r="L15" s="54">
        <v>0</v>
      </c>
      <c r="M15" s="54">
        <v>0</v>
      </c>
    </row>
    <row r="16" spans="1:13" ht="16" outlineLevel="2">
      <c r="A16" s="43" t="s">
        <v>13</v>
      </c>
      <c r="B16" s="55">
        <f>B8+B9+B10+B11+B12+B13+B14+B15</f>
        <v>313403.98</v>
      </c>
      <c r="C16" s="55">
        <f>C8+C9+C10+C11+C12+C13+C14+C15</f>
        <v>195849.93000000002</v>
      </c>
      <c r="D16" s="55">
        <f>D8+D9+D10+D11+D12+D13+D14+D15</f>
        <v>391811.5300000001</v>
      </c>
      <c r="E16" s="55">
        <f>E8+E9+E10+E11+E12+E13+E14+E15</f>
        <v>293335.58</v>
      </c>
      <c r="F16" s="55">
        <f>F8+F9+F10+F11+F12+F13+F14+F15</f>
        <v>320775.0200000001</v>
      </c>
      <c r="G16" s="55">
        <f>G8+G9+G10+G11+G12+G13+G14+G15</f>
        <v>197483.93000000005</v>
      </c>
      <c r="H16" s="55">
        <f>H8+H9+H10+H11+H12+H13+H14+H15</f>
        <v>260554.57000000007</v>
      </c>
      <c r="I16" s="55">
        <f>I8+I9+I10+I11+I12+I13+I14+I15</f>
        <v>229403.60000000006</v>
      </c>
      <c r="J16" s="55">
        <f>J8+J9+J10+J11+J12+J13+J14+J15</f>
        <v>318006.8500000001</v>
      </c>
      <c r="K16" s="55">
        <f>K8+K9+K10+K11+K12+K13+K14+K15</f>
        <v>198610.31000000006</v>
      </c>
      <c r="L16" s="55">
        <f>L8+L9+L10+L11+L12+L13+L14+L15</f>
        <v>272113.3400000001</v>
      </c>
      <c r="M16" s="55">
        <f>M8+M9+M10+M11+M12+M13+M14+M15</f>
        <v>422236.60000000003</v>
      </c>
    </row>
    <row r="17" spans="1:13" ht="16" outlineLevel="2">
      <c r="A17" s="41" t="s">
        <v>14</v>
      </c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</row>
    <row r="18" spans="1:13" ht="16" outlineLevel="3">
      <c r="A18" s="42" t="s">
        <v>15</v>
      </c>
      <c r="B18" s="54">
        <v>0</v>
      </c>
      <c r="C18" s="54">
        <v>0</v>
      </c>
      <c r="D18" s="54">
        <v>0</v>
      </c>
      <c r="E18" s="54">
        <v>0</v>
      </c>
      <c r="F18" s="54">
        <v>0</v>
      </c>
      <c r="G18" s="54">
        <v>0</v>
      </c>
      <c r="H18" s="54">
        <v>0</v>
      </c>
      <c r="I18" s="54">
        <v>0</v>
      </c>
      <c r="J18" s="54">
        <v>0</v>
      </c>
      <c r="K18" s="54">
        <v>0</v>
      </c>
      <c r="L18" s="54">
        <v>0</v>
      </c>
      <c r="M18" s="54">
        <v>0</v>
      </c>
    </row>
    <row r="19" spans="1:13" ht="16" outlineLevel="2">
      <c r="A19" s="43" t="s">
        <v>16</v>
      </c>
      <c r="B19" s="55">
        <f>B17+B18</f>
        <v>0.0</v>
      </c>
      <c r="C19" s="55">
        <f>C17+C18</f>
        <v>0.0</v>
      </c>
      <c r="D19" s="55">
        <f>D17+D18</f>
        <v>0.0</v>
      </c>
      <c r="E19" s="55">
        <f>E17+E18</f>
        <v>0.0</v>
      </c>
      <c r="F19" s="55">
        <f>F17+F18</f>
        <v>0.0</v>
      </c>
      <c r="G19" s="55">
        <f>G17+G18</f>
        <v>0.0</v>
      </c>
      <c r="H19" s="55">
        <f>H17+H18</f>
        <v>0.0</v>
      </c>
      <c r="I19" s="55">
        <f>I17+I18</f>
        <v>0.0</v>
      </c>
      <c r="J19" s="55">
        <f>J17+J18</f>
        <v>0.0</v>
      </c>
      <c r="K19" s="55">
        <f>K17+K18</f>
        <v>0.0</v>
      </c>
      <c r="L19" s="55">
        <f>L17+L18</f>
        <v>0.0</v>
      </c>
      <c r="M19" s="55">
        <f>M17+M18</f>
        <v>0.0</v>
      </c>
    </row>
    <row r="20" spans="1:13" ht="16" outlineLevel="2">
      <c r="A20" s="41" t="s">
        <v>17</v>
      </c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</row>
    <row r="21" spans="1:13" ht="16" outlineLevel="3">
      <c r="A21" s="42" t="s">
        <v>18</v>
      </c>
      <c r="B21" s="54">
        <v>0</v>
      </c>
      <c r="C21" s="54">
        <v>0</v>
      </c>
      <c r="D21" s="54">
        <v>0</v>
      </c>
      <c r="E21" s="54">
        <v>0</v>
      </c>
      <c r="F21" s="54">
        <v>1846.0</v>
      </c>
      <c r="G21" s="54">
        <v>0</v>
      </c>
      <c r="H21" s="54">
        <v>0</v>
      </c>
      <c r="I21" s="54">
        <v>0</v>
      </c>
      <c r="J21" s="54">
        <v>0</v>
      </c>
      <c r="K21" s="54">
        <v>0</v>
      </c>
      <c r="L21" s="54">
        <v>0</v>
      </c>
      <c r="M21" s="54">
        <v>0</v>
      </c>
    </row>
    <row r="22" spans="1:13" ht="16" outlineLevel="3">
      <c r="A22" s="42" t="s">
        <v>19</v>
      </c>
      <c r="B22" s="54">
        <v>747.38</v>
      </c>
      <c r="C22" s="54">
        <v>747.38</v>
      </c>
      <c r="D22" s="54">
        <v>19358.440000000002</v>
      </c>
      <c r="E22" s="54">
        <v>28221.74</v>
      </c>
      <c r="F22" s="54">
        <v>25189.74</v>
      </c>
      <c r="G22" s="54">
        <v>30189.74</v>
      </c>
      <c r="H22" s="54">
        <v>30189.74</v>
      </c>
      <c r="I22" s="54">
        <v>28003.050000000003</v>
      </c>
      <c r="J22" s="54">
        <v>28003.050000000003</v>
      </c>
      <c r="K22" s="54">
        <v>28003.050000000003</v>
      </c>
      <c r="L22" s="54">
        <v>28003.050000000003</v>
      </c>
      <c r="M22" s="54">
        <v>28187.570000000003</v>
      </c>
    </row>
    <row r="23" spans="1:13" ht="16" outlineLevel="3">
      <c r="A23" s="42" t="s">
        <v>20</v>
      </c>
      <c r="B23" s="53"/>
      <c r="C23" s="53"/>
      <c r="D23" s="53"/>
      <c r="E23" s="53"/>
      <c r="F23" s="54">
        <v>11849.0</v>
      </c>
      <c r="G23" s="54">
        <v>11849.0</v>
      </c>
      <c r="H23" s="54">
        <v>11849.0</v>
      </c>
      <c r="I23" s="54">
        <v>11849.0</v>
      </c>
      <c r="J23" s="54">
        <v>11849.0</v>
      </c>
      <c r="K23" s="54">
        <v>11849.0</v>
      </c>
      <c r="L23" s="54">
        <v>11849.0</v>
      </c>
      <c r="M23" s="54">
        <v>11849.0</v>
      </c>
    </row>
    <row r="24" spans="1:13" ht="16" outlineLevel="3">
      <c r="A24" s="42" t="s">
        <v>21</v>
      </c>
      <c r="B24" s="54">
        <v>0</v>
      </c>
      <c r="C24" s="54">
        <v>0</v>
      </c>
      <c r="D24" s="54">
        <v>0</v>
      </c>
      <c r="E24" s="54">
        <v>0</v>
      </c>
      <c r="F24" s="54">
        <v>0</v>
      </c>
      <c r="G24" s="54">
        <v>0</v>
      </c>
      <c r="H24" s="54">
        <v>0</v>
      </c>
      <c r="I24" s="54">
        <v>0</v>
      </c>
      <c r="J24" s="54">
        <v>0</v>
      </c>
      <c r="K24" s="54">
        <v>0</v>
      </c>
      <c r="L24" s="54">
        <v>0</v>
      </c>
      <c r="M24" s="54">
        <v>0</v>
      </c>
    </row>
    <row r="25" spans="1:13" ht="16" outlineLevel="3">
      <c r="A25" s="42" t="s">
        <v>22</v>
      </c>
      <c r="B25" s="54">
        <v>0</v>
      </c>
      <c r="C25" s="54">
        <v>0</v>
      </c>
      <c r="D25" s="54">
        <v>0</v>
      </c>
      <c r="E25" s="54">
        <v>0</v>
      </c>
      <c r="F25" s="54">
        <v>0</v>
      </c>
      <c r="G25" s="54">
        <v>0</v>
      </c>
      <c r="H25" s="54">
        <v>0</v>
      </c>
      <c r="I25" s="54">
        <v>0</v>
      </c>
      <c r="J25" s="54">
        <v>0</v>
      </c>
      <c r="K25" s="54">
        <v>0</v>
      </c>
      <c r="L25" s="54">
        <v>0</v>
      </c>
      <c r="M25" s="54">
        <v>0</v>
      </c>
    </row>
    <row r="26" spans="1:13" ht="16" outlineLevel="2">
      <c r="A26" s="43" t="s">
        <v>23</v>
      </c>
      <c r="B26" s="55">
        <f>B20+B21+B22+B23+B24+B25</f>
        <v>747.38</v>
      </c>
      <c r="C26" s="55">
        <f>C20+C21+C22+C23+C24+C25</f>
        <v>747.38</v>
      </c>
      <c r="D26" s="55">
        <f>D20+D21+D22+D23+D24+D25</f>
        <v>19358.440000000002</v>
      </c>
      <c r="E26" s="55">
        <f>E20+E21+E22+E23+E24+E25</f>
        <v>28221.74</v>
      </c>
      <c r="F26" s="55">
        <f>F20+F21+F22+F23+F24+F25</f>
        <v>38884.740000000005</v>
      </c>
      <c r="G26" s="55">
        <f>G20+G21+G22+G23+G24+G25</f>
        <v>42038.740000000005</v>
      </c>
      <c r="H26" s="55">
        <f>H20+H21+H22+H23+H24+H25</f>
        <v>42038.740000000005</v>
      </c>
      <c r="I26" s="55">
        <f>I20+I21+I22+I23+I24+I25</f>
        <v>39852.05</v>
      </c>
      <c r="J26" s="55">
        <f>J20+J21+J22+J23+J24+J25</f>
        <v>39852.05</v>
      </c>
      <c r="K26" s="55">
        <f>K20+K21+K22+K23+K24+K25</f>
        <v>39852.05</v>
      </c>
      <c r="L26" s="55">
        <f>L20+L21+L22+L23+L24+L25</f>
        <v>39852.05</v>
      </c>
      <c r="M26" s="55">
        <f>M20+M21+M22+M23+M24+M25</f>
        <v>40036.57000000001</v>
      </c>
    </row>
    <row r="27" spans="1:13" ht="16" outlineLevel="1">
      <c r="A27" s="44" t="s">
        <v>24</v>
      </c>
      <c r="B27" s="55">
        <f>B7+B16+B19+B26</f>
        <v>314151.36</v>
      </c>
      <c r="C27" s="55">
        <f>C7+C16+C19+C26</f>
        <v>196597.31000000003</v>
      </c>
      <c r="D27" s="55">
        <f>D7+D16+D19+D26</f>
        <v>411169.9700000001</v>
      </c>
      <c r="E27" s="55">
        <f>E7+E16+E19+E26</f>
        <v>321557.32</v>
      </c>
      <c r="F27" s="55">
        <f>F7+F16+F19+F26</f>
        <v>359659.76000000007</v>
      </c>
      <c r="G27" s="55">
        <f>G7+G16+G19+G26</f>
        <v>239522.67000000004</v>
      </c>
      <c r="H27" s="55">
        <f>H7+H16+H19+H26</f>
        <v>302593.31000000006</v>
      </c>
      <c r="I27" s="55">
        <f>I7+I16+I19+I26</f>
        <v>269255.6500000001</v>
      </c>
      <c r="J27" s="55">
        <f>J7+J16+J19+J26</f>
        <v>357858.9000000001</v>
      </c>
      <c r="K27" s="55">
        <f>K7+K16+K19+K26</f>
        <v>238462.36000000004</v>
      </c>
      <c r="L27" s="55">
        <f>L7+L16+L19+L26</f>
        <v>311965.3900000001</v>
      </c>
      <c r="M27" s="55">
        <f>M7+M16+M19+M26</f>
        <v>462273.17000000004</v>
      </c>
    </row>
    <row r="28" spans="1:13" ht="16" outlineLevel="1">
      <c r="A28" s="40" t="s">
        <v>25</v>
      </c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</row>
    <row r="29" spans="1:13" ht="16" outlineLevel="2">
      <c r="A29" s="41" t="s">
        <v>26</v>
      </c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</row>
    <row r="30" spans="1:13" ht="16" outlineLevel="3">
      <c r="A30" s="42" t="s">
        <v>27</v>
      </c>
      <c r="B30" s="54">
        <v>887944.59</v>
      </c>
      <c r="C30" s="54">
        <v>887944.59</v>
      </c>
      <c r="D30" s="54">
        <v>887944.59</v>
      </c>
      <c r="E30" s="54">
        <v>887944.59</v>
      </c>
      <c r="F30" s="54">
        <v>887944.59</v>
      </c>
      <c r="G30" s="54">
        <v>887944.59</v>
      </c>
      <c r="H30" s="54">
        <v>887944.59</v>
      </c>
      <c r="I30" s="54">
        <v>887944.59</v>
      </c>
      <c r="J30" s="54">
        <v>979155.2</v>
      </c>
      <c r="K30" s="54">
        <v>1007973.58</v>
      </c>
      <c r="L30" s="54">
        <v>1007973.58</v>
      </c>
      <c r="M30" s="54">
        <v>798927.5499999999</v>
      </c>
    </row>
    <row r="31" spans="1:13" ht="16" outlineLevel="3">
      <c r="A31" s="42" t="s">
        <v>28</v>
      </c>
      <c r="B31" s="54">
        <v>23657.12</v>
      </c>
      <c r="C31" s="54">
        <v>23657.12</v>
      </c>
      <c r="D31" s="54">
        <v>23657.12</v>
      </c>
      <c r="E31" s="54">
        <v>23657.12</v>
      </c>
      <c r="F31" s="54">
        <v>23657.12</v>
      </c>
      <c r="G31" s="54">
        <v>23657.12</v>
      </c>
      <c r="H31" s="54">
        <v>23657.12</v>
      </c>
      <c r="I31" s="54">
        <v>23657.12</v>
      </c>
      <c r="J31" s="54">
        <v>23657.12</v>
      </c>
      <c r="K31" s="54">
        <v>23657.12</v>
      </c>
      <c r="L31" s="54">
        <v>23657.12</v>
      </c>
      <c r="M31" s="54">
        <v>4995.450000000001</v>
      </c>
    </row>
    <row r="32" spans="1:13" ht="16" outlineLevel="3">
      <c r="A32" s="42" t="s">
        <v>29</v>
      </c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</row>
    <row r="33" spans="1:13" ht="16" outlineLevel="4">
      <c r="A33" s="45" t="s">
        <v>30</v>
      </c>
      <c r="B33" s="54">
        <v>54871.06</v>
      </c>
      <c r="C33" s="54">
        <v>54871.06</v>
      </c>
      <c r="D33" s="54">
        <v>54871.06</v>
      </c>
      <c r="E33" s="54">
        <v>54871.06</v>
      </c>
      <c r="F33" s="54">
        <v>54871.06</v>
      </c>
      <c r="G33" s="54">
        <v>54871.06</v>
      </c>
      <c r="H33" s="54">
        <v>54871.06</v>
      </c>
      <c r="I33" s="54">
        <v>54871.06</v>
      </c>
      <c r="J33" s="54">
        <v>54871.06</v>
      </c>
      <c r="K33" s="54">
        <v>54871.06</v>
      </c>
      <c r="L33" s="54">
        <v>54871.06</v>
      </c>
      <c r="M33" s="54">
        <v>0</v>
      </c>
    </row>
    <row r="34" spans="1:13" ht="16" outlineLevel="4">
      <c r="A34" s="45" t="s">
        <v>31</v>
      </c>
      <c r="B34" s="54">
        <v>18384.43</v>
      </c>
      <c r="C34" s="54">
        <v>18384.43</v>
      </c>
      <c r="D34" s="54">
        <v>18384.43</v>
      </c>
      <c r="E34" s="54">
        <v>18384.43</v>
      </c>
      <c r="F34" s="54">
        <v>18384.43</v>
      </c>
      <c r="G34" s="54">
        <v>18384.43</v>
      </c>
      <c r="H34" s="54">
        <v>18384.43</v>
      </c>
      <c r="I34" s="54">
        <v>18384.43</v>
      </c>
      <c r="J34" s="54">
        <v>18384.43</v>
      </c>
      <c r="K34" s="54">
        <v>18384.43</v>
      </c>
      <c r="L34" s="54">
        <v>18384.43</v>
      </c>
      <c r="M34" s="54">
        <v>0</v>
      </c>
    </row>
    <row r="35" spans="1:13" ht="16" outlineLevel="4">
      <c r="A35" s="45" t="s">
        <v>32</v>
      </c>
      <c r="B35" s="54">
        <v>103275.77</v>
      </c>
      <c r="C35" s="54">
        <v>172805.96000000002</v>
      </c>
      <c r="D35" s="54">
        <v>172805.96000000002</v>
      </c>
      <c r="E35" s="54">
        <v>172805.96000000002</v>
      </c>
      <c r="F35" s="54">
        <v>172805.96000000002</v>
      </c>
      <c r="G35" s="54">
        <v>172805.96000000002</v>
      </c>
      <c r="H35" s="54">
        <v>172805.96000000002</v>
      </c>
      <c r="I35" s="54">
        <v>172805.96000000002</v>
      </c>
      <c r="J35" s="54">
        <v>172805.96000000002</v>
      </c>
      <c r="K35" s="54">
        <v>193555.96000000002</v>
      </c>
      <c r="L35" s="54">
        <v>193555.96000000002</v>
      </c>
      <c r="M35" s="54">
        <v>193555.96000000002</v>
      </c>
    </row>
    <row r="36" spans="1:13" ht="16" outlineLevel="3">
      <c r="A36" s="46" t="s">
        <v>33</v>
      </c>
      <c r="B36" s="55">
        <f>B32+B33+B34+B35</f>
        <v>176531.26</v>
      </c>
      <c r="C36" s="55">
        <f>C32+C33+C34+C35</f>
        <v>246061.45</v>
      </c>
      <c r="D36" s="55">
        <f>D32+D33+D34+D35</f>
        <v>246061.45</v>
      </c>
      <c r="E36" s="55">
        <f>E32+E33+E34+E35</f>
        <v>246061.45</v>
      </c>
      <c r="F36" s="55">
        <f>F32+F33+F34+F35</f>
        <v>246061.45</v>
      </c>
      <c r="G36" s="55">
        <f>G32+G33+G34+G35</f>
        <v>246061.45</v>
      </c>
      <c r="H36" s="55">
        <f>H32+H33+H34+H35</f>
        <v>246061.45</v>
      </c>
      <c r="I36" s="55">
        <f>I32+I33+I34+I35</f>
        <v>246061.45</v>
      </c>
      <c r="J36" s="55">
        <f>J32+J33+J34+J35</f>
        <v>246061.45</v>
      </c>
      <c r="K36" s="55">
        <f>K32+K33+K34+K35</f>
        <v>266811.45</v>
      </c>
      <c r="L36" s="55">
        <f>L32+L33+L34+L35</f>
        <v>266811.45</v>
      </c>
      <c r="M36" s="55">
        <f>M32+M33+M34+M35</f>
        <v>193555.96000000002</v>
      </c>
    </row>
    <row r="37" spans="1:13" ht="16" outlineLevel="3">
      <c r="A37" s="42" t="s">
        <v>34</v>
      </c>
      <c r="B37" s="54">
        <v>33286.22</v>
      </c>
      <c r="C37" s="54">
        <v>33286.22</v>
      </c>
      <c r="D37" s="54">
        <v>33286.22</v>
      </c>
      <c r="E37" s="54">
        <v>33286.22</v>
      </c>
      <c r="F37" s="54">
        <v>33286.22</v>
      </c>
      <c r="G37" s="54">
        <v>33286.22</v>
      </c>
      <c r="H37" s="54">
        <v>33286.22</v>
      </c>
      <c r="I37" s="54">
        <v>33286.22</v>
      </c>
      <c r="J37" s="54">
        <v>33286.22</v>
      </c>
      <c r="K37" s="54">
        <v>38358.3</v>
      </c>
      <c r="L37" s="54">
        <v>47272.060000000005</v>
      </c>
      <c r="M37" s="54">
        <v>41549.47</v>
      </c>
    </row>
    <row r="38" spans="1:13" ht="16" outlineLevel="3">
      <c r="A38" s="42" t="s">
        <v>35</v>
      </c>
      <c r="B38" s="54">
        <v>761069.27</v>
      </c>
      <c r="C38" s="54">
        <v>761069.27</v>
      </c>
      <c r="D38" s="54">
        <v>761069.27</v>
      </c>
      <c r="E38" s="54">
        <v>761069.27</v>
      </c>
      <c r="F38" s="54">
        <v>811454.27</v>
      </c>
      <c r="G38" s="54">
        <v>932344.27</v>
      </c>
      <c r="H38" s="54">
        <v>932344.27</v>
      </c>
      <c r="I38" s="54">
        <v>932344.27</v>
      </c>
      <c r="J38" s="54">
        <v>932344.27</v>
      </c>
      <c r="K38" s="54">
        <v>932344.27</v>
      </c>
      <c r="L38" s="54">
        <v>932344.27</v>
      </c>
      <c r="M38" s="54">
        <v>916024.9</v>
      </c>
    </row>
    <row r="39" spans="1:13" ht="16" outlineLevel="4">
      <c r="A39" s="45" t="s">
        <v>36</v>
      </c>
      <c r="B39" s="54">
        <v>48500.0</v>
      </c>
      <c r="C39" s="54">
        <v>48500.0</v>
      </c>
      <c r="D39" s="54">
        <v>48500.0</v>
      </c>
      <c r="E39" s="54">
        <v>48500.0</v>
      </c>
      <c r="F39" s="54">
        <v>48500.0</v>
      </c>
      <c r="G39" s="54">
        <v>48500.0</v>
      </c>
      <c r="H39" s="54">
        <v>48500.0</v>
      </c>
      <c r="I39" s="54">
        <v>48500.0</v>
      </c>
      <c r="J39" s="54">
        <v>48500.0</v>
      </c>
      <c r="K39" s="54">
        <v>48500.0</v>
      </c>
      <c r="L39" s="54">
        <v>48500.0</v>
      </c>
      <c r="M39" s="54">
        <v>48500.0</v>
      </c>
    </row>
    <row r="40" spans="1:13" ht="16" outlineLevel="4">
      <c r="A40" s="45" t="s">
        <v>37</v>
      </c>
      <c r="B40" s="54">
        <v>70555.56</v>
      </c>
      <c r="C40" s="54">
        <v>70555.56</v>
      </c>
      <c r="D40" s="54">
        <v>70555.56</v>
      </c>
      <c r="E40" s="54">
        <v>70555.56</v>
      </c>
      <c r="F40" s="54">
        <v>70555.56</v>
      </c>
      <c r="G40" s="54">
        <v>70555.56</v>
      </c>
      <c r="H40" s="54">
        <v>70555.56</v>
      </c>
      <c r="I40" s="54">
        <v>70555.56</v>
      </c>
      <c r="J40" s="54">
        <v>70555.56</v>
      </c>
      <c r="K40" s="54">
        <v>70555.56</v>
      </c>
      <c r="L40" s="54">
        <v>70555.56</v>
      </c>
      <c r="M40" s="54">
        <v>70555.56</v>
      </c>
    </row>
    <row r="41" spans="1:13" ht="16" outlineLevel="3">
      <c r="A41" s="46" t="s">
        <v>38</v>
      </c>
      <c r="B41" s="55">
        <f>B38+B39+B40</f>
        <v>880124.8300000001</v>
      </c>
      <c r="C41" s="55">
        <f>C38+C39+C40</f>
        <v>880124.8300000001</v>
      </c>
      <c r="D41" s="55">
        <f>D38+D39+D40</f>
        <v>880124.8300000001</v>
      </c>
      <c r="E41" s="55">
        <f>E38+E39+E40</f>
        <v>880124.8300000001</v>
      </c>
      <c r="F41" s="55">
        <f>F38+F39+F40</f>
        <v>930509.8300000001</v>
      </c>
      <c r="G41" s="55">
        <f>G38+G39+G40</f>
        <v>1051399.83</v>
      </c>
      <c r="H41" s="55">
        <f>H38+H39+H40</f>
        <v>1051399.83</v>
      </c>
      <c r="I41" s="55">
        <f>I38+I39+I40</f>
        <v>1051399.83</v>
      </c>
      <c r="J41" s="55">
        <f>J38+J39+J40</f>
        <v>1051399.83</v>
      </c>
      <c r="K41" s="55">
        <f>K38+K39+K40</f>
        <v>1051399.83</v>
      </c>
      <c r="L41" s="55">
        <f>L38+L39+L40</f>
        <v>1051399.83</v>
      </c>
      <c r="M41" s="55">
        <f>M38+M39+M40</f>
        <v>1035080.46</v>
      </c>
    </row>
    <row r="42" spans="1:13" ht="16" outlineLevel="3">
      <c r="A42" s="42" t="s">
        <v>39</v>
      </c>
      <c r="B42" s="54">
        <v>-1047115.16</v>
      </c>
      <c r="C42" s="54">
        <v>-1047115.16</v>
      </c>
      <c r="D42" s="54">
        <v>-1047115.16</v>
      </c>
      <c r="E42" s="54">
        <v>-1047115.16</v>
      </c>
      <c r="F42" s="54">
        <v>-1047115.16</v>
      </c>
      <c r="G42" s="54">
        <v>-1047115.16</v>
      </c>
      <c r="H42" s="54">
        <v>-1047115.16</v>
      </c>
      <c r="I42" s="54">
        <v>-1047115.16</v>
      </c>
      <c r="J42" s="54">
        <v>-1047115.16</v>
      </c>
      <c r="K42" s="54">
        <v>-1047115.16</v>
      </c>
      <c r="L42" s="54">
        <v>-1047115.16</v>
      </c>
      <c r="M42" s="54">
        <v>-991109.9</v>
      </c>
    </row>
    <row r="43" spans="1:13" ht="16" outlineLevel="2">
      <c r="A43" s="43" t="s">
        <v>40</v>
      </c>
      <c r="B43" s="55">
        <f>B29+B30+B31+B36+B37+B41+B42</f>
        <v>954428.86</v>
      </c>
      <c r="C43" s="55">
        <f>C29+C30+C31+C36+C37+C41+C42</f>
        <v>1023959.0499999999</v>
      </c>
      <c r="D43" s="55">
        <f>D29+D30+D31+D36+D37+D41+D42</f>
        <v>1023959.0499999999</v>
      </c>
      <c r="E43" s="55">
        <f>E29+E30+E31+E36+E37+E41+E42</f>
        <v>1023959.0499999999</v>
      </c>
      <c r="F43" s="55">
        <f>F29+F30+F31+F36+F37+F41+F42</f>
        <v>1074344.0499999998</v>
      </c>
      <c r="G43" s="55">
        <f>G29+G30+G31+G36+G37+G41+G42</f>
        <v>1195234.0499999998</v>
      </c>
      <c r="H43" s="55">
        <f>H29+H30+H31+H36+H37+H41+H42</f>
        <v>1195234.0499999998</v>
      </c>
      <c r="I43" s="55">
        <f>I29+I30+I31+I36+I37+I41+I42</f>
        <v>1195234.0499999998</v>
      </c>
      <c r="J43" s="55">
        <f>J29+J30+J31+J36+J37+J41+J42</f>
        <v>1286444.6600000001</v>
      </c>
      <c r="K43" s="55">
        <f>K29+K30+K31+K36+K37+K41+K42</f>
        <v>1341085.12</v>
      </c>
      <c r="L43" s="55">
        <f>L29+L30+L31+L36+L37+L41+L42</f>
        <v>1349998.88</v>
      </c>
      <c r="M43" s="55">
        <f>M29+M30+M31+M36+M37+M41+M42</f>
        <v>1082998.9899999998</v>
      </c>
    </row>
    <row r="44" spans="1:13" ht="16" outlineLevel="1">
      <c r="A44" s="44" t="s">
        <v>41</v>
      </c>
      <c r="B44" s="55">
        <f>B28+B43</f>
        <v>954428.86</v>
      </c>
      <c r="C44" s="55">
        <f>C28+C43</f>
        <v>1023959.0499999999</v>
      </c>
      <c r="D44" s="55">
        <f>D28+D43</f>
        <v>1023959.0499999999</v>
      </c>
      <c r="E44" s="55">
        <f>E28+E43</f>
        <v>1023959.0499999999</v>
      </c>
      <c r="F44" s="55">
        <f>F28+F43</f>
        <v>1074344.0499999998</v>
      </c>
      <c r="G44" s="55">
        <f>G28+G43</f>
        <v>1195234.0499999998</v>
      </c>
      <c r="H44" s="55">
        <f>H28+H43</f>
        <v>1195234.0499999998</v>
      </c>
      <c r="I44" s="55">
        <f>I28+I43</f>
        <v>1195234.0499999998</v>
      </c>
      <c r="J44" s="55">
        <f>J28+J43</f>
        <v>1286444.6600000001</v>
      </c>
      <c r="K44" s="55">
        <f>K28+K43</f>
        <v>1341085.12</v>
      </c>
      <c r="L44" s="55">
        <f>L28+L43</f>
        <v>1349998.88</v>
      </c>
      <c r="M44" s="55">
        <f>M28+M43</f>
        <v>1082998.9899999998</v>
      </c>
    </row>
    <row r="45" spans="1:13" ht="16" outlineLevel="1">
      <c r="A45" s="40" t="s">
        <v>42</v>
      </c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</row>
    <row r="46" spans="1:13" ht="16" outlineLevel="2">
      <c r="A46" s="41" t="s">
        <v>43</v>
      </c>
      <c r="B46" s="54">
        <v>824.0</v>
      </c>
      <c r="C46" s="54">
        <v>824.0</v>
      </c>
      <c r="D46" s="54">
        <v>824.0</v>
      </c>
      <c r="E46" s="54">
        <v>824.0</v>
      </c>
      <c r="F46" s="54">
        <v>824.0</v>
      </c>
      <c r="G46" s="54">
        <v>824.0</v>
      </c>
      <c r="H46" s="54">
        <v>824.0</v>
      </c>
      <c r="I46" s="54">
        <v>824.0</v>
      </c>
      <c r="J46" s="54">
        <v>824.0</v>
      </c>
      <c r="K46" s="54">
        <v>824.0</v>
      </c>
      <c r="L46" s="54">
        <v>824.0</v>
      </c>
      <c r="M46" s="54">
        <v>0</v>
      </c>
    </row>
    <row r="47" spans="1:13" ht="16" outlineLevel="2">
      <c r="A47" s="41" t="s">
        <v>44</v>
      </c>
      <c r="B47" s="53"/>
      <c r="C47" s="53"/>
      <c r="D47" s="53"/>
      <c r="E47" s="54">
        <v>700.0</v>
      </c>
      <c r="F47" s="54">
        <v>700.0</v>
      </c>
      <c r="G47" s="54">
        <v>700.0</v>
      </c>
      <c r="H47" s="54">
        <v>700.0</v>
      </c>
      <c r="I47" s="54">
        <v>700.0</v>
      </c>
      <c r="J47" s="54">
        <v>700.0</v>
      </c>
      <c r="K47" s="54">
        <v>700.0</v>
      </c>
      <c r="L47" s="54">
        <v>700.0</v>
      </c>
      <c r="M47" s="54">
        <v>700.0</v>
      </c>
    </row>
    <row r="48" spans="1:13" ht="16" outlineLevel="1">
      <c r="A48" s="44" t="s">
        <v>45</v>
      </c>
      <c r="B48" s="55">
        <f>B45+B46+B47</f>
        <v>824.0</v>
      </c>
      <c r="C48" s="55">
        <f>C45+C46+C47</f>
        <v>824.0</v>
      </c>
      <c r="D48" s="55">
        <f>D45+D46+D47</f>
        <v>824.0</v>
      </c>
      <c r="E48" s="55">
        <f>E45+E46+E47</f>
        <v>1524.0</v>
      </c>
      <c r="F48" s="55">
        <f>F45+F46+F47</f>
        <v>1524.0</v>
      </c>
      <c r="G48" s="55">
        <f>G45+G46+G47</f>
        <v>1524.0</v>
      </c>
      <c r="H48" s="55">
        <f>H45+H46+H47</f>
        <v>1524.0</v>
      </c>
      <c r="I48" s="55">
        <f>I45+I46+I47</f>
        <v>1524.0</v>
      </c>
      <c r="J48" s="55">
        <f>J45+J46+J47</f>
        <v>1524.0</v>
      </c>
      <c r="K48" s="55">
        <f>K45+K46+K47</f>
        <v>1524.0</v>
      </c>
      <c r="L48" s="55">
        <f>L45+L46+L47</f>
        <v>1524.0</v>
      </c>
      <c r="M48" s="55">
        <f>M45+M46+M47</f>
        <v>700.0</v>
      </c>
    </row>
    <row r="49" spans="1:13" ht="16">
      <c r="A49" s="47" t="s">
        <v>46</v>
      </c>
      <c r="B49" s="55">
        <f>B27+B44+B48</f>
        <v>1269404.22</v>
      </c>
      <c r="C49" s="55">
        <f>C27+C44+C48</f>
        <v>1221380.3599999999</v>
      </c>
      <c r="D49" s="55">
        <f>D27+D44+D48</f>
        <v>1435953.02</v>
      </c>
      <c r="E49" s="55">
        <f>E27+E44+E48</f>
        <v>1347040.3699999999</v>
      </c>
      <c r="F49" s="55">
        <f>F27+F44+F48</f>
        <v>1435527.8099999998</v>
      </c>
      <c r="G49" s="55">
        <f>G27+G44+G48</f>
        <v>1436280.7199999997</v>
      </c>
      <c r="H49" s="55">
        <f>H27+H44+H48</f>
        <v>1499351.3599999999</v>
      </c>
      <c r="I49" s="55">
        <f>I27+I44+I48</f>
        <v>1466013.7</v>
      </c>
      <c r="J49" s="55">
        <f>J27+J44+J48</f>
        <v>1645827.5600000003</v>
      </c>
      <c r="K49" s="55">
        <f>K27+K44+K48</f>
        <v>1581071.4800000002</v>
      </c>
      <c r="L49" s="55">
        <f>L27+L44+L48</f>
        <v>1663488.27</v>
      </c>
      <c r="M49" s="55">
        <f>M27+M44+M48</f>
        <v>1545972.1599999997</v>
      </c>
    </row>
    <row r="50" spans="1:13" ht="16">
      <c r="A50" s="39" t="s">
        <v>47</v>
      </c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</row>
    <row r="51" spans="1:13" ht="16" outlineLevel="1">
      <c r="A51" s="40" t="s">
        <v>48</v>
      </c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</row>
    <row r="52" spans="1:13" ht="16" outlineLevel="2">
      <c r="A52" s="41" t="s">
        <v>49</v>
      </c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</row>
    <row r="53" spans="1:13" ht="16" outlineLevel="3">
      <c r="A53" s="42" t="s">
        <v>50</v>
      </c>
      <c r="B53" s="54">
        <v>0</v>
      </c>
      <c r="C53" s="54">
        <v>0</v>
      </c>
      <c r="D53" s="54">
        <v>0</v>
      </c>
      <c r="E53" s="54">
        <v>0</v>
      </c>
      <c r="F53" s="54">
        <v>0</v>
      </c>
      <c r="G53" s="54">
        <v>0</v>
      </c>
      <c r="H53" s="54">
        <v>0</v>
      </c>
      <c r="I53" s="54">
        <v>0</v>
      </c>
      <c r="J53" s="54">
        <v>0</v>
      </c>
      <c r="K53" s="54">
        <v>0</v>
      </c>
      <c r="L53" s="54">
        <v>0</v>
      </c>
      <c r="M53" s="54">
        <v>0</v>
      </c>
    </row>
    <row r="54" spans="1:13" ht="16" outlineLevel="3">
      <c r="A54" s="42" t="s">
        <v>51</v>
      </c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</row>
    <row r="55" spans="1:13" ht="16" outlineLevel="4">
      <c r="A55" s="45" t="s">
        <v>52</v>
      </c>
      <c r="B55" s="54">
        <v>15476.72</v>
      </c>
      <c r="C55" s="54">
        <v>7848.339999999999</v>
      </c>
      <c r="D55" s="54">
        <v>6781.219999999999</v>
      </c>
      <c r="E55" s="54">
        <v>8776.119999999999</v>
      </c>
      <c r="F55" s="54">
        <v>6202.939999999999</v>
      </c>
      <c r="G55" s="54">
        <v>11732.259999999998</v>
      </c>
      <c r="H55" s="54">
        <v>15515.469999999998</v>
      </c>
      <c r="I55" s="54">
        <v>8655.909999999996</v>
      </c>
      <c r="J55" s="54">
        <v>9312.879999999996</v>
      </c>
      <c r="K55" s="54">
        <v>3059.9199999999955</v>
      </c>
      <c r="L55" s="54">
        <v>19646.339999999993</v>
      </c>
      <c r="M55" s="54">
        <v>17417.709999999992</v>
      </c>
    </row>
    <row r="56" spans="1:13" ht="16" outlineLevel="4">
      <c r="A56" s="45" t="s">
        <v>53</v>
      </c>
      <c r="B56" s="54">
        <v>32621.91</v>
      </c>
      <c r="C56" s="54">
        <v>23081.52</v>
      </c>
      <c r="D56" s="54">
        <v>76.29000000000087</v>
      </c>
      <c r="E56" s="54">
        <v>4558.540000000001</v>
      </c>
      <c r="F56" s="54">
        <v>3321.2400000000007</v>
      </c>
      <c r="G56" s="54">
        <v>5889.490000000001</v>
      </c>
      <c r="H56" s="54">
        <v>18385.43</v>
      </c>
      <c r="I56" s="54">
        <v>579.4500000000007</v>
      </c>
      <c r="J56" s="54">
        <v>16522.27</v>
      </c>
      <c r="K56" s="54">
        <v>24019.57</v>
      </c>
      <c r="L56" s="54">
        <v>4913.209999999999</v>
      </c>
      <c r="M56" s="54">
        <v>32047.829999999998</v>
      </c>
    </row>
    <row r="57" spans="1:13" ht="16" outlineLevel="4">
      <c r="A57" s="45" t="s">
        <v>54</v>
      </c>
      <c r="B57" s="54">
        <v>1754.21</v>
      </c>
      <c r="C57" s="54">
        <v>1974.46</v>
      </c>
      <c r="D57" s="54">
        <v>0</v>
      </c>
      <c r="E57" s="54">
        <v>0</v>
      </c>
      <c r="F57" s="54">
        <v>0</v>
      </c>
      <c r="G57" s="54">
        <v>0</v>
      </c>
      <c r="H57" s="54">
        <v>0</v>
      </c>
      <c r="I57" s="54">
        <v>0</v>
      </c>
      <c r="J57" s="54">
        <v>0</v>
      </c>
      <c r="K57" s="54">
        <v>0</v>
      </c>
      <c r="L57" s="54">
        <v>0</v>
      </c>
      <c r="M57" s="54">
        <v>0</v>
      </c>
    </row>
    <row r="58" spans="1:13" ht="16" outlineLevel="4">
      <c r="A58" s="45" t="s">
        <v>55</v>
      </c>
      <c r="B58" s="54">
        <v>29485.98</v>
      </c>
      <c r="C58" s="54">
        <v>14813.039999999999</v>
      </c>
      <c r="D58" s="54">
        <v>7994.839999999999</v>
      </c>
      <c r="E58" s="54">
        <v>2084.7199999999993</v>
      </c>
      <c r="F58" s="54">
        <v>16586.08</v>
      </c>
      <c r="G58" s="54">
        <v>13327.130000000001</v>
      </c>
      <c r="H58" s="54">
        <v>13405.34</v>
      </c>
      <c r="I58" s="54">
        <v>23086.73</v>
      </c>
      <c r="J58" s="54">
        <v>16269.57</v>
      </c>
      <c r="K58" s="54">
        <v>21621.8</v>
      </c>
      <c r="L58" s="54">
        <v>1949.1499999999978</v>
      </c>
      <c r="M58" s="54">
        <v>8999.689999999999</v>
      </c>
    </row>
    <row r="59" spans="1:13" ht="16" outlineLevel="4">
      <c r="A59" s="45" t="s">
        <v>56</v>
      </c>
      <c r="B59" s="53"/>
      <c r="C59" s="53"/>
      <c r="D59" s="53"/>
      <c r="E59" s="54">
        <v>694.4</v>
      </c>
      <c r="F59" s="54">
        <v>694.4</v>
      </c>
      <c r="G59" s="54">
        <v>740.85</v>
      </c>
      <c r="H59" s="54">
        <v>0</v>
      </c>
      <c r="I59" s="54">
        <v>0</v>
      </c>
      <c r="J59" s="54">
        <v>0</v>
      </c>
      <c r="K59" s="54">
        <v>0</v>
      </c>
      <c r="L59" s="54">
        <v>0</v>
      </c>
      <c r="M59" s="54">
        <v>0</v>
      </c>
    </row>
    <row r="60" spans="1:13" ht="16" outlineLevel="4">
      <c r="A60" s="45" t="s">
        <v>57</v>
      </c>
      <c r="B60" s="54">
        <v>0</v>
      </c>
      <c r="C60" s="54">
        <v>6506.06</v>
      </c>
      <c r="D60" s="54">
        <v>-3472.5299999999997</v>
      </c>
      <c r="E60" s="54">
        <v>-61.86999999999989</v>
      </c>
      <c r="F60" s="54">
        <v>1.0658141036401503E-13</v>
      </c>
      <c r="G60" s="54">
        <v>1.0658141036401503E-13</v>
      </c>
      <c r="H60" s="54">
        <v>11811.61</v>
      </c>
      <c r="I60" s="54">
        <v>0</v>
      </c>
      <c r="J60" s="54">
        <v>0</v>
      </c>
      <c r="K60" s="54">
        <v>10562.31</v>
      </c>
      <c r="L60" s="54">
        <v>0</v>
      </c>
      <c r="M60" s="54">
        <v>0</v>
      </c>
    </row>
    <row r="61" spans="1:13" ht="16" outlineLevel="4">
      <c r="A61" s="45" t="s">
        <v>58</v>
      </c>
      <c r="B61" s="54">
        <v>4896.88</v>
      </c>
      <c r="C61" s="54">
        <v>9265.470000000001</v>
      </c>
      <c r="D61" s="54">
        <v>9738.69</v>
      </c>
      <c r="E61" s="54">
        <v>117.54000000000087</v>
      </c>
      <c r="F61" s="54">
        <v>8.668621376273222E-13</v>
      </c>
      <c r="G61" s="54">
        <v>8969.53</v>
      </c>
      <c r="H61" s="54">
        <v>7869.240000000001</v>
      </c>
      <c r="I61" s="54">
        <v>7608.160000000001</v>
      </c>
      <c r="J61" s="54">
        <v>10621.68</v>
      </c>
      <c r="K61" s="54">
        <v>2171.620000000001</v>
      </c>
      <c r="L61" s="54">
        <v>9.094947017729282E-13</v>
      </c>
      <c r="M61" s="54">
        <v>11.74000000000091</v>
      </c>
    </row>
    <row r="62" spans="1:13" ht="16" outlineLevel="4">
      <c r="A62" s="45" t="s">
        <v>59</v>
      </c>
      <c r="B62" s="54">
        <v>1619.52</v>
      </c>
      <c r="C62" s="54">
        <v>209.98000000000002</v>
      </c>
      <c r="D62" s="54">
        <v>327.43</v>
      </c>
      <c r="E62" s="54">
        <v>0</v>
      </c>
      <c r="F62" s="54">
        <v>0</v>
      </c>
      <c r="G62" s="54">
        <v>628.16</v>
      </c>
      <c r="H62" s="54">
        <v>642.79</v>
      </c>
      <c r="I62" s="54">
        <v>367.99999999999994</v>
      </c>
      <c r="J62" s="54">
        <v>-5.6843418860808015E-14</v>
      </c>
      <c r="K62" s="54">
        <v>-5.6843418860808015E-14</v>
      </c>
      <c r="L62" s="54">
        <v>-5.6843418860808015E-14</v>
      </c>
      <c r="M62" s="54">
        <v>-5.6843418860808015E-14</v>
      </c>
    </row>
    <row r="63" spans="1:13" ht="16" outlineLevel="4">
      <c r="A63" s="45" t="s">
        <v>60</v>
      </c>
      <c r="B63" s="54">
        <v>0</v>
      </c>
      <c r="C63" s="54">
        <v>126.33</v>
      </c>
      <c r="D63" s="54">
        <v>0</v>
      </c>
      <c r="E63" s="54">
        <v>0</v>
      </c>
      <c r="F63" s="54">
        <v>0</v>
      </c>
      <c r="G63" s="54">
        <v>0</v>
      </c>
      <c r="H63" s="54">
        <v>0</v>
      </c>
      <c r="I63" s="54">
        <v>336.64</v>
      </c>
      <c r="J63" s="54">
        <v>46.629999999999995</v>
      </c>
      <c r="K63" s="54">
        <v>-7.105427357601002E-15</v>
      </c>
      <c r="L63" s="54">
        <v>-7.105427357601002E-15</v>
      </c>
      <c r="M63" s="54">
        <v>-7.105427357601002E-15</v>
      </c>
    </row>
    <row r="64" spans="1:13" ht="16" outlineLevel="4">
      <c r="A64" s="45" t="s">
        <v>61</v>
      </c>
      <c r="B64" s="54">
        <v>0</v>
      </c>
      <c r="C64" s="54">
        <v>0</v>
      </c>
      <c r="D64" s="54">
        <v>30.56</v>
      </c>
      <c r="E64" s="54">
        <v>0</v>
      </c>
      <c r="F64" s="54">
        <v>0</v>
      </c>
      <c r="G64" s="54">
        <v>23.17</v>
      </c>
      <c r="H64" s="54">
        <v>0</v>
      </c>
      <c r="I64" s="54">
        <v>0</v>
      </c>
      <c r="J64" s="54">
        <v>0</v>
      </c>
      <c r="K64" s="54">
        <v>0</v>
      </c>
      <c r="L64" s="54">
        <v>0</v>
      </c>
      <c r="M64" s="54">
        <v>0</v>
      </c>
    </row>
    <row r="65" spans="1:13" ht="16" outlineLevel="4">
      <c r="A65" s="45" t="s">
        <v>62</v>
      </c>
      <c r="B65" s="54">
        <v>67.03999999999999</v>
      </c>
      <c r="C65" s="54">
        <v>-1.4210854715202004E-14</v>
      </c>
      <c r="D65" s="54">
        <v>-1.4210854715202004E-14</v>
      </c>
      <c r="E65" s="54">
        <v>-1.4210854715202004E-14</v>
      </c>
      <c r="F65" s="54">
        <v>-1.4210854715202004E-14</v>
      </c>
      <c r="G65" s="54">
        <v>-1.4210854715202004E-14</v>
      </c>
      <c r="H65" s="54">
        <v>-1.4210854715202004E-14</v>
      </c>
      <c r="I65" s="54">
        <v>-1.4210854715202004E-14</v>
      </c>
      <c r="J65" s="54">
        <v>-1.4210854715202004E-14</v>
      </c>
      <c r="K65" s="54">
        <v>-1.4210854715202004E-14</v>
      </c>
      <c r="L65" s="54">
        <v>-1.4210854715202004E-14</v>
      </c>
      <c r="M65" s="54">
        <v>-1.4210854715202004E-14</v>
      </c>
    </row>
    <row r="66" spans="1:13" ht="16" outlineLevel="4">
      <c r="A66" s="45" t="s">
        <v>63</v>
      </c>
      <c r="B66" s="54">
        <v>7556.719999999999</v>
      </c>
      <c r="C66" s="54">
        <v>7536.129999999999</v>
      </c>
      <c r="D66" s="54">
        <v>-9.094947017729282E-13</v>
      </c>
      <c r="E66" s="54">
        <v>-9.094947017729282E-13</v>
      </c>
      <c r="F66" s="54">
        <v>-9.094947017729282E-13</v>
      </c>
      <c r="G66" s="54">
        <v>-9.094947017729282E-13</v>
      </c>
      <c r="H66" s="54">
        <v>-9.094947017729282E-13</v>
      </c>
      <c r="I66" s="54">
        <v>-9.094947017729282E-13</v>
      </c>
      <c r="J66" s="54">
        <v>49.99999999999909</v>
      </c>
      <c r="K66" s="54">
        <v>-9.094947017729282E-13</v>
      </c>
      <c r="L66" s="54">
        <v>-9.094947017729282E-13</v>
      </c>
      <c r="M66" s="54">
        <v>-9.094947017729282E-13</v>
      </c>
    </row>
    <row r="67" spans="1:13" ht="16" outlineLevel="3">
      <c r="A67" s="46" t="s">
        <v>64</v>
      </c>
      <c r="B67" s="55">
        <f>B54+B55+B56+B57+B58+B59+B60+B61+B62+B63+B64+B65+B66</f>
        <v>93478.98</v>
      </c>
      <c r="C67" s="55">
        <f>C54+C55+C56+C57+C58+C59+C60+C61+C62+C63+C64+C65+C66</f>
        <v>71361.33</v>
      </c>
      <c r="D67" s="55">
        <f>D54+D55+D56+D57+D58+D59+D60+D61+D62+D63+D64+D65+D66</f>
        <v>21476.500000000004</v>
      </c>
      <c r="E67" s="55">
        <f>E54+E55+E56+E57+E58+E59+E60+E61+E62+E63+E64+E65+E66</f>
        <v>16169.45</v>
      </c>
      <c r="F67" s="55">
        <f>F54+F55+F56+F57+F58+F59+F60+F61+F62+F63+F64+F65+F66</f>
        <v>26804.660000000003</v>
      </c>
      <c r="G67" s="55">
        <f>G54+G55+G56+G57+G58+G59+G60+G61+G62+G63+G64+G65+G66</f>
        <v>41310.590000000004</v>
      </c>
      <c r="H67" s="55">
        <f>H54+H55+H56+H57+H58+H59+H60+H61+H62+H63+H64+H65+H66</f>
        <v>67629.87999999999</v>
      </c>
      <c r="I67" s="55">
        <f>I54+I55+I56+I57+I58+I59+I60+I61+I62+I63+I64+I65+I66</f>
        <v>40634.89</v>
      </c>
      <c r="J67" s="55">
        <f>J54+J55+J56+J57+J58+J59+J60+J61+J62+J63+J64+J65+J66</f>
        <v>52823.02999999999</v>
      </c>
      <c r="K67" s="55">
        <f>K54+K55+K56+K57+K58+K59+K60+K61+K62+K63+K64+K65+K66</f>
        <v>61435.219999999994</v>
      </c>
      <c r="L67" s="55">
        <f>L54+L55+L56+L57+L58+L59+L60+L61+L62+L63+L64+L65+L66</f>
        <v>26508.69999999999</v>
      </c>
      <c r="M67" s="55">
        <f>M54+M55+M56+M57+M58+M59+M60+M61+M62+M63+M64+M65+M66</f>
        <v>58476.969999999994</v>
      </c>
    </row>
    <row r="68" spans="1:13" ht="16" outlineLevel="3">
      <c r="A68" s="42" t="s">
        <v>65</v>
      </c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</row>
    <row r="69" spans="1:13" ht="16" outlineLevel="4">
      <c r="A69" s="45" t="s">
        <v>66</v>
      </c>
      <c r="B69" s="54">
        <v>210000.0</v>
      </c>
      <c r="C69" s="54">
        <v>360000.0</v>
      </c>
      <c r="D69" s="54">
        <v>375707.44</v>
      </c>
      <c r="E69" s="54">
        <v>375707.44</v>
      </c>
      <c r="F69" s="54">
        <v>367707.44</v>
      </c>
      <c r="G69" s="54">
        <v>215707.44</v>
      </c>
      <c r="H69" s="54">
        <v>255707.44</v>
      </c>
      <c r="I69" s="54">
        <v>318000.0</v>
      </c>
      <c r="J69" s="54">
        <v>360000.0</v>
      </c>
      <c r="K69" s="54">
        <v>360000.0</v>
      </c>
      <c r="L69" s="54">
        <v>400000.0</v>
      </c>
      <c r="M69" s="54">
        <v>400000.0</v>
      </c>
    </row>
    <row r="70" spans="1:13" ht="16" outlineLevel="4">
      <c r="A70" s="45" t="s">
        <v>67</v>
      </c>
      <c r="B70" s="54">
        <v>0</v>
      </c>
      <c r="C70" s="54">
        <v>0</v>
      </c>
      <c r="D70" s="54">
        <v>17533.63</v>
      </c>
      <c r="E70" s="54">
        <v>-14640.48</v>
      </c>
      <c r="F70" s="54">
        <v>-14640.48</v>
      </c>
      <c r="G70" s="54">
        <v>-14822.48</v>
      </c>
      <c r="H70" s="54">
        <v>-14822.48</v>
      </c>
      <c r="I70" s="54">
        <v>-14822.48</v>
      </c>
      <c r="J70" s="54">
        <v>-14822.48</v>
      </c>
      <c r="K70" s="54">
        <v>-14822.48</v>
      </c>
      <c r="L70" s="54">
        <v>-14822.48</v>
      </c>
      <c r="M70" s="54">
        <v>0</v>
      </c>
    </row>
    <row r="71" spans="1:13" ht="16" outlineLevel="4">
      <c r="A71" s="45" t="s">
        <v>68</v>
      </c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</row>
    <row r="72" spans="1:13" ht="16" outlineLevel="5">
      <c r="A72" s="48" t="s">
        <v>69</v>
      </c>
      <c r="B72" s="54">
        <v>32174.11</v>
      </c>
      <c r="C72" s="54">
        <v>32174.11</v>
      </c>
      <c r="D72" s="54">
        <v>31648.95</v>
      </c>
      <c r="E72" s="54">
        <v>32380.280000000002</v>
      </c>
      <c r="F72" s="54">
        <v>15061.220000000001</v>
      </c>
      <c r="G72" s="54">
        <v>15061.220000000001</v>
      </c>
      <c r="H72" s="54">
        <v>15061.220000000001</v>
      </c>
      <c r="I72" s="54">
        <v>33832.43</v>
      </c>
      <c r="J72" s="54">
        <v>37046.63</v>
      </c>
      <c r="K72" s="54">
        <v>15061.219999999998</v>
      </c>
      <c r="L72" s="54">
        <v>15061.219999999998</v>
      </c>
      <c r="M72" s="54">
        <v>-1.8189894035458565E-12</v>
      </c>
    </row>
    <row r="73" spans="1:13" ht="16" outlineLevel="5">
      <c r="A73" s="48" t="s">
        <v>70</v>
      </c>
      <c r="B73" s="54">
        <v>546.0</v>
      </c>
      <c r="C73" s="54">
        <v>821.6</v>
      </c>
      <c r="D73" s="54">
        <v>947.49</v>
      </c>
      <c r="E73" s="54">
        <v>-122.52999999999997</v>
      </c>
      <c r="F73" s="54">
        <v>-118.08999999999997</v>
      </c>
      <c r="G73" s="54">
        <v>-67.25999999999998</v>
      </c>
      <c r="H73" s="54">
        <v>-33.21999999999998</v>
      </c>
      <c r="I73" s="54">
        <v>-28.349999999999977</v>
      </c>
      <c r="J73" s="54">
        <v>17.860000000000024</v>
      </c>
      <c r="K73" s="54">
        <v>88.27000000000002</v>
      </c>
      <c r="L73" s="54">
        <v>254.82000000000005</v>
      </c>
      <c r="M73" s="54">
        <v>599.23</v>
      </c>
    </row>
    <row r="74" spans="1:13" ht="16" outlineLevel="5">
      <c r="A74" s="48" t="s">
        <v>71</v>
      </c>
      <c r="B74" s="54">
        <v>11107.67</v>
      </c>
      <c r="C74" s="54">
        <v>15942.2</v>
      </c>
      <c r="D74" s="54">
        <v>17170.58</v>
      </c>
      <c r="E74" s="54">
        <v>14831.880000000001</v>
      </c>
      <c r="F74" s="54">
        <v>14906.95</v>
      </c>
      <c r="G74" s="54">
        <v>14896.83</v>
      </c>
      <c r="H74" s="54">
        <v>14768.91</v>
      </c>
      <c r="I74" s="54">
        <v>17559.89</v>
      </c>
      <c r="J74" s="54">
        <v>15549.8</v>
      </c>
      <c r="K74" s="54">
        <v>16389.649999999998</v>
      </c>
      <c r="L74" s="54">
        <v>17945.69</v>
      </c>
      <c r="M74" s="54">
        <v>7005.329999999998</v>
      </c>
    </row>
    <row r="75" spans="1:13" ht="16" outlineLevel="5">
      <c r="A75" s="48" t="s">
        <v>72</v>
      </c>
      <c r="B75" s="54">
        <v>185.55</v>
      </c>
      <c r="C75" s="54">
        <v>271.78000000000003</v>
      </c>
      <c r="D75" s="54">
        <v>-604.71</v>
      </c>
      <c r="E75" s="54">
        <v>-922.32</v>
      </c>
      <c r="F75" s="54">
        <v>-917.88</v>
      </c>
      <c r="G75" s="54">
        <v>-915.18</v>
      </c>
      <c r="H75" s="54">
        <v>-936.62</v>
      </c>
      <c r="I75" s="54">
        <v>-935.41</v>
      </c>
      <c r="J75" s="54">
        <v>-920.01</v>
      </c>
      <c r="K75" s="54">
        <v>-926.45</v>
      </c>
      <c r="L75" s="54">
        <v>-894.86</v>
      </c>
      <c r="M75" s="54">
        <v>70.56999999999994</v>
      </c>
    </row>
    <row r="76" spans="1:13" ht="16" outlineLevel="5">
      <c r="A76" s="48" t="s">
        <v>73</v>
      </c>
      <c r="B76" s="54">
        <v>549.91</v>
      </c>
      <c r="C76" s="54">
        <v>598.47</v>
      </c>
      <c r="D76" s="54">
        <v>977.02</v>
      </c>
      <c r="E76" s="54">
        <v>594.0</v>
      </c>
      <c r="F76" s="54">
        <v>657.4</v>
      </c>
      <c r="G76" s="54">
        <v>653.86</v>
      </c>
      <c r="H76" s="54">
        <v>983.88</v>
      </c>
      <c r="I76" s="54">
        <v>2198.05</v>
      </c>
      <c r="J76" s="54">
        <v>1354.46</v>
      </c>
      <c r="K76" s="54">
        <v>1656.17</v>
      </c>
      <c r="L76" s="54">
        <v>2067.25</v>
      </c>
      <c r="M76" s="54">
        <v>2811.42</v>
      </c>
    </row>
    <row r="77" spans="1:13" ht="16" outlineLevel="5">
      <c r="A77" s="48" t="s">
        <v>74</v>
      </c>
      <c r="B77" s="54">
        <v>287.69</v>
      </c>
      <c r="C77" s="54">
        <v>464.34000000000003</v>
      </c>
      <c r="D77" s="54">
        <v>513.0</v>
      </c>
      <c r="E77" s="54">
        <v>0</v>
      </c>
      <c r="F77" s="54">
        <v>0</v>
      </c>
      <c r="G77" s="54">
        <v>264.99</v>
      </c>
      <c r="H77" s="54">
        <v>174.93</v>
      </c>
      <c r="I77" s="54">
        <v>248.01</v>
      </c>
      <c r="J77" s="54">
        <v>248.01</v>
      </c>
      <c r="K77" s="54">
        <v>206.5</v>
      </c>
      <c r="L77" s="54">
        <v>613.56</v>
      </c>
      <c r="M77" s="54">
        <v>1216.28</v>
      </c>
    </row>
    <row r="78" spans="1:13" ht="16" outlineLevel="5">
      <c r="A78" s="48" t="s">
        <v>75</v>
      </c>
      <c r="B78" s="54">
        <v>167.5</v>
      </c>
      <c r="C78" s="54">
        <v>583.2</v>
      </c>
      <c r="D78" s="54">
        <v>1206.06</v>
      </c>
      <c r="E78" s="54">
        <v>413.03999999999996</v>
      </c>
      <c r="F78" s="54">
        <v>826.0799999999999</v>
      </c>
      <c r="G78" s="54">
        <v>1239.12</v>
      </c>
      <c r="H78" s="54">
        <v>413.03999999999985</v>
      </c>
      <c r="I78" s="54">
        <v>1052.1599999999999</v>
      </c>
      <c r="J78" s="54">
        <v>1496.9899999999998</v>
      </c>
      <c r="K78" s="54">
        <v>457.0599999999997</v>
      </c>
      <c r="L78" s="54">
        <v>914.1199999999997</v>
      </c>
      <c r="M78" s="54">
        <v>1371.1799999999996</v>
      </c>
    </row>
    <row r="79" spans="1:13" ht="16" outlineLevel="5">
      <c r="A79" s="48" t="s">
        <v>76</v>
      </c>
      <c r="B79" s="53"/>
      <c r="C79" s="54">
        <v>195.46</v>
      </c>
      <c r="D79" s="54">
        <v>221.0</v>
      </c>
      <c r="E79" s="54">
        <v>221.0</v>
      </c>
      <c r="F79" s="54">
        <v>0</v>
      </c>
      <c r="G79" s="54">
        <v>0</v>
      </c>
      <c r="H79" s="54">
        <v>0</v>
      </c>
      <c r="I79" s="54">
        <v>0</v>
      </c>
      <c r="J79" s="54">
        <v>0</v>
      </c>
      <c r="K79" s="54">
        <v>0</v>
      </c>
      <c r="L79" s="54">
        <v>0</v>
      </c>
      <c r="M79" s="54">
        <v>0</v>
      </c>
    </row>
    <row r="80" spans="1:13" ht="16" outlineLevel="5">
      <c r="A80" s="48" t="s">
        <v>77</v>
      </c>
      <c r="B80" s="54">
        <v>402.25</v>
      </c>
      <c r="C80" s="54">
        <v>502.62</v>
      </c>
      <c r="D80" s="54">
        <v>567.0</v>
      </c>
      <c r="E80" s="54">
        <v>0</v>
      </c>
      <c r="F80" s="54">
        <v>0</v>
      </c>
      <c r="G80" s="54">
        <v>0</v>
      </c>
      <c r="H80" s="54">
        <v>0</v>
      </c>
      <c r="I80" s="54">
        <v>0</v>
      </c>
      <c r="J80" s="54">
        <v>0</v>
      </c>
      <c r="K80" s="54">
        <v>0</v>
      </c>
      <c r="L80" s="54">
        <v>0</v>
      </c>
      <c r="M80" s="54">
        <v>0</v>
      </c>
    </row>
    <row r="81" spans="1:13" ht="16" outlineLevel="4">
      <c r="A81" s="49" t="s">
        <v>78</v>
      </c>
      <c r="B81" s="55">
        <f>B71+B72+B73+B74+B75+B76+B77+B78+B79+B80</f>
        <v>45420.68000000001</v>
      </c>
      <c r="C81" s="55">
        <f>C71+C72+C73+C74+C75+C76+C77+C78+C79+C80</f>
        <v>51553.78</v>
      </c>
      <c r="D81" s="55">
        <f>D71+D72+D73+D74+D75+D76+D77+D78+D79+D80</f>
        <v>52646.39</v>
      </c>
      <c r="E81" s="55">
        <f>E71+E72+E73+E74+E75+E76+E77+E78+E79+E80</f>
        <v>47395.350000000006</v>
      </c>
      <c r="F81" s="55">
        <f>F71+F72+F73+F74+F75+F76+F77+F78+F79+F80</f>
        <v>30415.68</v>
      </c>
      <c r="G81" s="55">
        <f>G71+G72+G73+G74+G75+G76+G77+G78+G79+G80</f>
        <v>31133.58</v>
      </c>
      <c r="H81" s="55">
        <f>H71+H72+H73+H74+H75+H76+H77+H78+H79+H80</f>
        <v>30432.140000000007</v>
      </c>
      <c r="I81" s="55">
        <f>I71+I72+I73+I74+I75+I76+I77+I78+I79+I80</f>
        <v>53926.78</v>
      </c>
      <c r="J81" s="55">
        <f>J71+J72+J73+J74+J75+J76+J77+J78+J79+J80</f>
        <v>54793.73999999999</v>
      </c>
      <c r="K81" s="55">
        <f>K71+K72+K73+K74+K75+K76+K77+K78+K79+K80</f>
        <v>32932.41999999999</v>
      </c>
      <c r="L81" s="55">
        <f>L71+L72+L73+L74+L75+L76+L77+L78+L79+L80</f>
        <v>35961.799999999996</v>
      </c>
      <c r="M81" s="55">
        <f>M71+M72+M73+M74+M75+M76+M77+M78+M79+M80</f>
        <v>13074.009999999997</v>
      </c>
    </row>
    <row r="82" spans="1:13" ht="16" outlineLevel="4">
      <c r="A82" s="45" t="s">
        <v>79</v>
      </c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</row>
    <row r="83" spans="1:13" ht="16" outlineLevel="5">
      <c r="A83" s="48" t="s">
        <v>80</v>
      </c>
      <c r="B83" s="54">
        <v>-990.56</v>
      </c>
      <c r="C83" s="54">
        <v>-1638.32</v>
      </c>
      <c r="D83" s="54">
        <v>-472.54999999999995</v>
      </c>
      <c r="E83" s="54">
        <v>-593.13</v>
      </c>
      <c r="F83" s="54">
        <v>-694.68</v>
      </c>
      <c r="G83" s="54">
        <v>-678.17</v>
      </c>
      <c r="H83" s="54">
        <v>-842.8299999999999</v>
      </c>
      <c r="I83" s="54">
        <v>-323.7499999999999</v>
      </c>
      <c r="J83" s="54">
        <v>-576.4799999999999</v>
      </c>
      <c r="K83" s="54">
        <v>-704.7699999999999</v>
      </c>
      <c r="L83" s="54">
        <v>-802.2499999999999</v>
      </c>
      <c r="M83" s="54">
        <v>1326.8000000000002</v>
      </c>
    </row>
    <row r="84" spans="1:13" ht="16" outlineLevel="5">
      <c r="A84" s="48" t="s">
        <v>81</v>
      </c>
      <c r="B84" s="54">
        <v>148.92</v>
      </c>
      <c r="C84" s="54">
        <v>320.86</v>
      </c>
      <c r="D84" s="54">
        <v>597.77</v>
      </c>
      <c r="E84" s="54">
        <v>558.74</v>
      </c>
      <c r="F84" s="54">
        <v>535.25</v>
      </c>
      <c r="G84" s="54">
        <v>543.52</v>
      </c>
      <c r="H84" s="54">
        <v>502.95</v>
      </c>
      <c r="I84" s="54">
        <v>622.87</v>
      </c>
      <c r="J84" s="54">
        <v>570.51</v>
      </c>
      <c r="K84" s="54">
        <v>548.1899999999999</v>
      </c>
      <c r="L84" s="54">
        <v>526.4499999999999</v>
      </c>
      <c r="M84" s="54">
        <v>289.00999999999993</v>
      </c>
    </row>
    <row r="85" spans="1:13" ht="16" outlineLevel="5">
      <c r="A85" s="48" t="s">
        <v>82</v>
      </c>
      <c r="B85" s="53"/>
      <c r="C85" s="53"/>
      <c r="D85" s="53"/>
      <c r="E85" s="54">
        <v>9.95</v>
      </c>
      <c r="F85" s="54">
        <v>-13.5</v>
      </c>
      <c r="G85" s="54">
        <v>31.189999999999998</v>
      </c>
      <c r="H85" s="54">
        <v>6.609999999999999</v>
      </c>
      <c r="I85" s="54">
        <v>81.19</v>
      </c>
      <c r="J85" s="54">
        <v>62.9</v>
      </c>
      <c r="K85" s="54">
        <v>43.91</v>
      </c>
      <c r="L85" s="54">
        <v>50.86</v>
      </c>
      <c r="M85" s="54">
        <v>279.36</v>
      </c>
    </row>
    <row r="86" spans="1:13" ht="16" outlineLevel="5">
      <c r="A86" s="48" t="s">
        <v>83</v>
      </c>
      <c r="B86" s="53"/>
      <c r="C86" s="53"/>
      <c r="D86" s="53"/>
      <c r="E86" s="54">
        <v>-74.09</v>
      </c>
      <c r="F86" s="54">
        <v>-91.92</v>
      </c>
      <c r="G86" s="54">
        <v>-71.85</v>
      </c>
      <c r="H86" s="54">
        <v>-99.33999999999999</v>
      </c>
      <c r="I86" s="54">
        <v>8.280000000000015</v>
      </c>
      <c r="J86" s="54">
        <v>-28.119999999999983</v>
      </c>
      <c r="K86" s="54">
        <v>-51.499999999999986</v>
      </c>
      <c r="L86" s="54">
        <v>-55.73999999999999</v>
      </c>
      <c r="M86" s="54">
        <v>328.15999999999997</v>
      </c>
    </row>
    <row r="87" spans="1:13" ht="16" outlineLevel="5">
      <c r="A87" s="48" t="s">
        <v>84</v>
      </c>
      <c r="B87" s="53"/>
      <c r="C87" s="53"/>
      <c r="D87" s="53"/>
      <c r="E87" s="54">
        <v>-98.44</v>
      </c>
      <c r="F87" s="54">
        <v>-178.84</v>
      </c>
      <c r="G87" s="54">
        <v>-64.73</v>
      </c>
      <c r="H87" s="54">
        <v>-141.14</v>
      </c>
      <c r="I87" s="54">
        <v>146.54000000000002</v>
      </c>
      <c r="J87" s="54">
        <v>89.03000000000003</v>
      </c>
      <c r="K87" s="54">
        <v>54.34000000000003</v>
      </c>
      <c r="L87" s="54">
        <v>-23.699999999999974</v>
      </c>
      <c r="M87" s="54">
        <v>928.07</v>
      </c>
    </row>
    <row r="88" spans="1:13" ht="16" outlineLevel="5">
      <c r="A88" s="48" t="s">
        <v>85</v>
      </c>
      <c r="B88" s="53"/>
      <c r="C88" s="53"/>
      <c r="D88" s="54">
        <v>297.16</v>
      </c>
      <c r="E88" s="54">
        <v>7428.76</v>
      </c>
      <c r="F88" s="54">
        <v>-3789.83</v>
      </c>
      <c r="G88" s="54">
        <v>-5439.57</v>
      </c>
      <c r="H88" s="54">
        <v>-5439.57</v>
      </c>
      <c r="I88" s="54">
        <v>-5439.57</v>
      </c>
      <c r="J88" s="54">
        <v>-5736.719999999999</v>
      </c>
      <c r="K88" s="54">
        <v>-5712.629999999999</v>
      </c>
      <c r="L88" s="54">
        <v>-5985.69</v>
      </c>
      <c r="M88" s="54">
        <v>7725.900000000001</v>
      </c>
    </row>
    <row r="89" spans="1:13" ht="16" outlineLevel="5">
      <c r="A89" s="48" t="s">
        <v>86</v>
      </c>
      <c r="B89" s="54">
        <v>26659.6</v>
      </c>
      <c r="C89" s="54">
        <v>26659.6</v>
      </c>
      <c r="D89" s="54">
        <v>26659.6</v>
      </c>
      <c r="E89" s="54">
        <v>26659.6</v>
      </c>
      <c r="F89" s="54">
        <v>26659.6</v>
      </c>
      <c r="G89" s="54">
        <v>26659.6</v>
      </c>
      <c r="H89" s="54">
        <v>26659.6</v>
      </c>
      <c r="I89" s="54">
        <v>26659.6</v>
      </c>
      <c r="J89" s="54">
        <v>26659.6</v>
      </c>
      <c r="K89" s="54">
        <v>26659.6</v>
      </c>
      <c r="L89" s="54">
        <v>26659.6</v>
      </c>
      <c r="M89" s="54">
        <v>26659.6</v>
      </c>
    </row>
    <row r="90" spans="1:13" ht="16" outlineLevel="4">
      <c r="A90" s="49" t="s">
        <v>87</v>
      </c>
      <c r="B90" s="55">
        <f>B82+B83+B84+B85+B86+B87+B88+B89</f>
        <v>25817.96</v>
      </c>
      <c r="C90" s="55">
        <f>C82+C83+C84+C85+C86+C87+C88+C89</f>
        <v>25342.14</v>
      </c>
      <c r="D90" s="55">
        <f>D82+D83+D84+D85+D86+D87+D88+D89</f>
        <v>27081.98</v>
      </c>
      <c r="E90" s="55">
        <f>E82+E83+E84+E85+E86+E87+E88+E89</f>
        <v>33891.39</v>
      </c>
      <c r="F90" s="55">
        <f>F82+F83+F84+F85+F86+F87+F88+F89</f>
        <v>22426.079999999998</v>
      </c>
      <c r="G90" s="55">
        <f>G82+G83+G84+G85+G86+G87+G88+G89</f>
        <v>20979.989999999998</v>
      </c>
      <c r="H90" s="55">
        <f>H82+H83+H84+H85+H86+H87+H88+H89</f>
        <v>20646.28</v>
      </c>
      <c r="I90" s="55">
        <f>I82+I83+I84+I85+I86+I87+I88+I89</f>
        <v>21755.16</v>
      </c>
      <c r="J90" s="55">
        <f>J82+J83+J84+J85+J86+J87+J88+J89</f>
        <v>21040.72</v>
      </c>
      <c r="K90" s="55">
        <f>K82+K83+K84+K85+K86+K87+K88+K89</f>
        <v>20837.14</v>
      </c>
      <c r="L90" s="55">
        <f>L82+L83+L84+L85+L86+L87+L88+L89</f>
        <v>20369.53</v>
      </c>
      <c r="M90" s="55">
        <f>M82+M83+M84+M85+M86+M87+M88+M89</f>
        <v>37536.9</v>
      </c>
    </row>
    <row r="91" spans="1:13" ht="16" outlineLevel="4">
      <c r="A91" s="45" t="s">
        <v>88</v>
      </c>
      <c r="B91" s="54">
        <v>0</v>
      </c>
      <c r="C91" s="54">
        <v>0</v>
      </c>
      <c r="D91" s="54">
        <v>0</v>
      </c>
      <c r="E91" s="54">
        <v>0</v>
      </c>
      <c r="F91" s="54">
        <v>0</v>
      </c>
      <c r="G91" s="54">
        <v>0</v>
      </c>
      <c r="H91" s="54">
        <v>0</v>
      </c>
      <c r="I91" s="54">
        <v>0</v>
      </c>
      <c r="J91" s="54">
        <v>0</v>
      </c>
      <c r="K91" s="54">
        <v>0</v>
      </c>
      <c r="L91" s="54">
        <v>0</v>
      </c>
      <c r="M91" s="54">
        <v>0</v>
      </c>
    </row>
    <row r="92" spans="1:13" ht="16" outlineLevel="4">
      <c r="A92" s="45" t="s">
        <v>89</v>
      </c>
      <c r="B92" s="54">
        <v>0</v>
      </c>
      <c r="C92" s="54">
        <v>0</v>
      </c>
      <c r="D92" s="54">
        <v>0</v>
      </c>
      <c r="E92" s="54">
        <v>0</v>
      </c>
      <c r="F92" s="54">
        <v>0</v>
      </c>
      <c r="G92" s="54">
        <v>0</v>
      </c>
      <c r="H92" s="54">
        <v>0</v>
      </c>
      <c r="I92" s="54">
        <v>0</v>
      </c>
      <c r="J92" s="54">
        <v>0</v>
      </c>
      <c r="K92" s="54">
        <v>0</v>
      </c>
      <c r="L92" s="54">
        <v>0</v>
      </c>
      <c r="M92" s="54">
        <v>0</v>
      </c>
    </row>
    <row r="93" spans="1:13" ht="16" outlineLevel="4">
      <c r="A93" s="45" t="s">
        <v>90</v>
      </c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4">
        <v>0</v>
      </c>
      <c r="M93" s="54">
        <v>0</v>
      </c>
    </row>
    <row r="94" spans="1:13" ht="16" outlineLevel="4">
      <c r="A94" s="45" t="s">
        <v>91</v>
      </c>
      <c r="B94" s="53"/>
      <c r="C94" s="53"/>
      <c r="D94" s="53"/>
      <c r="E94" s="53"/>
      <c r="F94" s="53"/>
      <c r="G94" s="53"/>
      <c r="H94" s="53"/>
      <c r="I94" s="53"/>
      <c r="J94" s="53"/>
      <c r="K94" s="54">
        <v>21682.4</v>
      </c>
      <c r="L94" s="54">
        <v>21682.4</v>
      </c>
      <c r="M94" s="54">
        <v>19479.160000000003</v>
      </c>
    </row>
    <row r="95" spans="1:13" ht="16" outlineLevel="4">
      <c r="A95" s="45" t="s">
        <v>92</v>
      </c>
      <c r="B95" s="54">
        <v>0</v>
      </c>
      <c r="C95" s="54">
        <v>0</v>
      </c>
      <c r="D95" s="54">
        <v>0</v>
      </c>
      <c r="E95" s="54">
        <v>0</v>
      </c>
      <c r="F95" s="54">
        <v>0</v>
      </c>
      <c r="G95" s="54">
        <v>0</v>
      </c>
      <c r="H95" s="54">
        <v>0</v>
      </c>
      <c r="I95" s="54">
        <v>0</v>
      </c>
      <c r="J95" s="54">
        <v>0</v>
      </c>
      <c r="K95" s="54">
        <v>0</v>
      </c>
      <c r="L95" s="54">
        <v>0</v>
      </c>
      <c r="M95" s="54">
        <v>0</v>
      </c>
    </row>
    <row r="96" spans="1:13" ht="16" outlineLevel="3">
      <c r="A96" s="46" t="s">
        <v>93</v>
      </c>
      <c r="B96" s="55">
        <f>B68+B69+B70+B81+B90+B91+B92+B93+B94+B95</f>
        <v>281238.64</v>
      </c>
      <c r="C96" s="55">
        <f>C68+C69+C70+C81+C90+C91+C92+C93+C94+C95</f>
        <v>436895.92000000004</v>
      </c>
      <c r="D96" s="55">
        <f>D68+D69+D70+D81+D90+D91+D92+D93+D94+D95</f>
        <v>472969.44</v>
      </c>
      <c r="E96" s="55">
        <f>E68+E69+E70+E81+E90+E91+E92+E93+E94+E95</f>
        <v>442353.70000000007</v>
      </c>
      <c r="F96" s="55">
        <f>F68+F69+F70+F81+F90+F91+F92+F93+F94+F95</f>
        <v>405908.72000000003</v>
      </c>
      <c r="G96" s="55">
        <f>G68+G69+G70+G81+G90+G91+G92+G93+G94+G95</f>
        <v>252998.52999999997</v>
      </c>
      <c r="H96" s="55">
        <f>H68+H69+H70+H81+H90+H91+H92+H93+H94+H95</f>
        <v>291963.38</v>
      </c>
      <c r="I96" s="55">
        <f>I68+I69+I70+I81+I90+I91+I92+I93+I94+I95</f>
        <v>378859.46</v>
      </c>
      <c r="J96" s="55">
        <f>J68+J69+J70+J81+J90+J91+J92+J93+J94+J95</f>
        <v>421011.98</v>
      </c>
      <c r="K96" s="55">
        <f>K68+K69+K70+K81+K90+K91+K92+K93+K94+K95</f>
        <v>420629.48000000004</v>
      </c>
      <c r="L96" s="55">
        <f>L68+L69+L70+L81+L90+L91+L92+L93+L94+L95</f>
        <v>463191.25</v>
      </c>
      <c r="M96" s="55">
        <f>M68+M69+M70+M81+M90+M91+M92+M93+M94+M95</f>
        <v>470090.07000000007</v>
      </c>
    </row>
    <row r="97" spans="1:13" ht="16" outlineLevel="2">
      <c r="A97" s="43" t="s">
        <v>94</v>
      </c>
      <c r="B97" s="55">
        <f>B52+B53+B67+B96</f>
        <v>374717.62</v>
      </c>
      <c r="C97" s="55">
        <f>C52+C53+C67+C96</f>
        <v>508257.25000000006</v>
      </c>
      <c r="D97" s="55">
        <f>D52+D53+D67+D96</f>
        <v>494445.94</v>
      </c>
      <c r="E97" s="55">
        <f>E52+E53+E67+E96</f>
        <v>458523.1500000001</v>
      </c>
      <c r="F97" s="55">
        <f>F52+F53+F67+F96</f>
        <v>432713.38</v>
      </c>
      <c r="G97" s="55">
        <f>G52+G53+G67+G96</f>
        <v>294309.12</v>
      </c>
      <c r="H97" s="55">
        <f>H52+H53+H67+H96</f>
        <v>359593.26</v>
      </c>
      <c r="I97" s="55">
        <f>I52+I53+I67+I96</f>
        <v>419494.35000000003</v>
      </c>
      <c r="J97" s="55">
        <f>J52+J53+J67+J96</f>
        <v>473835.00999999995</v>
      </c>
      <c r="K97" s="55">
        <f>K52+K53+K67+K96</f>
        <v>482064.7</v>
      </c>
      <c r="L97" s="55">
        <f>L52+L53+L67+L96</f>
        <v>489699.95</v>
      </c>
      <c r="M97" s="55">
        <f>M52+M53+M67+M96</f>
        <v>528567.04</v>
      </c>
    </row>
    <row r="98" spans="1:13" ht="16" outlineLevel="2">
      <c r="A98" s="41" t="s">
        <v>95</v>
      </c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</row>
    <row r="99" spans="1:13" ht="16" outlineLevel="3">
      <c r="A99" s="42" t="s">
        <v>96</v>
      </c>
      <c r="B99" s="54">
        <v>89499.84</v>
      </c>
      <c r="C99" s="54">
        <v>89499.84</v>
      </c>
      <c r="D99" s="54">
        <v>89499.84</v>
      </c>
      <c r="E99" s="54">
        <v>89499.84</v>
      </c>
      <c r="F99" s="54">
        <v>89499.84</v>
      </c>
      <c r="G99" s="54">
        <v>89499.84</v>
      </c>
      <c r="H99" s="54">
        <v>89499.84</v>
      </c>
      <c r="I99" s="54">
        <v>89499.84</v>
      </c>
      <c r="J99" s="54">
        <v>89499.84</v>
      </c>
      <c r="K99" s="54">
        <v>89499.84</v>
      </c>
      <c r="L99" s="54">
        <v>89499.84</v>
      </c>
      <c r="M99" s="54">
        <v>0</v>
      </c>
    </row>
    <row r="100" spans="1:13" ht="16" outlineLevel="3">
      <c r="A100" s="42" t="s">
        <v>97</v>
      </c>
      <c r="B100" s="54">
        <v>12818.619999999999</v>
      </c>
      <c r="C100" s="54">
        <v>12430.179999999998</v>
      </c>
      <c r="D100" s="54">
        <v>12041.739999999998</v>
      </c>
      <c r="E100" s="54">
        <v>11653.299999999997</v>
      </c>
      <c r="F100" s="54">
        <v>11264.859999999997</v>
      </c>
      <c r="G100" s="54">
        <v>10876.419999999996</v>
      </c>
      <c r="H100" s="54">
        <v>10487.979999999996</v>
      </c>
      <c r="I100" s="54">
        <v>10099.539999999995</v>
      </c>
      <c r="J100" s="54">
        <v>9711.099999999995</v>
      </c>
      <c r="K100" s="54">
        <v>9322.659999999994</v>
      </c>
      <c r="L100" s="54">
        <v>8934.219999999994</v>
      </c>
      <c r="M100" s="54">
        <v>8545.779999999993</v>
      </c>
    </row>
    <row r="101" spans="1:13" ht="16" outlineLevel="3">
      <c r="A101" s="42" t="s">
        <v>98</v>
      </c>
      <c r="B101" s="54">
        <v>8493.44</v>
      </c>
      <c r="C101" s="54">
        <v>7858.080000000001</v>
      </c>
      <c r="D101" s="54">
        <v>7217.560000000001</v>
      </c>
      <c r="E101" s="54">
        <v>6576.430000000001</v>
      </c>
      <c r="F101" s="54">
        <v>5931.450000000001</v>
      </c>
      <c r="G101" s="54">
        <v>5284.51</v>
      </c>
      <c r="H101" s="54">
        <v>4634.06</v>
      </c>
      <c r="I101" s="54">
        <v>3981.2500000000005</v>
      </c>
      <c r="J101" s="54">
        <v>3325.4900000000007</v>
      </c>
      <c r="K101" s="54">
        <v>2666.4700000000007</v>
      </c>
      <c r="L101" s="54">
        <v>2004.7700000000007</v>
      </c>
      <c r="M101" s="54">
        <v>1339.7900000000006</v>
      </c>
    </row>
    <row r="102" spans="1:13" ht="16" outlineLevel="3">
      <c r="A102" s="42" t="s">
        <v>99</v>
      </c>
      <c r="B102" s="54">
        <v>21535.530000000002</v>
      </c>
      <c r="C102" s="54">
        <v>20677.15</v>
      </c>
      <c r="D102" s="54">
        <v>19810.45</v>
      </c>
      <c r="E102" s="54">
        <v>18945.510000000002</v>
      </c>
      <c r="F102" s="54">
        <v>18075.140000000003</v>
      </c>
      <c r="G102" s="54">
        <v>17203.700000000004</v>
      </c>
      <c r="H102" s="54">
        <v>16326.910000000003</v>
      </c>
      <c r="I102" s="54">
        <v>15449.030000000004</v>
      </c>
      <c r="J102" s="54">
        <v>14567.750000000004</v>
      </c>
      <c r="K102" s="54">
        <v>13681.620000000004</v>
      </c>
      <c r="L102" s="54">
        <v>12793.720000000005</v>
      </c>
      <c r="M102" s="54">
        <v>11900.950000000004</v>
      </c>
    </row>
    <row r="103" spans="1:13" ht="16" outlineLevel="3">
      <c r="A103" s="42" t="s">
        <v>100</v>
      </c>
      <c r="B103" s="54">
        <v>14568.76</v>
      </c>
      <c r="C103" s="54">
        <v>13828.14</v>
      </c>
      <c r="D103" s="54">
        <v>13081.58</v>
      </c>
      <c r="E103" s="54">
        <v>12335.39</v>
      </c>
      <c r="F103" s="54">
        <v>11584.91</v>
      </c>
      <c r="G103" s="54">
        <v>10833.289999999999</v>
      </c>
      <c r="H103" s="54">
        <v>10077.369999999999</v>
      </c>
      <c r="I103" s="54">
        <v>9319.919999999998</v>
      </c>
      <c r="J103" s="54">
        <v>8559.729999999998</v>
      </c>
      <c r="K103" s="54">
        <v>7795.559999999998</v>
      </c>
      <c r="L103" s="54">
        <v>7029.569999999998</v>
      </c>
      <c r="M103" s="54">
        <v>6259.859999999998</v>
      </c>
    </row>
    <row r="104" spans="1:13" ht="16" outlineLevel="3">
      <c r="A104" s="42" t="s">
        <v>101</v>
      </c>
      <c r="B104" s="54">
        <v>38989.82</v>
      </c>
      <c r="C104" s="54">
        <v>37759.76</v>
      </c>
      <c r="D104" s="54">
        <v>36515.840000000004</v>
      </c>
      <c r="E104" s="54">
        <v>35276.280000000006</v>
      </c>
      <c r="F104" s="54">
        <v>34028.310000000005</v>
      </c>
      <c r="G104" s="54">
        <v>32779.65</v>
      </c>
      <c r="H104" s="54">
        <v>31522.550000000003</v>
      </c>
      <c r="I104" s="54">
        <v>30265.020000000004</v>
      </c>
      <c r="J104" s="54">
        <v>29002.590000000004</v>
      </c>
      <c r="K104" s="54">
        <v>27732.110000000004</v>
      </c>
      <c r="L104" s="54">
        <v>26460.710000000003</v>
      </c>
      <c r="M104" s="54">
        <v>25181.230000000003</v>
      </c>
    </row>
    <row r="105" spans="1:13" ht="16" outlineLevel="3">
      <c r="A105" s="42" t="s">
        <v>102</v>
      </c>
      <c r="B105" s="54">
        <v>51054.200000000004</v>
      </c>
      <c r="C105" s="54">
        <v>50028.86000000001</v>
      </c>
      <c r="D105" s="54">
        <v>48999.89000000001</v>
      </c>
      <c r="E105" s="54">
        <v>47973.30000000001</v>
      </c>
      <c r="F105" s="54">
        <v>46937.05000000001</v>
      </c>
      <c r="G105" s="54">
        <v>46937.05000000001</v>
      </c>
      <c r="H105" s="54">
        <v>44859.21000000001</v>
      </c>
      <c r="I105" s="54">
        <v>43817.23</v>
      </c>
      <c r="J105" s="54">
        <v>42771.43</v>
      </c>
      <c r="K105" s="54">
        <v>41716.76</v>
      </c>
      <c r="L105" s="54">
        <v>41716.76</v>
      </c>
      <c r="M105" s="54">
        <v>39601.39</v>
      </c>
    </row>
    <row r="106" spans="1:13" ht="16" outlineLevel="3">
      <c r="A106" s="42" t="s">
        <v>103</v>
      </c>
      <c r="B106" s="54">
        <v>60914.22</v>
      </c>
      <c r="C106" s="54">
        <v>59648.75</v>
      </c>
      <c r="D106" s="54">
        <v>58357.49</v>
      </c>
      <c r="E106" s="54">
        <v>57079.02</v>
      </c>
      <c r="F106" s="54">
        <v>55784.219999999994</v>
      </c>
      <c r="G106" s="54">
        <v>54492.23999999999</v>
      </c>
      <c r="H106" s="54">
        <v>53184.50999999999</v>
      </c>
      <c r="I106" s="54">
        <v>51879.099999999984</v>
      </c>
      <c r="J106" s="54">
        <v>50567.37999999998</v>
      </c>
      <c r="K106" s="54">
        <v>49240.01999999998</v>
      </c>
      <c r="L106" s="54">
        <v>47914.22999999998</v>
      </c>
      <c r="M106" s="54">
        <v>46573.82999999998</v>
      </c>
    </row>
    <row r="107" spans="1:13" ht="16" outlineLevel="3">
      <c r="A107" s="42" t="s">
        <v>104</v>
      </c>
      <c r="B107" s="54">
        <v>59395.719999999994</v>
      </c>
      <c r="C107" s="54">
        <v>57920.24999999999</v>
      </c>
      <c r="D107" s="54">
        <v>56417.10999999999</v>
      </c>
      <c r="E107" s="54">
        <v>54925.509999999995</v>
      </c>
      <c r="F107" s="54">
        <v>53417.549999999996</v>
      </c>
      <c r="G107" s="54">
        <v>51910.46</v>
      </c>
      <c r="H107" s="54">
        <v>50386.93</v>
      </c>
      <c r="I107" s="54">
        <v>48864.68</v>
      </c>
      <c r="J107" s="54">
        <v>47334.06</v>
      </c>
      <c r="K107" s="54">
        <v>45787.649999999994</v>
      </c>
      <c r="L107" s="54">
        <v>44241.63999999999</v>
      </c>
      <c r="M107" s="54">
        <v>42679.759999999995</v>
      </c>
    </row>
    <row r="108" spans="1:13" ht="16" outlineLevel="3">
      <c r="A108" s="42" t="s">
        <v>105</v>
      </c>
      <c r="B108" s="54">
        <v>62990.0</v>
      </c>
      <c r="C108" s="54">
        <v>62764.09</v>
      </c>
      <c r="D108" s="54">
        <v>60447.46</v>
      </c>
      <c r="E108" s="54">
        <v>59593.71</v>
      </c>
      <c r="F108" s="54">
        <v>58747.78</v>
      </c>
      <c r="G108" s="54">
        <v>57853.84</v>
      </c>
      <c r="H108" s="54">
        <v>56967.439999999995</v>
      </c>
      <c r="I108" s="54">
        <v>56088.219999999994</v>
      </c>
      <c r="J108" s="54">
        <v>55202.55999999999</v>
      </c>
      <c r="K108" s="54">
        <v>54323.44999999999</v>
      </c>
      <c r="L108" s="54">
        <v>53399.21999999999</v>
      </c>
      <c r="M108" s="54">
        <v>52481.26999999999</v>
      </c>
    </row>
    <row r="109" spans="1:13" ht="16" outlineLevel="3">
      <c r="A109" s="42" t="s">
        <v>106</v>
      </c>
      <c r="B109" s="53"/>
      <c r="C109" s="53"/>
      <c r="D109" s="53"/>
      <c r="E109" s="53"/>
      <c r="F109" s="54">
        <v>50385.0</v>
      </c>
      <c r="G109" s="54">
        <v>50385.0</v>
      </c>
      <c r="H109" s="54">
        <v>49036.29</v>
      </c>
      <c r="I109" s="54">
        <v>49036.29</v>
      </c>
      <c r="J109" s="54">
        <v>47557.48</v>
      </c>
      <c r="K109" s="54">
        <v>46836.11</v>
      </c>
      <c r="L109" s="54">
        <v>46315.25</v>
      </c>
      <c r="M109" s="54">
        <v>45593.88</v>
      </c>
    </row>
    <row r="110" spans="1:13" ht="16" outlineLevel="3">
      <c r="A110" s="42" t="s">
        <v>107</v>
      </c>
      <c r="B110" s="54">
        <v>40359.18</v>
      </c>
      <c r="C110" s="54">
        <v>40359.18</v>
      </c>
      <c r="D110" s="54">
        <v>38962.12</v>
      </c>
      <c r="E110" s="54">
        <v>38264.18</v>
      </c>
      <c r="F110" s="54">
        <v>37247.840000000004</v>
      </c>
      <c r="G110" s="54">
        <v>36534.100000000006</v>
      </c>
      <c r="H110" s="54">
        <v>36115.41</v>
      </c>
      <c r="I110" s="54">
        <v>35099.07000000001</v>
      </c>
      <c r="J110" s="54">
        <v>34377.670000000006</v>
      </c>
      <c r="K110" s="54">
        <v>33650.57000000001</v>
      </c>
      <c r="L110" s="54">
        <v>33185.420000000006</v>
      </c>
      <c r="M110" s="54">
        <v>32431.520000000004</v>
      </c>
    </row>
    <row r="111" spans="1:13" ht="16" outlineLevel="3">
      <c r="A111" s="42" t="s">
        <v>108</v>
      </c>
      <c r="B111" s="53"/>
      <c r="C111" s="53"/>
      <c r="D111" s="53"/>
      <c r="E111" s="53"/>
      <c r="F111" s="53"/>
      <c r="G111" s="54">
        <v>120890.0</v>
      </c>
      <c r="H111" s="54">
        <v>120890.0</v>
      </c>
      <c r="I111" s="54">
        <v>119972.84</v>
      </c>
      <c r="J111" s="54">
        <v>118668.73</v>
      </c>
      <c r="K111" s="54">
        <v>117328.83</v>
      </c>
      <c r="L111" s="54">
        <v>116006.28</v>
      </c>
      <c r="M111" s="54">
        <v>114648.43</v>
      </c>
    </row>
    <row r="112" spans="1:13" ht="16" outlineLevel="3">
      <c r="A112" s="42" t="s">
        <v>109</v>
      </c>
      <c r="B112" s="53"/>
      <c r="C112" s="53"/>
      <c r="D112" s="53"/>
      <c r="E112" s="53"/>
      <c r="F112" s="53"/>
      <c r="G112" s="53"/>
      <c r="H112" s="53"/>
      <c r="I112" s="53"/>
      <c r="J112" s="54">
        <v>82089.55</v>
      </c>
      <c r="K112" s="54">
        <v>80063.47</v>
      </c>
      <c r="L112" s="54">
        <v>78059.74</v>
      </c>
      <c r="M112" s="54">
        <v>75988.89</v>
      </c>
    </row>
    <row r="113" spans="1:13" ht="16" outlineLevel="3">
      <c r="A113" s="42" t="s">
        <v>110</v>
      </c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4">
        <v>106800.81</v>
      </c>
    </row>
    <row r="114" spans="1:13" ht="16" outlineLevel="3">
      <c r="A114" s="42" t="s">
        <v>111</v>
      </c>
      <c r="B114" s="54">
        <v>500000.0</v>
      </c>
      <c r="C114" s="54">
        <v>500000.0</v>
      </c>
      <c r="D114" s="54">
        <v>500000.0</v>
      </c>
      <c r="E114" s="54">
        <v>500000.0</v>
      </c>
      <c r="F114" s="54">
        <v>500000.0</v>
      </c>
      <c r="G114" s="54">
        <v>500000.0</v>
      </c>
      <c r="H114" s="54">
        <v>500000.0</v>
      </c>
      <c r="I114" s="54">
        <v>500000.0</v>
      </c>
      <c r="J114" s="54">
        <v>500000.0</v>
      </c>
      <c r="K114" s="54">
        <v>500000.0</v>
      </c>
      <c r="L114" s="54">
        <v>500000.0</v>
      </c>
      <c r="M114" s="54">
        <v>500000.0</v>
      </c>
    </row>
    <row r="115" spans="1:13" ht="16" outlineLevel="2">
      <c r="A115" s="43" t="s">
        <v>112</v>
      </c>
      <c r="B115" s="55">
        <f>B98+B99+B100+B101+B102+B103+B104+B105+B106+B107+B108+B109+B110+B111+B112+B113+B114</f>
        <v>960619.3300000001</v>
      </c>
      <c r="C115" s="55">
        <f>C98+C99+C100+C101+C102+C103+C104+C105+C106+C107+C108+C109+C110+C111+C112+C113+C114</f>
        <v>952774.28</v>
      </c>
      <c r="D115" s="55">
        <f>D98+D99+D100+D101+D102+D103+D104+D105+D106+D107+D108+D109+D110+D111+D112+D113+D114</f>
        <v>941351.0800000001</v>
      </c>
      <c r="E115" s="55">
        <f>E98+E99+E100+E101+E102+E103+E104+E105+E106+E107+E108+E109+E110+E111+E112+E113+E114</f>
        <v>932122.4700000001</v>
      </c>
      <c r="F115" s="55">
        <f>F98+F99+F100+F101+F102+F103+F104+F105+F106+F107+F108+F109+F110+F111+F112+F113+F114</f>
        <v>972903.95</v>
      </c>
      <c r="G115" s="55">
        <f>G98+G99+G100+G101+G102+G103+G104+G105+G106+G107+G108+G109+G110+G111+G112+G113+G114</f>
        <v>1085480.1</v>
      </c>
      <c r="H115" s="55">
        <f>H98+H99+H100+H101+H102+H103+H104+H105+H106+H107+H108+H109+H110+H111+H112+H113+H114</f>
        <v>1073988.5</v>
      </c>
      <c r="I115" s="55">
        <f>I98+I99+I100+I101+I102+I103+I104+I105+I106+I107+I108+I109+I110+I111+I112+I113+I114</f>
        <v>1063372.0299999998</v>
      </c>
      <c r="J115" s="55">
        <f>J98+J99+J100+J101+J102+J103+J104+J105+J106+J107+J108+J109+J110+J111+J112+J113+J114</f>
        <v>1133235.3599999999</v>
      </c>
      <c r="K115" s="55">
        <f>K98+K99+K100+K101+K102+K103+K104+K105+K106+K107+K108+K109+K110+K111+K112+K113+K114</f>
        <v>1119645.12</v>
      </c>
      <c r="L115" s="55">
        <f>L98+L99+L100+L101+L102+L103+L104+L105+L106+L107+L108+L109+L110+L111+L112+L113+L114</f>
        <v>1107561.3699999999</v>
      </c>
      <c r="M115" s="55">
        <f>M98+M99+M100+M101+M102+M103+M104+M105+M106+M107+M108+M109+M110+M111+M112+M113+M114</f>
        <v>1110027.39</v>
      </c>
    </row>
    <row r="116" spans="1:13" ht="16" outlineLevel="1">
      <c r="A116" s="44" t="s">
        <v>113</v>
      </c>
      <c r="B116" s="55">
        <f>B51+B97+B115</f>
        <v>1335336.9500000002</v>
      </c>
      <c r="C116" s="55">
        <f>C51+C97+C115</f>
        <v>1461031.53</v>
      </c>
      <c r="D116" s="55">
        <f>D51+D97+D115</f>
        <v>1435797.02</v>
      </c>
      <c r="E116" s="55">
        <f>E51+E97+E115</f>
        <v>1390645.62</v>
      </c>
      <c r="F116" s="55">
        <f>F51+F97+F115</f>
        <v>1405617.33</v>
      </c>
      <c r="G116" s="55">
        <f>G51+G97+G115</f>
        <v>1379789.2200000002</v>
      </c>
      <c r="H116" s="55">
        <f>H51+H97+H115</f>
        <v>1433581.76</v>
      </c>
      <c r="I116" s="55">
        <f>I51+I97+I115</f>
        <v>1482866.38</v>
      </c>
      <c r="J116" s="55">
        <f>J51+J97+J115</f>
        <v>1607070.3699999999</v>
      </c>
      <c r="K116" s="55">
        <f>K51+K97+K115</f>
        <v>1601709.82</v>
      </c>
      <c r="L116" s="55">
        <f>L51+L97+L115</f>
        <v>1597261.3199999998</v>
      </c>
      <c r="M116" s="55">
        <f>M51+M97+M115</f>
        <v>1638594.43</v>
      </c>
    </row>
    <row r="117" spans="1:13" ht="16" outlineLevel="1">
      <c r="A117" s="40" t="s">
        <v>114</v>
      </c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</row>
    <row r="118" spans="1:13" ht="16" outlineLevel="2">
      <c r="A118" s="41" t="s">
        <v>115</v>
      </c>
      <c r="B118" s="54">
        <v>0</v>
      </c>
      <c r="C118" s="54">
        <v>0</v>
      </c>
      <c r="D118" s="54">
        <v>0</v>
      </c>
      <c r="E118" s="54">
        <v>0</v>
      </c>
      <c r="F118" s="54">
        <v>0</v>
      </c>
      <c r="G118" s="54">
        <v>5000.0</v>
      </c>
      <c r="H118" s="54">
        <v>5000.0</v>
      </c>
      <c r="I118" s="54">
        <v>5000.0</v>
      </c>
      <c r="J118" s="54">
        <v>5000.0</v>
      </c>
      <c r="K118" s="54">
        <v>5000.0</v>
      </c>
      <c r="L118" s="54">
        <v>5000.0</v>
      </c>
      <c r="M118" s="54">
        <v>5000.0</v>
      </c>
    </row>
    <row r="119" spans="1:13" ht="16" outlineLevel="2">
      <c r="A119" s="41" t="s">
        <v>116</v>
      </c>
      <c r="B119" s="54">
        <v>-280814.04</v>
      </c>
      <c r="C119" s="54">
        <v>-280814.04</v>
      </c>
      <c r="D119" s="54">
        <v>-280770.12</v>
      </c>
      <c r="E119" s="54">
        <v>-280770.12</v>
      </c>
      <c r="F119" s="54">
        <v>-281770.12</v>
      </c>
      <c r="G119" s="54">
        <v>-273675.69</v>
      </c>
      <c r="H119" s="54">
        <v>-259675.69</v>
      </c>
      <c r="I119" s="54">
        <v>-259675.69</v>
      </c>
      <c r="J119" s="54">
        <v>-259675.69</v>
      </c>
      <c r="K119" s="54">
        <v>-259675.69</v>
      </c>
      <c r="L119" s="54">
        <v>-259675.69</v>
      </c>
      <c r="M119" s="54">
        <v>-228343.02000000002</v>
      </c>
    </row>
    <row r="120" spans="1:13" ht="16" outlineLevel="2">
      <c r="A120" s="41" t="s">
        <v>117</v>
      </c>
      <c r="B120" s="54">
        <v>755350.49</v>
      </c>
      <c r="C120" s="54">
        <v>755350.49</v>
      </c>
      <c r="D120" s="54">
        <v>755350.49</v>
      </c>
      <c r="E120" s="54">
        <v>755350.49</v>
      </c>
      <c r="F120" s="54">
        <v>755350.49</v>
      </c>
      <c r="G120" s="54">
        <v>755350.49</v>
      </c>
      <c r="H120" s="54">
        <v>755350.49</v>
      </c>
      <c r="I120" s="54">
        <v>755350.49</v>
      </c>
      <c r="J120" s="54">
        <v>755350.49</v>
      </c>
      <c r="K120" s="54">
        <v>755350.49</v>
      </c>
      <c r="L120" s="54">
        <v>755350.49</v>
      </c>
      <c r="M120" s="54">
        <v>755350.49</v>
      </c>
    </row>
    <row r="121" spans="1:13" ht="16" outlineLevel="2">
      <c r="A121" s="41" t="s">
        <v>118</v>
      </c>
      <c r="B121" s="54">
        <v>-540469.18</v>
      </c>
      <c r="C121" s="54">
        <v>-714187.6200000001</v>
      </c>
      <c r="D121" s="54">
        <v>-474424.37</v>
      </c>
      <c r="E121" s="54">
        <v>-518185.62</v>
      </c>
      <c r="F121" s="54">
        <v>-443669.89</v>
      </c>
      <c r="G121" s="54">
        <v>-430183.30000000005</v>
      </c>
      <c r="H121" s="54">
        <v>-434905.19999999995</v>
      </c>
      <c r="I121" s="54">
        <v>-517527.4800000001</v>
      </c>
      <c r="J121" s="54">
        <v>-461917.6100000001</v>
      </c>
      <c r="K121" s="54">
        <v>-521313.14000000013</v>
      </c>
      <c r="L121" s="54">
        <v>-434447.85000000027</v>
      </c>
      <c r="M121" s="54">
        <v>-624629.7400000005</v>
      </c>
    </row>
    <row r="122" spans="1:13" ht="16" outlineLevel="1">
      <c r="A122" s="44" t="s">
        <v>119</v>
      </c>
      <c r="B122" s="55">
        <f>B117+B118+B119+B120+B121</f>
        <v>-65932.73000000004</v>
      </c>
      <c r="C122" s="55">
        <f>C117+C118+C119+C120+C121</f>
        <v>-239651.1700000001</v>
      </c>
      <c r="D122" s="55">
        <f>D117+D118+D119+D120+D121</f>
        <v>156.0</v>
      </c>
      <c r="E122" s="55">
        <f>E117+E118+E119+E120+E121</f>
        <v>-43605.25</v>
      </c>
      <c r="F122" s="55">
        <f>F117+F118+F119+F120+F121</f>
        <v>29910.47999999998</v>
      </c>
      <c r="G122" s="55">
        <f>G117+G118+G119+G120+G121</f>
        <v>56491.49999999994</v>
      </c>
      <c r="H122" s="55">
        <f>H117+H118+H119+H120+H121</f>
        <v>65769.60000000003</v>
      </c>
      <c r="I122" s="55">
        <f>I117+I118+I119+I120+I121</f>
        <v>-16852.68000000011</v>
      </c>
      <c r="J122" s="55">
        <f>J117+J118+J119+J120+J121</f>
        <v>38757.189999999886</v>
      </c>
      <c r="K122" s="55">
        <f>K117+K118+K119+K120+K121</f>
        <v>-20638.340000000142</v>
      </c>
      <c r="L122" s="55">
        <f>L117+L118+L119+L120+L121</f>
        <v>66226.94999999972</v>
      </c>
      <c r="M122" s="55">
        <f>M117+M118+M119+M120+M121</f>
        <v>-92622.27000000048</v>
      </c>
    </row>
    <row r="123" spans="1:13" ht="16">
      <c r="A123" s="47" t="s">
        <v>120</v>
      </c>
      <c r="B123" s="55">
        <f>B116+B122</f>
        <v>1269404.2200000002</v>
      </c>
      <c r="C123" s="55">
        <f>C116+C122</f>
        <v>1221380.3599999999</v>
      </c>
      <c r="D123" s="55">
        <f>D116+D122</f>
        <v>1435953.02</v>
      </c>
      <c r="E123" s="55">
        <f>E116+E122</f>
        <v>1347040.37</v>
      </c>
      <c r="F123" s="55">
        <f>F116+F122</f>
        <v>1435527.81</v>
      </c>
      <c r="G123" s="55">
        <f>G116+G122</f>
        <v>1436280.7200000002</v>
      </c>
      <c r="H123" s="55">
        <f>H116+H122</f>
        <v>1499351.36</v>
      </c>
      <c r="I123" s="55">
        <f>I116+I122</f>
        <v>1466013.6999999997</v>
      </c>
      <c r="J123" s="55">
        <f>J116+J122</f>
        <v>1645827.5599999998</v>
      </c>
      <c r="K123" s="55">
        <f>K116+K122</f>
        <v>1581071.48</v>
      </c>
      <c r="L123" s="55">
        <f>L116+L122</f>
        <v>1663488.2699999996</v>
      </c>
      <c r="M123" s="55">
        <f>M116+M122</f>
        <v>1545972.1599999995</v>
      </c>
    </row>
    <row r="127" spans="1:1" ht="16">
      <c r="A127" s="56" t="s">
        <v>134</v>
      </c>
    </row>
  </sheetData>
  <mergeCells count="4">
    <mergeCell ref="A1:M1"/>
    <mergeCell ref="A2:M2"/>
    <mergeCell ref="A3:M3"/>
    <mergeCell ref="A127:M127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