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06" i="1" l="1"/>
</calcChain>
</file>

<file path=xl/sharedStrings.xml><?xml version="1.0" encoding="utf-8"?>
<sst xmlns="http://schemas.openxmlformats.org/spreadsheetml/2006/main" count="119" uniqueCount="119">
  <si>
    <t>Profit and Loss</t>
  </si>
  <si>
    <t>AMP Quality Energy Services</t>
  </si>
  <si>
    <t>January-December, 2024</t>
  </si>
  <si>
    <t>Income</t>
  </si>
  <si>
    <t>4000 Service Revenue</t>
  </si>
  <si>
    <t>4001 Quoted Revenue</t>
  </si>
  <si>
    <t>4002 T&amp;M Revenue</t>
  </si>
  <si>
    <t>4003 Rental Revenue</t>
  </si>
  <si>
    <t>4004 Late Fee Income</t>
  </si>
  <si>
    <t>4005 Discounts given</t>
  </si>
  <si>
    <t>4006 Sales Income</t>
  </si>
  <si>
    <t>4007 Training Classes Revenue</t>
  </si>
  <si>
    <t>Total for 4000 Service Revenue</t>
  </si>
  <si>
    <t>4050 Dividend Income</t>
  </si>
  <si>
    <t>4990 Unapplied Cash Payment Income</t>
  </si>
  <si>
    <t>Total for Income</t>
  </si>
  <si>
    <t>Cost of Sales</t>
  </si>
  <si>
    <t>5000 Cost of Goods Sold</t>
  </si>
  <si>
    <t>5001 Direct Costs - Job Materials</t>
  </si>
  <si>
    <t>5002 Direct Cost- Fuel</t>
  </si>
  <si>
    <t>5003 Direct Cost- Meals</t>
  </si>
  <si>
    <t>5004 Direct Cost- Travel &amp; Lodging</t>
  </si>
  <si>
    <t>5005 Direct Cost- Postage &amp; Delivery</t>
  </si>
  <si>
    <t>5006 Direct Cost- Wages</t>
  </si>
  <si>
    <t>5007 Direct Costs - Rental Equipment</t>
  </si>
  <si>
    <t>5008 Direct Costs - Contract Labor</t>
  </si>
  <si>
    <t>5009 Direct Cost - Third Party Testing</t>
  </si>
  <si>
    <t>5050 Direct Costs - Insurance</t>
  </si>
  <si>
    <t>Total for 5000 Cost of Goods Sold</t>
  </si>
  <si>
    <t>Total for Cost of Sales</t>
  </si>
  <si>
    <t>Gross Profit</t>
  </si>
  <si>
    <t>Expenses</t>
  </si>
  <si>
    <t>6000 Payroll Expenses</t>
  </si>
  <si>
    <t>6001 Wages</t>
  </si>
  <si>
    <t>6003 Taxes</t>
  </si>
  <si>
    <t>6005 Payroll Reimbursement from Calibration</t>
  </si>
  <si>
    <t>Total for 6000 Payroll Expenses</t>
  </si>
  <si>
    <t>6020 Automobile Expense</t>
  </si>
  <si>
    <t>6040 Bank Service Charges</t>
  </si>
  <si>
    <t>6041 Credit Card Processing Fees</t>
  </si>
  <si>
    <t>6050 Charitable Donations</t>
  </si>
  <si>
    <t>6051 Quarterly Charitable Giving</t>
  </si>
  <si>
    <t>6052 Quarterly Employee Giving</t>
  </si>
  <si>
    <t>6060 Advertising and Promotion</t>
  </si>
  <si>
    <t>6061 Gift Non-Employee</t>
  </si>
  <si>
    <t>6062 Gifts - Employee</t>
  </si>
  <si>
    <t>6065 Computer &amp; Internet Expense</t>
  </si>
  <si>
    <t>6090 Depreciation Expense</t>
  </si>
  <si>
    <t>6100 Dues &amp; Subscriptions</t>
  </si>
  <si>
    <t>6130 Fuel</t>
  </si>
  <si>
    <t>6140 Insurance - General Liability</t>
  </si>
  <si>
    <t>6155 Health and Wellness</t>
  </si>
  <si>
    <t>6160 Insurance - Auto</t>
  </si>
  <si>
    <t>6170 Benefit Expenses</t>
  </si>
  <si>
    <t>6171 Basic Life Insurance</t>
  </si>
  <si>
    <t>6172 Long-Term Disability</t>
  </si>
  <si>
    <t>6173 Health Insurance- EE Only</t>
  </si>
  <si>
    <t>6174 Health Insurance- EE+DEP (AMP Cost)</t>
  </si>
  <si>
    <t>6175 BCBS Adjustments</t>
  </si>
  <si>
    <t>6176 Principal Adjustments</t>
  </si>
  <si>
    <t>6177 GAP Insurance</t>
  </si>
  <si>
    <t>Total for 6170 Benefit Expenses</t>
  </si>
  <si>
    <t>6179 Insurance - Workers' Comp</t>
  </si>
  <si>
    <t>6180 Insurance - Officer's Life</t>
  </si>
  <si>
    <t>6190 Insurance - Umbrella</t>
  </si>
  <si>
    <t>6260 Licenses, Permits &amp; Taxes</t>
  </si>
  <si>
    <t>6270 Meals &amp; Entertainment 50%</t>
  </si>
  <si>
    <t>6275 Meals &amp; Entertainment 100%</t>
  </si>
  <si>
    <t>6280 Miscellaneous</t>
  </si>
  <si>
    <t>6300 Office Supplies</t>
  </si>
  <si>
    <t>6340 Postage &amp; Delivery</t>
  </si>
  <si>
    <t>6370 Professional Fees</t>
  </si>
  <si>
    <t>6380 Training and Education</t>
  </si>
  <si>
    <t>6385 Recruiting Expenses</t>
  </si>
  <si>
    <t>6390 Per Diem</t>
  </si>
  <si>
    <t>6400 Rent - Building</t>
  </si>
  <si>
    <t>6410 Rent - Equipment</t>
  </si>
  <si>
    <t>6420 Repairs &amp; Maint.- Equipment</t>
  </si>
  <si>
    <t>6423 Repairs &amp; Maint. - Office</t>
  </si>
  <si>
    <t>6460 Salaries &amp; Wages</t>
  </si>
  <si>
    <t>6475 Shop Supplies</t>
  </si>
  <si>
    <t>6490 Small Tools Expense</t>
  </si>
  <si>
    <t>6520 Safety Expense</t>
  </si>
  <si>
    <t>6550 Software Renewal</t>
  </si>
  <si>
    <t>6580 Taxes - Other</t>
  </si>
  <si>
    <t>6585 Penalties</t>
  </si>
  <si>
    <t>6660 Telephone Expense</t>
  </si>
  <si>
    <t>6665 Third-Party Testing</t>
  </si>
  <si>
    <t>6670 Travel &amp; Lodging</t>
  </si>
  <si>
    <t>6680 Uniforms Expense</t>
  </si>
  <si>
    <t>6690 Utilities</t>
  </si>
  <si>
    <t>7050 Bad Debt Expense</t>
  </si>
  <si>
    <t>7998 Unapplied Cash Bill Payment Expense</t>
  </si>
  <si>
    <t>8000 Interest Expense</t>
  </si>
  <si>
    <t>Total for Expenses</t>
  </si>
  <si>
    <t>Net Operating Income</t>
  </si>
  <si>
    <t>Other Income</t>
  </si>
  <si>
    <t>7000 Other Income</t>
  </si>
  <si>
    <t>Total for Other Income</t>
  </si>
  <si>
    <t>Other Expenses</t>
  </si>
  <si>
    <t>8500 Loss(Gain) on Asset Disposal</t>
  </si>
  <si>
    <t>Total for Other Expenses</t>
  </si>
  <si>
    <t>Net Other Income</t>
  </si>
  <si>
    <t>Net Income</t>
  </si>
  <si>
    <t>Distribution account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</si>
  <si>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</si>
  <si>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</si>
  <si>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</si>
  <si>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</si>
  <si>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</si>
  <si>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</si>
  <si>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</si>
  <si>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</si>
  <si>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</si>
  <si>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</si>
  <si>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</si>
  <si>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</si>
  <si>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Total</t>
  </si>
  <si>
    <t>Cash Basis Sunday, November 23, 2025 09:21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</si>
</sst>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  <border>
      <left/>
      <right/>
      <top style="thin">
        <color auto="1"/>
      </top>
      <bottom style="thin">
        <color auto="1"/>
      </bottom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8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8" fontId="3" fillId="0" borderId="1" xfId="0" applyNumberFormat="1" applyFont="1" applyBorder="1"/>
    <xf numFmtId="177" fontId="4" fillId="0" borderId="3" xfId="0" applyNumberFormat="1" applyFont="1" applyBorder="1"/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4" fillId="0" borderId="2" xfId="0" applyNumberFormat="1" applyFont="1" applyBorder="1" applyAlignment="1">
      <alignment wrapText="1"/>
    </xf>
    <xf numFmtId="178" fontId="3" fillId="0" borderId="1" xfId="0" applyNumberFormat="1" applyFont="1" applyBorder="1" applyAlignment="1">
      <alignment wrapText="1"/>
    </xf>
    <xf numFmtId="177" fontId="4" fillId="0" borderId="2" xfId="0" applyNumberFormat="1" applyFont="1" applyBorder="1" applyAlignment="1">
      <alignment wrapText="1"/>
    </xf>
    <xf numFmtId="177" fontId="4" fillId="0" borderId="3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N110"/>
  <sheetViews>
    <sheetView tabSelected="1" workbookViewId="0" topLeftCell="A1"/>
  </sheetViews>
  <sheetFormatPr defaultColWidth="11.255" defaultRowHeight="16" outlineLevelRow="2"/>
  <cols>
    <col min="1" max="1" width="37.625" style="38" customWidth="1"/>
    <col min="2" max="3" width="17" style="38" customWidth="1"/>
    <col min="4" max="5" width="16.125" style="38" customWidth="1"/>
    <col min="6" max="6" width="15.25" style="38" customWidth="1"/>
    <col min="7" max="10" width="16.125" style="38" customWidth="1"/>
    <col min="11" max="11" width="17" style="38" customWidth="1"/>
    <col min="12" max="12" width="16.125" style="38" customWidth="1"/>
    <col min="13" max="13" width="17" style="38" customWidth="1"/>
    <col min="14" max="14" width="16.125" style="38" customWidth="1"/>
  </cols>
  <sheetData>
    <row r="1" spans="1:1" ht="16">
      <c r="A1" s="29" t="s">
        <v>0</v>
      </c>
    </row>
    <row r="2" spans="1:1" ht="16">
      <c r="A2" s="30" t="s">
        <v>1</v>
      </c>
    </row>
    <row r="3" spans="1:1" ht="16">
      <c r="A3" s="31" t="s">
        <v>2</v>
      </c>
    </row>
    <row r="5" spans="1:14" ht="16">
      <c r="A5" s="40" t="s">
        <v>104</v>
      </c>
      <c r="B5" s="40" t="s">
        <v>105</v>
      </c>
      <c r="C5" s="40" t="s">
        <v>106</v>
      </c>
      <c r="D5" s="40" t="s">
        <v>107</v>
      </c>
      <c r="E5" s="40" t="s">
        <v>108</v>
      </c>
      <c r="F5" s="40" t="s">
        <v>109</v>
      </c>
      <c r="G5" s="40" t="s">
        <v>110</v>
      </c>
      <c r="H5" s="40" t="s">
        <v>111</v>
      </c>
      <c r="I5" s="40" t="s">
        <v>112</v>
      </c>
      <c r="J5" s="40" t="s">
        <v>113</v>
      </c>
      <c r="K5" s="40" t="s">
        <v>114</v>
      </c>
      <c r="L5" s="40" t="s">
        <v>115</v>
      </c>
      <c r="M5" s="40" t="s">
        <v>116</v>
      </c>
      <c r="N5" s="40" t="s">
        <v>117</v>
      </c>
    </row>
    <row r="6" spans="1:13" ht="16">
      <c r="A6" s="33" t="s">
        <v>3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</row>
    <row r="7" spans="1:14" ht="16" outlineLevel="1">
      <c r="A7" s="34" t="s">
        <v>4</v>
      </c>
      <c r="B7" s="42">
        <v>161373.18</v>
      </c>
      <c r="C7" s="42">
        <v>121704.0</v>
      </c>
      <c r="D7" s="42">
        <v>711615.3</v>
      </c>
      <c r="E7" s="42">
        <v>184733.67</v>
      </c>
      <c r="F7" s="42">
        <v>64915.92</v>
      </c>
      <c r="G7" s="42">
        <v>26798.0</v>
      </c>
      <c r="H7" s="41"/>
      <c r="I7" s="41"/>
      <c r="J7" s="41"/>
      <c r="K7" s="42">
        <v>22701.33</v>
      </c>
      <c r="L7" s="41"/>
      <c r="M7" s="41"/>
      <c r="N7" s="42">
        <v>1293841.4</v>
      </c>
    </row>
    <row r="8" spans="1:14" ht="16" outlineLevel="2">
      <c r="A8" s="35" t="s">
        <v>5</v>
      </c>
      <c r="B8" s="41"/>
      <c r="C8" s="41"/>
      <c r="D8" s="41"/>
      <c r="E8" s="42">
        <v>31071.0</v>
      </c>
      <c r="F8" s="42">
        <v>325952.78</v>
      </c>
      <c r="G8" s="42">
        <v>112476.44</v>
      </c>
      <c r="H8" s="42">
        <v>319502.03</v>
      </c>
      <c r="I8" s="42">
        <v>520745.67</v>
      </c>
      <c r="J8" s="42">
        <v>191940.76</v>
      </c>
      <c r="K8" s="42">
        <v>151783.8</v>
      </c>
      <c r="L8" s="42">
        <v>445540.71</v>
      </c>
      <c r="M8" s="42">
        <v>536248.33</v>
      </c>
      <c r="N8" s="42">
        <v>2635261.52</v>
      </c>
    </row>
    <row r="9" spans="1:14" ht="16" outlineLevel="2">
      <c r="A9" s="35" t="s">
        <v>6</v>
      </c>
      <c r="B9" s="41"/>
      <c r="C9" s="41"/>
      <c r="D9" s="41"/>
      <c r="E9" s="41"/>
      <c r="F9" s="42">
        <v>1660.0</v>
      </c>
      <c r="G9" s="42">
        <v>116167.77</v>
      </c>
      <c r="H9" s="42">
        <v>115009.68</v>
      </c>
      <c r="I9" s="42">
        <v>48829.04</v>
      </c>
      <c r="J9" s="42">
        <v>246378.58</v>
      </c>
      <c r="K9" s="42">
        <v>147682.63</v>
      </c>
      <c r="L9" s="42">
        <v>147019.52</v>
      </c>
      <c r="M9" s="42">
        <v>179550.0</v>
      </c>
      <c r="N9" s="42">
        <v>1002297.22</v>
      </c>
    </row>
    <row r="10" spans="1:14" ht="16" outlineLevel="2">
      <c r="A10" s="35" t="s">
        <v>7</v>
      </c>
      <c r="B10" s="42">
        <v>4575.0</v>
      </c>
      <c r="C10" s="41"/>
      <c r="D10" s="41"/>
      <c r="E10" s="41"/>
      <c r="F10" s="41"/>
      <c r="G10" s="42">
        <v>9000.0</v>
      </c>
      <c r="H10" s="41"/>
      <c r="I10" s="42">
        <v>1607.77</v>
      </c>
      <c r="J10" s="41"/>
      <c r="K10" s="41"/>
      <c r="L10" s="41"/>
      <c r="M10" s="41"/>
      <c r="N10" s="42">
        <v>15182.77</v>
      </c>
    </row>
    <row r="11" spans="1:14" ht="16" outlineLevel="2">
      <c r="A11" s="35" t="s">
        <v>8</v>
      </c>
      <c r="B11" s="42">
        <v>2.22</v>
      </c>
      <c r="C11" s="42">
        <v>156.22</v>
      </c>
      <c r="D11" s="42">
        <v>214.52</v>
      </c>
      <c r="E11" s="42">
        <v>97.66</v>
      </c>
      <c r="F11" s="42">
        <v>111.99</v>
      </c>
      <c r="G11" s="42">
        <v>401.97</v>
      </c>
      <c r="H11" s="42">
        <v>40.5</v>
      </c>
      <c r="I11" s="42">
        <v>241.12</v>
      </c>
      <c r="J11" s="41"/>
      <c r="K11" s="41"/>
      <c r="L11" s="42">
        <v>485.92</v>
      </c>
      <c r="M11" s="41"/>
      <c r="N11" s="42">
        <v>1752.12</v>
      </c>
    </row>
    <row r="12" spans="1:14" ht="16" outlineLevel="2">
      <c r="A12" s="35" t="s">
        <v>9</v>
      </c>
      <c r="B12" s="42">
        <v>-826.65</v>
      </c>
      <c r="C12" s="42">
        <v>-101.12</v>
      </c>
      <c r="D12" s="42">
        <v>-438.4</v>
      </c>
      <c r="E12" s="42">
        <v>-623.87</v>
      </c>
      <c r="F12" s="42">
        <v>-1056.2</v>
      </c>
      <c r="G12" s="42">
        <v>-22.2</v>
      </c>
      <c r="H12" s="42">
        <v>-846.7</v>
      </c>
      <c r="I12" s="42">
        <v>-419.42</v>
      </c>
      <c r="J12" s="42">
        <v>-392.82</v>
      </c>
      <c r="K12" s="41"/>
      <c r="L12" s="42">
        <v>-1824.96</v>
      </c>
      <c r="M12" s="41"/>
      <c r="N12" s="42">
        <v>-6552.339999999999</v>
      </c>
    </row>
    <row r="13" spans="1:14" ht="16" outlineLevel="2">
      <c r="A13" s="35" t="s">
        <v>10</v>
      </c>
      <c r="B13" s="41"/>
      <c r="C13" s="42">
        <v>0</v>
      </c>
      <c r="D13" s="41"/>
      <c r="E13" s="41"/>
      <c r="F13" s="41"/>
      <c r="G13" s="42">
        <v>7000.0</v>
      </c>
      <c r="H13" s="41"/>
      <c r="I13" s="41"/>
      <c r="J13" s="41"/>
      <c r="K13" s="41"/>
      <c r="L13" s="41"/>
      <c r="M13" s="41"/>
      <c r="N13" s="42">
        <f>B13+C13+D13+E13+F13+G13+H13+I13+J13+B130+B131+B132</f>
        <v>7000.0</v>
      </c>
    </row>
    <row r="14" spans="1:14" ht="16" outlineLevel="2">
      <c r="A14" s="35" t="s">
        <v>11</v>
      </c>
      <c r="B14" s="41"/>
      <c r="C14" s="41"/>
      <c r="D14" s="41"/>
      <c r="E14" s="41"/>
      <c r="F14" s="41"/>
      <c r="G14" s="41"/>
      <c r="H14" s="42">
        <v>5600.0</v>
      </c>
      <c r="I14" s="42">
        <v>5500.0</v>
      </c>
      <c r="J14" s="41"/>
      <c r="K14" s="41"/>
      <c r="L14" s="42">
        <v>4500.0</v>
      </c>
      <c r="M14" s="41"/>
      <c r="N14" s="44">
        <v>15600.0</v>
      </c>
    </row>
    <row r="15" spans="1:14" ht="16" outlineLevel="1">
      <c r="A15" s="36" t="s">
        <v>12</v>
      </c>
      <c r="B15" s="43">
        <f>B7+B8+B9+B10+B11+B12+B13+B14</f>
        <v>165123.75</v>
      </c>
      <c r="C15" s="43">
        <f>C7+C8+C9+C10+C11+C12+C13+C14</f>
        <v>121759.1</v>
      </c>
      <c r="D15" s="43">
        <f>D7+D8+D9+D10+D11+D12+D13+D14</f>
        <v>711391.42</v>
      </c>
      <c r="E15" s="43">
        <f>E7+E8+E9+E10+E11+E12+E13+E14</f>
        <v>215278.46000000002</v>
      </c>
      <c r="F15" s="43">
        <f>F7+F8+F9+F10+F11+F12+F13+F14</f>
        <v>391584.49</v>
      </c>
      <c r="G15" s="43">
        <f>G7+G8+G9+G10+G11+G12+G13+G14</f>
        <v>271821.98</v>
      </c>
      <c r="H15" s="43">
        <f>H7+H8+H9+H10+H11+H12+H13+H14</f>
        <v>439305.51</v>
      </c>
      <c r="I15" s="43">
        <f>I7+I8+I9+I10+I11+I12+I13+I14</f>
        <v>576504.1799999999</v>
      </c>
      <c r="J15" s="43">
        <f>J7+J8+J9+J10+J11+J12+J13+J14</f>
        <v>437926.51999999996</v>
      </c>
      <c r="K15" s="43">
        <f>K7+K8+K9+K10+K11+K12+K13+K14</f>
        <v>322167.76</v>
      </c>
      <c r="L15" s="43">
        <f>L7+L8+L9+L10+L11+L12+L13+L14</f>
        <v>595721.1900000001</v>
      </c>
      <c r="M15" s="43">
        <f>M7+M8+M9+M10+M11+M12+M13+M14</f>
        <v>715798.33</v>
      </c>
      <c r="N15" s="45">
        <v>4964382.690000001</v>
      </c>
    </row>
    <row r="16" spans="1:14" ht="16" outlineLevel="1">
      <c r="A16" s="34" t="s">
        <v>13</v>
      </c>
      <c r="B16" s="41"/>
      <c r="C16" s="41"/>
      <c r="D16" s="41"/>
      <c r="E16" s="42">
        <v>1755.1</v>
      </c>
      <c r="F16" s="41"/>
      <c r="G16" s="41"/>
      <c r="H16" s="41"/>
      <c r="I16" s="41"/>
      <c r="J16" s="41"/>
      <c r="K16" s="41"/>
      <c r="L16" s="41"/>
      <c r="M16" s="41"/>
      <c r="N16" s="42">
        <f>B16+C16+D16+E16+F16+G16+H16+I16+J16+B160+B161+B162</f>
        <v>1755.1</v>
      </c>
    </row>
    <row r="17" spans="1:14" ht="16" outlineLevel="1">
      <c r="A17" s="34" t="s">
        <v>14</v>
      </c>
      <c r="B17" s="41"/>
      <c r="C17" s="41"/>
      <c r="D17" s="41"/>
      <c r="E17" s="41"/>
      <c r="F17" s="41"/>
      <c r="G17" s="41"/>
      <c r="H17" s="42">
        <v>1607.77</v>
      </c>
      <c r="I17" s="42">
        <v>-1607.77</v>
      </c>
      <c r="J17" s="42">
        <v>18338.4</v>
      </c>
      <c r="K17" s="42">
        <v>0</v>
      </c>
      <c r="L17" s="41"/>
      <c r="M17" s="42">
        <v>0</v>
      </c>
      <c r="N17" s="42">
        <f>B17+C17+D17+E17+F17+G17+H17+I17+J17+B170+B171+B172</f>
        <v>18338.4</v>
      </c>
    </row>
    <row r="18" spans="1:14" ht="16">
      <c r="A18" s="37" t="s">
        <v>15</v>
      </c>
      <c r="B18" s="43">
        <f>B15+B16+B17</f>
        <v>165123.75</v>
      </c>
      <c r="C18" s="43">
        <f>C15+C16+C17</f>
        <v>121759.1</v>
      </c>
      <c r="D18" s="43">
        <f>D15+D16+D17</f>
        <v>711391.42</v>
      </c>
      <c r="E18" s="43">
        <f>E15+E16+E17</f>
        <v>217033.56000000003</v>
      </c>
      <c r="F18" s="43">
        <f>F15+F16+F17</f>
        <v>391584.49</v>
      </c>
      <c r="G18" s="43">
        <f>G15+G16+G17</f>
        <v>271821.98</v>
      </c>
      <c r="H18" s="43">
        <f>H15+H16+H17</f>
        <v>440913.28</v>
      </c>
      <c r="I18" s="43">
        <f>I15+I16+I17</f>
        <v>574896.4099999999</v>
      </c>
      <c r="J18" s="43">
        <f>J15+J16+J17</f>
        <v>456264.92</v>
      </c>
      <c r="K18" s="43">
        <f>K15+K16+K17</f>
        <v>322167.76</v>
      </c>
      <c r="L18" s="43">
        <f>L15+L16+L17</f>
        <v>595721.1900000001</v>
      </c>
      <c r="M18" s="43">
        <f>M15+M16+M17</f>
        <v>715798.33</v>
      </c>
      <c r="N18" s="45">
        <v>4984476.190000001</v>
      </c>
    </row>
    <row r="19" spans="1:13" ht="16">
      <c r="A19" s="33" t="s">
        <v>16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1:14" ht="16" outlineLevel="1">
      <c r="A20" s="34" t="s">
        <v>17</v>
      </c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spans="1:14" ht="16" outlineLevel="2">
      <c r="A21" s="35" t="s">
        <v>18</v>
      </c>
      <c r="B21" s="42">
        <v>401918.85</v>
      </c>
      <c r="C21" s="42">
        <v>31195.59</v>
      </c>
      <c r="D21" s="42">
        <v>3264.86</v>
      </c>
      <c r="E21" s="42">
        <v>1202.59</v>
      </c>
      <c r="F21" s="42">
        <v>26179.84</v>
      </c>
      <c r="G21" s="42">
        <v>2183.17</v>
      </c>
      <c r="H21" s="42">
        <v>86573.09</v>
      </c>
      <c r="I21" s="42">
        <v>181803.62</v>
      </c>
      <c r="J21" s="42">
        <v>31916.93</v>
      </c>
      <c r="K21" s="42">
        <v>55094.11</v>
      </c>
      <c r="L21" s="42">
        <v>8163.62</v>
      </c>
      <c r="M21" s="42">
        <v>9893.92</v>
      </c>
      <c r="N21" s="42">
        <v>839390.1900000001</v>
      </c>
    </row>
    <row r="22" spans="1:14" ht="16" outlineLevel="2">
      <c r="A22" s="35" t="s">
        <v>19</v>
      </c>
      <c r="B22" s="41"/>
      <c r="C22" s="41"/>
      <c r="D22" s="41"/>
      <c r="E22" s="41"/>
      <c r="F22" s="42">
        <v>302.47</v>
      </c>
      <c r="G22" s="42">
        <v>241.17</v>
      </c>
      <c r="H22" s="42">
        <v>30.68</v>
      </c>
      <c r="I22" s="42">
        <v>3923.93</v>
      </c>
      <c r="J22" s="42">
        <v>2356.03</v>
      </c>
      <c r="K22" s="42">
        <v>4023.39</v>
      </c>
      <c r="L22" s="42">
        <v>4053.9</v>
      </c>
      <c r="M22" s="42">
        <v>4508.64</v>
      </c>
      <c r="N22" s="42">
        <v>19440.21</v>
      </c>
    </row>
    <row r="23" spans="1:14" ht="16" outlineLevel="2">
      <c r="A23" s="35" t="s">
        <v>20</v>
      </c>
      <c r="B23" s="41"/>
      <c r="C23" s="41"/>
      <c r="D23" s="41"/>
      <c r="E23" s="41"/>
      <c r="F23" s="42">
        <v>185.84</v>
      </c>
      <c r="G23" s="42">
        <v>324.89</v>
      </c>
      <c r="H23" s="41"/>
      <c r="I23" s="42">
        <v>494.4</v>
      </c>
      <c r="J23" s="42">
        <v>468.35</v>
      </c>
      <c r="K23" s="42">
        <v>1434.67</v>
      </c>
      <c r="L23" s="42">
        <v>542.67</v>
      </c>
      <c r="M23" s="42">
        <v>283.56</v>
      </c>
      <c r="N23" s="42">
        <v>3734.38</v>
      </c>
    </row>
    <row r="24" spans="1:14" ht="16" outlineLevel="2">
      <c r="A24" s="35" t="s">
        <v>21</v>
      </c>
      <c r="B24" s="42">
        <v>5182.87</v>
      </c>
      <c r="C24" s="41"/>
      <c r="D24" s="41"/>
      <c r="E24" s="41"/>
      <c r="F24" s="42">
        <v>2767.82</v>
      </c>
      <c r="G24" s="42">
        <v>3881.24</v>
      </c>
      <c r="H24" s="42">
        <v>-36.33</v>
      </c>
      <c r="I24" s="42">
        <v>37151.33</v>
      </c>
      <c r="J24" s="42">
        <v>17953.62</v>
      </c>
      <c r="K24" s="42">
        <v>11235.63</v>
      </c>
      <c r="L24" s="42">
        <v>9555.03</v>
      </c>
      <c r="M24" s="42">
        <v>7321.74</v>
      </c>
      <c r="N24" s="42">
        <v>95012.95000000001</v>
      </c>
    </row>
    <row r="25" spans="1:14" ht="16" outlineLevel="2">
      <c r="A25" s="35" t="s">
        <v>22</v>
      </c>
      <c r="B25" s="41"/>
      <c r="C25" s="41"/>
      <c r="D25" s="41"/>
      <c r="E25" s="41"/>
      <c r="F25" s="41"/>
      <c r="G25" s="41"/>
      <c r="H25" s="41"/>
      <c r="I25" s="42">
        <v>229.83</v>
      </c>
      <c r="J25" s="41"/>
      <c r="K25" s="41"/>
      <c r="L25" s="42">
        <v>187.0</v>
      </c>
      <c r="M25" s="42">
        <v>518.41</v>
      </c>
      <c r="N25" s="42">
        <v>935.24</v>
      </c>
    </row>
    <row r="26" spans="1:14" ht="16" outlineLevel="2">
      <c r="A26" s="35" t="s">
        <v>23</v>
      </c>
      <c r="B26" s="41"/>
      <c r="C26" s="41"/>
      <c r="D26" s="41"/>
      <c r="E26" s="41"/>
      <c r="F26" s="41"/>
      <c r="G26" s="41"/>
      <c r="H26" s="41"/>
      <c r="I26" s="42">
        <v>36895.97</v>
      </c>
      <c r="J26" s="42">
        <v>82264.64</v>
      </c>
      <c r="K26" s="42">
        <v>91277.73</v>
      </c>
      <c r="L26" s="42">
        <v>107220.78</v>
      </c>
      <c r="M26" s="42">
        <v>92045.01</v>
      </c>
      <c r="N26" s="42">
        <v>409704.13</v>
      </c>
    </row>
    <row r="27" spans="1:14" ht="16" outlineLevel="2">
      <c r="A27" s="35" t="s">
        <v>24</v>
      </c>
      <c r="B27" s="41"/>
      <c r="C27" s="41"/>
      <c r="D27" s="41"/>
      <c r="E27" s="41"/>
      <c r="F27" s="41"/>
      <c r="G27" s="41"/>
      <c r="H27" s="41"/>
      <c r="I27" s="42">
        <v>1624.16</v>
      </c>
      <c r="J27" s="41"/>
      <c r="K27" s="41"/>
      <c r="L27" s="42">
        <v>3860.32</v>
      </c>
      <c r="M27" s="42">
        <v>14913.4</v>
      </c>
      <c r="N27" s="42">
        <v>20397.88</v>
      </c>
    </row>
    <row r="28" spans="1:14" ht="16" outlineLevel="2">
      <c r="A28" s="35" t="s">
        <v>25</v>
      </c>
      <c r="B28" s="42">
        <v>25016.17</v>
      </c>
      <c r="C28" s="42">
        <v>10828.69</v>
      </c>
      <c r="D28" s="42">
        <v>46382.95</v>
      </c>
      <c r="E28" s="42">
        <v>2355.82</v>
      </c>
      <c r="F28" s="42">
        <v>3706.0</v>
      </c>
      <c r="G28" s="41"/>
      <c r="H28" s="42">
        <v>37406.73</v>
      </c>
      <c r="I28" s="42">
        <v>46830.06</v>
      </c>
      <c r="J28" s="42">
        <v>16346.46</v>
      </c>
      <c r="K28" s="42">
        <v>26496.23</v>
      </c>
      <c r="L28" s="42">
        <v>71496.83</v>
      </c>
      <c r="M28" s="42">
        <v>95055.43</v>
      </c>
      <c r="N28" s="42">
        <v>381921.37</v>
      </c>
    </row>
    <row r="29" spans="1:14" ht="16" outlineLevel="2">
      <c r="A29" s="35" t="s">
        <v>26</v>
      </c>
      <c r="B29" s="41"/>
      <c r="C29" s="41"/>
      <c r="D29" s="41"/>
      <c r="E29" s="41"/>
      <c r="F29" s="42">
        <v>300.0</v>
      </c>
      <c r="G29" s="42">
        <v>300.0</v>
      </c>
      <c r="H29" s="41"/>
      <c r="I29" s="41"/>
      <c r="J29" s="41"/>
      <c r="K29" s="41"/>
      <c r="L29" s="42">
        <v>5700.0</v>
      </c>
      <c r="M29" s="41"/>
      <c r="N29" s="42">
        <v>6300.0</v>
      </c>
    </row>
    <row r="30" spans="1:14" ht="16" outlineLevel="2">
      <c r="A30" s="35" t="s">
        <v>27</v>
      </c>
      <c r="B30" s="41"/>
      <c r="C30" s="41"/>
      <c r="D30" s="41"/>
      <c r="E30" s="41"/>
      <c r="F30" s="41"/>
      <c r="G30" s="41"/>
      <c r="H30" s="42">
        <v>5167.5</v>
      </c>
      <c r="I30" s="41"/>
      <c r="J30" s="41"/>
      <c r="K30" s="41"/>
      <c r="L30" s="41"/>
      <c r="M30" s="41"/>
      <c r="N30" s="42">
        <f>B30+C30+D30+E30+F30+G30+H30+I30+J30+B300+B301+B302</f>
        <v>5167.5</v>
      </c>
    </row>
    <row r="31" spans="1:14" ht="16" outlineLevel="1">
      <c r="A31" s="36" t="s">
        <v>28</v>
      </c>
      <c r="B31" s="43">
        <f>B20+B21+B22+B23+B24+B25+B26+B27+B28+B29+B30</f>
        <v>432117.88999999996</v>
      </c>
      <c r="C31" s="43">
        <f>C20+C21+C22+C23+C24+C25+C26+C27+C28+C29+C30</f>
        <v>42024.28</v>
      </c>
      <c r="D31" s="43">
        <f>D20+D21+D22+D23+D24+D25+D26+D27+D28+D29+D30</f>
        <v>49647.81</v>
      </c>
      <c r="E31" s="43">
        <f>E20+E21+E22+E23+E24+E25+E26+E27+E28+E29+E30</f>
        <v>3558.41</v>
      </c>
      <c r="F31" s="43">
        <f>F20+F21+F22+F23+F24+F25+F26+F27+F28+F29+F30</f>
        <v>33441.97</v>
      </c>
      <c r="G31" s="43">
        <f>G20+G21+G22+G23+G24+G25+G26+G27+G28+G29+G30</f>
        <v>6930.469999999999</v>
      </c>
      <c r="H31" s="43">
        <f>H20+H21+H22+H23+H24+H25+H26+H27+H28+H29+H30</f>
        <v>129141.66999999998</v>
      </c>
      <c r="I31" s="43">
        <f>I20+I21+I22+I23+I24+I25+I26+I27+I28+I29+I30</f>
        <v>308953.29999999993</v>
      </c>
      <c r="J31" s="43">
        <f>J20+J21+J22+J23+J24+J25+J26+J27+J28+J29+J30</f>
        <v>151306.03</v>
      </c>
      <c r="K31" s="43">
        <f>K20+K21+K22+K23+K24+K25+K26+K27+K28+K29+K30</f>
        <v>189561.76</v>
      </c>
      <c r="L31" s="43">
        <f>L20+L21+L22+L23+L24+L25+L26+L27+L28+L29+L30</f>
        <v>210780.15000000002</v>
      </c>
      <c r="M31" s="43">
        <f>M20+M21+M22+M23+M24+M25+M26+M27+M28+M29+M30</f>
        <v>224540.11</v>
      </c>
      <c r="N31" s="46">
        <v>1782003.85</v>
      </c>
    </row>
    <row r="32" spans="1:14" ht="16">
      <c r="A32" s="37" t="s">
        <v>29</v>
      </c>
      <c r="B32" s="43">
        <f>B31</f>
        <v>432117.88999999996</v>
      </c>
      <c r="C32" s="43">
        <f>C31</f>
        <v>42024.28</v>
      </c>
      <c r="D32" s="43">
        <f>D31</f>
        <v>49647.81</v>
      </c>
      <c r="E32" s="43">
        <f>E31</f>
        <v>3558.41</v>
      </c>
      <c r="F32" s="43">
        <f>F31</f>
        <v>33441.97</v>
      </c>
      <c r="G32" s="43">
        <f>G31</f>
        <v>6930.469999999999</v>
      </c>
      <c r="H32" s="43">
        <f>H31</f>
        <v>129141.66999999998</v>
      </c>
      <c r="I32" s="43">
        <f>I31</f>
        <v>308953.29999999993</v>
      </c>
      <c r="J32" s="43">
        <f>J31</f>
        <v>151306.03</v>
      </c>
      <c r="K32" s="43">
        <f>K31</f>
        <v>189561.76</v>
      </c>
      <c r="L32" s="43">
        <f>L31</f>
        <v>210780.15000000002</v>
      </c>
      <c r="M32" s="43">
        <f>M31</f>
        <v>224540.11</v>
      </c>
      <c r="N32" s="46">
        <v>1782003.85</v>
      </c>
    </row>
    <row r="33" spans="1:14" ht="16">
      <c r="A33" s="37" t="s">
        <v>30</v>
      </c>
      <c r="B33" s="43">
        <f>B18-B32</f>
        <v>-266994.13999999996</v>
      </c>
      <c r="C33" s="43">
        <f>C18-C32</f>
        <v>79734.82</v>
      </c>
      <c r="D33" s="43">
        <f>D18-D32</f>
        <v>661743.6100000001</v>
      </c>
      <c r="E33" s="43">
        <f>E18-E32</f>
        <v>213475.15000000002</v>
      </c>
      <c r="F33" s="43">
        <f>F18-F32</f>
        <v>358142.52</v>
      </c>
      <c r="G33" s="43">
        <f>G18-G32</f>
        <v>264891.51</v>
      </c>
      <c r="H33" s="43">
        <f>H18-H32</f>
        <v>311771.61000000004</v>
      </c>
      <c r="I33" s="43">
        <f>I18-I32</f>
        <v>265943.11</v>
      </c>
      <c r="J33" s="43">
        <f>J18-J32</f>
        <v>304958.89</v>
      </c>
      <c r="K33" s="43">
        <f>K18-K32</f>
        <v>132606.0</v>
      </c>
      <c r="L33" s="43">
        <f>L18-L32</f>
        <v>384941.04000000004</v>
      </c>
      <c r="M33" s="43">
        <f>M18-M32</f>
        <v>491258.22</v>
      </c>
      <c r="N33" s="45">
        <v>3202472.3400000012</v>
      </c>
    </row>
    <row r="34" spans="1:13" ht="16">
      <c r="A34" s="33" t="s">
        <v>31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</row>
    <row r="35" spans="1:14" ht="16" outlineLevel="1">
      <c r="A35" s="34" t="s">
        <v>32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</row>
    <row r="36" spans="1:14" ht="16" outlineLevel="2">
      <c r="A36" s="35" t="s">
        <v>33</v>
      </c>
      <c r="B36" s="42">
        <v>146082.88</v>
      </c>
      <c r="C36" s="42">
        <v>149263.07</v>
      </c>
      <c r="D36" s="42">
        <v>213768.73</v>
      </c>
      <c r="E36" s="42">
        <v>145277.29</v>
      </c>
      <c r="F36" s="42">
        <v>150187.51</v>
      </c>
      <c r="G36" s="42">
        <v>157126.6</v>
      </c>
      <c r="H36" s="42">
        <v>155057.94</v>
      </c>
      <c r="I36" s="42">
        <v>223896.87</v>
      </c>
      <c r="J36" s="42">
        <v>92240.98</v>
      </c>
      <c r="K36" s="42">
        <v>112836.98</v>
      </c>
      <c r="L36" s="42">
        <v>137107.73</v>
      </c>
      <c r="M36" s="42">
        <v>149071.02</v>
      </c>
      <c r="N36" s="42">
        <v>1831917.6</v>
      </c>
    </row>
    <row r="37" spans="1:14" ht="16" outlineLevel="2">
      <c r="A37" s="35" t="s">
        <v>34</v>
      </c>
      <c r="B37" s="42">
        <v>12735.11</v>
      </c>
      <c r="C37" s="42">
        <v>12183.34</v>
      </c>
      <c r="D37" s="42">
        <v>16909.5</v>
      </c>
      <c r="E37" s="42">
        <v>10988.34</v>
      </c>
      <c r="F37" s="42">
        <v>11314.49</v>
      </c>
      <c r="G37" s="42">
        <v>10040.07</v>
      </c>
      <c r="H37" s="42">
        <v>11910.0</v>
      </c>
      <c r="I37" s="42">
        <v>19724.4</v>
      </c>
      <c r="J37" s="42">
        <v>13216.04</v>
      </c>
      <c r="K37" s="42">
        <v>15698.18</v>
      </c>
      <c r="L37" s="42">
        <v>19095.63</v>
      </c>
      <c r="M37" s="42">
        <v>9683.64</v>
      </c>
      <c r="N37" s="42">
        <v>163498.74</v>
      </c>
    </row>
    <row r="38" spans="1:14" ht="16" outlineLevel="2">
      <c r="A38" s="35" t="s">
        <v>35</v>
      </c>
      <c r="B38" s="42">
        <v>-15782.81</v>
      </c>
      <c r="C38" s="42">
        <v>-38525.99</v>
      </c>
      <c r="D38" s="42">
        <v>-17689.62</v>
      </c>
      <c r="E38" s="42">
        <v>-8311.52</v>
      </c>
      <c r="F38" s="42">
        <v>-22842.75</v>
      </c>
      <c r="G38" s="42">
        <v>-16798.86</v>
      </c>
      <c r="H38" s="42">
        <v>-18488.16</v>
      </c>
      <c r="I38" s="42">
        <v>-27246.0</v>
      </c>
      <c r="J38" s="42">
        <v>-20338.67</v>
      </c>
      <c r="K38" s="42">
        <v>-39237.9</v>
      </c>
      <c r="L38" s="42">
        <v>-25510.25</v>
      </c>
      <c r="M38" s="42">
        <v>-33244.04</v>
      </c>
      <c r="N38" s="44">
        <v>-284016.57</v>
      </c>
    </row>
    <row r="39" spans="1:14" ht="16" outlineLevel="1">
      <c r="A39" s="36" t="s">
        <v>36</v>
      </c>
      <c r="B39" s="43">
        <f>B35+B36+B37+B38</f>
        <v>143035.18</v>
      </c>
      <c r="C39" s="43">
        <f>C35+C36+C37+C38</f>
        <v>122920.42000000001</v>
      </c>
      <c r="D39" s="43">
        <f>D35+D36+D37+D38</f>
        <v>212988.61000000002</v>
      </c>
      <c r="E39" s="43">
        <f>E35+E36+E37+E38</f>
        <v>147954.11000000002</v>
      </c>
      <c r="F39" s="43">
        <f>F35+F36+F37+F38</f>
        <v>138659.25</v>
      </c>
      <c r="G39" s="43">
        <f>G35+G36+G37+G38</f>
        <v>150367.81</v>
      </c>
      <c r="H39" s="43">
        <f>H35+H36+H37+H38</f>
        <v>148479.78</v>
      </c>
      <c r="I39" s="43">
        <f>I35+I36+I37+I38</f>
        <v>216375.27</v>
      </c>
      <c r="J39" s="43">
        <f>J35+J36+J37+J38</f>
        <v>85118.34999999999</v>
      </c>
      <c r="K39" s="43">
        <f>K35+K36+K37+K38</f>
        <v>89297.26000000001</v>
      </c>
      <c r="L39" s="43">
        <f>L35+L36+L37+L38</f>
        <v>130693.11000000002</v>
      </c>
      <c r="M39" s="43">
        <f>M35+M36+M37+M38</f>
        <v>125510.61999999997</v>
      </c>
      <c r="N39" s="45">
        <v>1711399.77</v>
      </c>
    </row>
    <row r="40" spans="1:14" ht="16" outlineLevel="1">
      <c r="A40" s="34" t="s">
        <v>37</v>
      </c>
      <c r="B40" s="42">
        <v>-6700.45</v>
      </c>
      <c r="C40" s="42">
        <v>2037.86</v>
      </c>
      <c r="D40" s="42">
        <v>7569.33</v>
      </c>
      <c r="E40" s="42">
        <v>7198.68</v>
      </c>
      <c r="F40" s="42">
        <v>8348.51</v>
      </c>
      <c r="G40" s="42">
        <v>6059.83</v>
      </c>
      <c r="H40" s="42">
        <v>5952.81</v>
      </c>
      <c r="I40" s="42">
        <v>2034.48</v>
      </c>
      <c r="J40" s="42">
        <v>1012.02</v>
      </c>
      <c r="K40" s="42">
        <v>3656.46</v>
      </c>
      <c r="L40" s="42">
        <v>10555.38</v>
      </c>
      <c r="M40" s="42">
        <v>6934.66</v>
      </c>
      <c r="N40" s="42">
        <v>54659.56999999999</v>
      </c>
    </row>
    <row r="41" spans="1:14" ht="16" outlineLevel="1">
      <c r="A41" s="34" t="s">
        <v>38</v>
      </c>
      <c r="B41" s="42">
        <v>-1.05</v>
      </c>
      <c r="C41" s="42">
        <v>-1.05</v>
      </c>
      <c r="D41" s="41"/>
      <c r="E41" s="42">
        <v>30.0</v>
      </c>
      <c r="F41" s="41"/>
      <c r="G41" s="41"/>
      <c r="H41" s="42">
        <v>45.95</v>
      </c>
      <c r="I41" s="42">
        <v>118.01</v>
      </c>
      <c r="J41" s="42">
        <v>363.25</v>
      </c>
      <c r="K41" s="41"/>
      <c r="L41" s="42">
        <v>446.5</v>
      </c>
      <c r="M41" s="42">
        <v>50.0</v>
      </c>
      <c r="N41" s="42">
        <v>1051.6100000000001</v>
      </c>
    </row>
    <row r="42" spans="1:14" ht="16" outlineLevel="1">
      <c r="A42" s="34" t="s">
        <v>39</v>
      </c>
      <c r="B42" s="42">
        <v>17.09</v>
      </c>
      <c r="C42" s="42">
        <v>452.9</v>
      </c>
      <c r="D42" s="42">
        <v>445.76</v>
      </c>
      <c r="E42" s="42">
        <v>362.2</v>
      </c>
      <c r="F42" s="42">
        <v>62.14</v>
      </c>
      <c r="G42" s="42">
        <v>157.86</v>
      </c>
      <c r="H42" s="42">
        <v>208.53</v>
      </c>
      <c r="I42" s="42">
        <v>354.96</v>
      </c>
      <c r="J42" s="42">
        <v>2789.9</v>
      </c>
      <c r="K42" s="42">
        <v>456.74</v>
      </c>
      <c r="L42" s="42">
        <v>2481.7</v>
      </c>
      <c r="M42" s="42">
        <v>68.17</v>
      </c>
      <c r="N42" s="42">
        <v>7857.95</v>
      </c>
    </row>
    <row r="43" spans="1:14" ht="16" outlineLevel="1">
      <c r="A43" s="34" t="s">
        <v>40</v>
      </c>
      <c r="B43" s="41"/>
      <c r="C43" s="41"/>
      <c r="D43" s="41"/>
      <c r="E43" s="42">
        <v>5000.0</v>
      </c>
      <c r="F43" s="41"/>
      <c r="G43" s="41"/>
      <c r="H43" s="41"/>
      <c r="I43" s="42">
        <v>105.0</v>
      </c>
      <c r="J43" s="41"/>
      <c r="K43" s="42">
        <v>232.92</v>
      </c>
      <c r="L43" s="42">
        <v>250.0</v>
      </c>
      <c r="M43" s="42">
        <v>450.0</v>
      </c>
      <c r="N43" s="42">
        <v>6037.92</v>
      </c>
    </row>
    <row r="44" spans="1:14" ht="16" outlineLevel="1">
      <c r="A44" s="34" t="s">
        <v>41</v>
      </c>
      <c r="B44" s="42">
        <v>4000.0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2">
        <f>B44+C44+D44+E44+F44+G44+H44+I44+J44+B440+B441+B442</f>
        <v>4000.0</v>
      </c>
    </row>
    <row r="45" spans="1:14" ht="16" outlineLevel="1">
      <c r="A45" s="34" t="s">
        <v>42</v>
      </c>
      <c r="B45" s="42">
        <v>4500.0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2">
        <f>B45+C45+D45+E45+F45+G45+H45+I45+J45+B450+B451+B452</f>
        <v>4500.0</v>
      </c>
    </row>
    <row r="46" spans="1:14" ht="16" outlineLevel="1">
      <c r="A46" s="34" t="s">
        <v>43</v>
      </c>
      <c r="B46" s="42">
        <v>1063.5</v>
      </c>
      <c r="C46" s="42">
        <v>663.32</v>
      </c>
      <c r="D46" s="42">
        <v>975.0</v>
      </c>
      <c r="E46" s="42">
        <v>389.32</v>
      </c>
      <c r="F46" s="42">
        <v>1266.47</v>
      </c>
      <c r="G46" s="42">
        <v>2844.46</v>
      </c>
      <c r="H46" s="41"/>
      <c r="I46" s="42">
        <v>315.4</v>
      </c>
      <c r="J46" s="42">
        <v>1185.86</v>
      </c>
      <c r="K46" s="42">
        <v>305.34</v>
      </c>
      <c r="L46" s="42">
        <v>1525.53</v>
      </c>
      <c r="M46" s="42">
        <v>3476.38</v>
      </c>
      <c r="N46" s="42">
        <v>14010.580000000002</v>
      </c>
    </row>
    <row r="47" spans="1:14" ht="16" outlineLevel="1">
      <c r="A47" s="34" t="s">
        <v>44</v>
      </c>
      <c r="B47" s="42">
        <v>45.12</v>
      </c>
      <c r="C47" s="41"/>
      <c r="D47" s="41"/>
      <c r="E47" s="42">
        <v>386.36</v>
      </c>
      <c r="F47" s="42">
        <v>135.54</v>
      </c>
      <c r="G47" s="41"/>
      <c r="H47" s="41"/>
      <c r="I47" s="41"/>
      <c r="J47" s="41"/>
      <c r="K47" s="41"/>
      <c r="L47" s="41"/>
      <c r="M47" s="42">
        <v>355.89</v>
      </c>
      <c r="N47" s="42">
        <v>922.91</v>
      </c>
    </row>
    <row r="48" spans="1:14" ht="16" outlineLevel="1">
      <c r="A48" s="34" t="s">
        <v>45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2">
        <v>85.0</v>
      </c>
      <c r="N48" s="42">
        <v>85.0</v>
      </c>
    </row>
    <row r="49" spans="1:14" ht="16" outlineLevel="1">
      <c r="A49" s="34" t="s">
        <v>46</v>
      </c>
      <c r="B49" s="42">
        <v>3692.81</v>
      </c>
      <c r="C49" s="42">
        <v>633.78</v>
      </c>
      <c r="D49" s="42">
        <v>2744.23</v>
      </c>
      <c r="E49" s="42">
        <v>439.98</v>
      </c>
      <c r="F49" s="42">
        <v>558.77</v>
      </c>
      <c r="G49" s="42">
        <v>567.17</v>
      </c>
      <c r="H49" s="42">
        <v>439.98</v>
      </c>
      <c r="I49" s="42">
        <v>809.98</v>
      </c>
      <c r="J49" s="42">
        <v>4383.79</v>
      </c>
      <c r="K49" s="42">
        <v>1548.12</v>
      </c>
      <c r="L49" s="42">
        <v>6735.99</v>
      </c>
      <c r="M49" s="42">
        <v>3412.4</v>
      </c>
      <c r="N49" s="42">
        <v>25967.0</v>
      </c>
    </row>
    <row r="50" spans="1:14" ht="16" outlineLevel="1">
      <c r="A50" s="34" t="s">
        <v>47</v>
      </c>
      <c r="B50" s="42">
        <v>154.8</v>
      </c>
      <c r="C50" s="42">
        <v>19.5</v>
      </c>
      <c r="D50" s="41"/>
      <c r="E50" s="41"/>
      <c r="F50" s="41"/>
      <c r="G50" s="41"/>
      <c r="H50" s="41"/>
      <c r="I50" s="41"/>
      <c r="J50" s="41"/>
      <c r="K50" s="41"/>
      <c r="L50" s="41"/>
      <c r="M50" s="42">
        <v>244502.89</v>
      </c>
      <c r="N50" s="42">
        <v>244677.19</v>
      </c>
    </row>
    <row r="51" spans="1:14" ht="16" outlineLevel="1">
      <c r="A51" s="34" t="s">
        <v>48</v>
      </c>
      <c r="B51" s="42">
        <v>5016.15</v>
      </c>
      <c r="C51" s="42">
        <v>6656.08</v>
      </c>
      <c r="D51" s="42">
        <v>9443.77</v>
      </c>
      <c r="E51" s="42">
        <v>1628.67</v>
      </c>
      <c r="F51" s="42">
        <v>2955.66</v>
      </c>
      <c r="G51" s="42">
        <v>2198.3</v>
      </c>
      <c r="H51" s="42">
        <v>8192.34</v>
      </c>
      <c r="I51" s="42">
        <v>4969.23</v>
      </c>
      <c r="J51" s="42">
        <v>6184.91</v>
      </c>
      <c r="K51" s="42">
        <v>4036.66</v>
      </c>
      <c r="L51" s="42">
        <v>4371.23</v>
      </c>
      <c r="M51" s="42">
        <v>3523.19</v>
      </c>
      <c r="N51" s="42">
        <v>59176.19</v>
      </c>
    </row>
    <row r="52" spans="1:14" ht="16" outlineLevel="1">
      <c r="A52" s="34" t="s">
        <v>49</v>
      </c>
      <c r="B52" s="42">
        <v>5327.62</v>
      </c>
      <c r="C52" s="42">
        <v>5287.54</v>
      </c>
      <c r="D52" s="42">
        <v>5067.11</v>
      </c>
      <c r="E52" s="42">
        <v>5495.05</v>
      </c>
      <c r="F52" s="42">
        <v>6161.37</v>
      </c>
      <c r="G52" s="42">
        <v>5454.97</v>
      </c>
      <c r="H52" s="42">
        <v>5589.07</v>
      </c>
      <c r="I52" s="42">
        <v>1926.19</v>
      </c>
      <c r="J52" s="42">
        <v>2866.18</v>
      </c>
      <c r="K52" s="42">
        <v>2095.19</v>
      </c>
      <c r="L52" s="42">
        <v>2437.12</v>
      </c>
      <c r="M52" s="42">
        <v>3871.62</v>
      </c>
      <c r="N52" s="42">
        <v>51579.030000000006</v>
      </c>
    </row>
    <row r="53" spans="1:14" ht="16" outlineLevel="1">
      <c r="A53" s="34" t="s">
        <v>50</v>
      </c>
      <c r="B53" s="41"/>
      <c r="C53" s="42">
        <v>30543.58</v>
      </c>
      <c r="D53" s="41"/>
      <c r="E53" s="41"/>
      <c r="F53" s="41"/>
      <c r="G53" s="42">
        <v>2804.0</v>
      </c>
      <c r="H53" s="41"/>
      <c r="I53" s="41"/>
      <c r="J53" s="41"/>
      <c r="K53" s="41"/>
      <c r="L53" s="41"/>
      <c r="M53" s="41"/>
      <c r="N53" s="42">
        <f>B53+C53+D53+E53+F53+G53+H53+I53+J53+B530+B531+B532</f>
        <v>33347.58</v>
      </c>
    </row>
    <row r="54" spans="1:14" ht="16" outlineLevel="1">
      <c r="A54" s="34" t="s">
        <v>51</v>
      </c>
      <c r="B54" s="42">
        <v>334.0</v>
      </c>
      <c r="C54" s="42">
        <v>349.81</v>
      </c>
      <c r="D54" s="42">
        <v>278.35</v>
      </c>
      <c r="E54" s="42">
        <v>249.0</v>
      </c>
      <c r="F54" s="42">
        <v>249.0</v>
      </c>
      <c r="G54" s="42">
        <v>249.0</v>
      </c>
      <c r="H54" s="42">
        <v>293.95</v>
      </c>
      <c r="I54" s="42">
        <v>293.95</v>
      </c>
      <c r="J54" s="42">
        <v>692.9</v>
      </c>
      <c r="K54" s="42">
        <v>303.95</v>
      </c>
      <c r="L54" s="42">
        <v>293.95</v>
      </c>
      <c r="M54" s="42">
        <v>543.95</v>
      </c>
      <c r="N54" s="42">
        <v>4131.8099999999995</v>
      </c>
    </row>
    <row r="55" spans="1:14" ht="16" outlineLevel="1">
      <c r="A55" s="34" t="s">
        <v>52</v>
      </c>
      <c r="B55" s="41"/>
      <c r="C55" s="41"/>
      <c r="D55" s="41"/>
      <c r="E55" s="41"/>
      <c r="F55" s="42">
        <v>7749.0</v>
      </c>
      <c r="G55" s="42">
        <v>-224.0</v>
      </c>
      <c r="H55" s="42">
        <v>625.0</v>
      </c>
      <c r="I55" s="42">
        <v>42374.61</v>
      </c>
      <c r="J55" s="41"/>
      <c r="K55" s="41"/>
      <c r="L55" s="42">
        <v>31948.82</v>
      </c>
      <c r="M55" s="42">
        <v>11781.0</v>
      </c>
      <c r="N55" s="42">
        <v>94254.43</v>
      </c>
    </row>
    <row r="56" spans="1:14" ht="16" outlineLevel="1">
      <c r="A56" s="34" t="s">
        <v>53</v>
      </c>
      <c r="B56" s="42">
        <v>192.96</v>
      </c>
      <c r="C56" s="42">
        <v>1903.36</v>
      </c>
      <c r="D56" s="42">
        <v>1364.57</v>
      </c>
      <c r="E56" s="42">
        <v>192.96</v>
      </c>
      <c r="F56" s="42">
        <v>192.96</v>
      </c>
      <c r="G56" s="42">
        <v>136.18</v>
      </c>
      <c r="H56" s="42">
        <v>192.96</v>
      </c>
      <c r="I56" s="42">
        <v>192.96</v>
      </c>
      <c r="J56" s="42">
        <v>192.96</v>
      </c>
      <c r="K56" s="42">
        <v>192.96</v>
      </c>
      <c r="L56" s="42">
        <v>192.96</v>
      </c>
      <c r="M56" s="42">
        <v>192.96</v>
      </c>
      <c r="N56" s="42">
        <v>5140.749999999999</v>
      </c>
    </row>
    <row r="57" spans="1:14" ht="16" outlineLevel="2">
      <c r="A57" s="35" t="s">
        <v>54</v>
      </c>
      <c r="B57" s="41"/>
      <c r="C57" s="41"/>
      <c r="D57" s="41"/>
      <c r="E57" s="42">
        <v>579.43</v>
      </c>
      <c r="F57" s="42">
        <v>579.43</v>
      </c>
      <c r="G57" s="42">
        <v>554.93</v>
      </c>
      <c r="H57" s="42">
        <v>603.93</v>
      </c>
      <c r="I57" s="42">
        <v>579.43</v>
      </c>
      <c r="J57" s="42">
        <v>579.43</v>
      </c>
      <c r="K57" s="42">
        <v>579.43</v>
      </c>
      <c r="L57" s="42">
        <v>579.43</v>
      </c>
      <c r="M57" s="42">
        <v>603.93</v>
      </c>
      <c r="N57" s="42">
        <v>5239.37</v>
      </c>
    </row>
    <row r="58" spans="1:14" ht="16" outlineLevel="2">
      <c r="A58" s="35" t="s">
        <v>55</v>
      </c>
      <c r="B58" s="41"/>
      <c r="C58" s="41"/>
      <c r="D58" s="41"/>
      <c r="E58" s="42">
        <v>493.25</v>
      </c>
      <c r="F58" s="42">
        <v>519.72</v>
      </c>
      <c r="G58" s="42">
        <v>493.25</v>
      </c>
      <c r="H58" s="42">
        <v>539.22</v>
      </c>
      <c r="I58" s="42">
        <v>519.18</v>
      </c>
      <c r="J58" s="42">
        <v>520.95</v>
      </c>
      <c r="K58" s="42">
        <v>510.34</v>
      </c>
      <c r="L58" s="42">
        <v>495.9</v>
      </c>
      <c r="M58" s="42">
        <v>525.25</v>
      </c>
      <c r="N58" s="42">
        <v>4617.0599999999995</v>
      </c>
    </row>
    <row r="59" spans="1:14" ht="16" outlineLevel="2">
      <c r="A59" s="35" t="s">
        <v>56</v>
      </c>
      <c r="B59" s="42">
        <v>14320.23</v>
      </c>
      <c r="C59" s="42">
        <v>12716.16</v>
      </c>
      <c r="D59" s="42">
        <v>16943.94</v>
      </c>
      <c r="E59" s="42">
        <v>24151.86</v>
      </c>
      <c r="F59" s="42">
        <v>4191.66</v>
      </c>
      <c r="G59" s="42">
        <v>4191.66</v>
      </c>
      <c r="H59" s="42">
        <v>4657.4</v>
      </c>
      <c r="I59" s="42">
        <v>4657.4</v>
      </c>
      <c r="J59" s="42">
        <v>4657.4</v>
      </c>
      <c r="K59" s="42">
        <v>4036.41</v>
      </c>
      <c r="L59" s="42">
        <v>4657.4</v>
      </c>
      <c r="M59" s="42">
        <v>6327.58</v>
      </c>
      <c r="N59" s="42">
        <v>105509.09999999999</v>
      </c>
    </row>
    <row r="60" spans="1:14" ht="16" outlineLevel="2">
      <c r="A60" s="35" t="s">
        <v>57</v>
      </c>
      <c r="B60" s="41"/>
      <c r="C60" s="41"/>
      <c r="D60" s="41"/>
      <c r="E60" s="41"/>
      <c r="F60" s="42">
        <v>10506.12</v>
      </c>
      <c r="G60" s="42">
        <v>8262.08</v>
      </c>
      <c r="H60" s="42">
        <v>11239.18</v>
      </c>
      <c r="I60" s="42">
        <v>7376.23</v>
      </c>
      <c r="J60" s="42">
        <v>11239.18</v>
      </c>
      <c r="K60" s="42">
        <v>11326.71</v>
      </c>
      <c r="L60" s="42">
        <v>10705.72</v>
      </c>
      <c r="M60" s="42">
        <v>28786.59</v>
      </c>
      <c r="N60" s="42">
        <v>99441.81</v>
      </c>
    </row>
    <row r="61" spans="1:14" ht="16" outlineLevel="2">
      <c r="A61" s="35" t="s">
        <v>58</v>
      </c>
      <c r="B61" s="41"/>
      <c r="C61" s="41"/>
      <c r="D61" s="41"/>
      <c r="E61" s="41"/>
      <c r="F61" s="42">
        <v>-2379.78</v>
      </c>
      <c r="G61" s="41"/>
      <c r="H61" s="42">
        <v>2140.11</v>
      </c>
      <c r="I61" s="41"/>
      <c r="J61" s="41"/>
      <c r="K61" s="42">
        <v>-2492.55</v>
      </c>
      <c r="L61" s="42">
        <v>985.82</v>
      </c>
      <c r="M61" s="42">
        <v>3874.12</v>
      </c>
      <c r="N61" s="42">
        <v>2127.72</v>
      </c>
    </row>
    <row r="62" spans="1:14" ht="16" outlineLevel="2">
      <c r="A62" s="35" t="s">
        <v>59</v>
      </c>
      <c r="B62" s="41"/>
      <c r="C62" s="41"/>
      <c r="D62" s="41"/>
      <c r="E62" s="41"/>
      <c r="F62" s="42">
        <v>76.44</v>
      </c>
      <c r="G62" s="42">
        <v>-160.91</v>
      </c>
      <c r="H62" s="42">
        <v>437.31</v>
      </c>
      <c r="I62" s="42">
        <v>-252.28</v>
      </c>
      <c r="J62" s="42">
        <v>15.45</v>
      </c>
      <c r="K62" s="42">
        <v>-90.25</v>
      </c>
      <c r="L62" s="42">
        <v>-86.75</v>
      </c>
      <c r="M62" s="42">
        <v>155.01</v>
      </c>
      <c r="N62" s="42">
        <v>94.02000000000002</v>
      </c>
    </row>
    <row r="63" spans="1:14" ht="16" outlineLevel="2">
      <c r="A63" s="35" t="s">
        <v>60</v>
      </c>
      <c r="B63" s="41"/>
      <c r="C63" s="41"/>
      <c r="D63" s="41"/>
      <c r="E63" s="41"/>
      <c r="F63" s="41"/>
      <c r="G63" s="42">
        <v>3985.8</v>
      </c>
      <c r="H63" s="42">
        <v>4131.75</v>
      </c>
      <c r="I63" s="42">
        <v>4101.75</v>
      </c>
      <c r="J63" s="42">
        <v>4101.75</v>
      </c>
      <c r="K63" s="42">
        <v>4353.81</v>
      </c>
      <c r="L63" s="42">
        <v>4402.02</v>
      </c>
      <c r="M63" s="42">
        <v>4064.17</v>
      </c>
      <c r="N63" s="44">
        <v>29141.050000000003</v>
      </c>
    </row>
    <row r="64" spans="1:14" ht="16" outlineLevel="1">
      <c r="A64" s="36" t="s">
        <v>61</v>
      </c>
      <c r="B64" s="43">
        <f>B56+B57+B58+B59+B60+B61+B62+B63</f>
        <v>14513.189999999999</v>
      </c>
      <c r="C64" s="43">
        <f>C56+C57+C58+C59+C60+C61+C62+C63</f>
        <v>14619.52</v>
      </c>
      <c r="D64" s="43">
        <f>D56+D57+D58+D59+D60+D61+D62+D63</f>
        <v>18308.51</v>
      </c>
      <c r="E64" s="43">
        <f>E56+E57+E58+E59+E60+E61+E62+E63</f>
        <v>25417.5</v>
      </c>
      <c r="F64" s="43">
        <f>F56+F57+F58+F59+F60+F61+F62+F63</f>
        <v>13686.550000000001</v>
      </c>
      <c r="G64" s="43">
        <f>G56+G57+G58+G59+G60+G61+G62+G63</f>
        <v>17462.989999999998</v>
      </c>
      <c r="H64" s="43">
        <f>H56+H57+H58+H59+H60+H61+H62+H63</f>
        <v>23941.860000000004</v>
      </c>
      <c r="I64" s="43">
        <f>I56+I57+I58+I59+I60+I61+I62+I63</f>
        <v>17174.67</v>
      </c>
      <c r="J64" s="43">
        <f>J56+J57+J58+J59+J60+J61+J62+J63</f>
        <v>21307.12</v>
      </c>
      <c r="K64" s="43">
        <f>K56+K57+K58+K59+K60+K61+K62+K63</f>
        <v>18416.86</v>
      </c>
      <c r="L64" s="43">
        <f>L56+L57+L58+L59+L60+L61+L62+L63</f>
        <v>21932.5</v>
      </c>
      <c r="M64" s="43">
        <f>M56+M57+M58+M59+M60+M61+M62+M63</f>
        <v>44529.61</v>
      </c>
      <c r="N64" s="45">
        <v>251310.8799999999</v>
      </c>
    </row>
    <row r="65" spans="1:14" ht="16" outlineLevel="1">
      <c r="A65" s="34" t="s">
        <v>62</v>
      </c>
      <c r="B65" s="42">
        <v>5506.0</v>
      </c>
      <c r="C65" s="42">
        <v>644.0</v>
      </c>
      <c r="D65" s="42">
        <v>834.0</v>
      </c>
      <c r="E65" s="42">
        <v>6175.0</v>
      </c>
      <c r="F65" s="42">
        <v>2853.0</v>
      </c>
      <c r="G65" s="42">
        <v>834.0</v>
      </c>
      <c r="H65" s="42">
        <v>13141.0</v>
      </c>
      <c r="I65" s="41"/>
      <c r="J65" s="42">
        <v>2504.0</v>
      </c>
      <c r="K65" s="42">
        <v>4398.0</v>
      </c>
      <c r="L65" s="42">
        <v>3347.0</v>
      </c>
      <c r="M65" s="42">
        <v>834.0</v>
      </c>
      <c r="N65" s="42">
        <v>41070.0</v>
      </c>
    </row>
    <row r="66" spans="1:14" ht="16" outlineLevel="1">
      <c r="A66" s="34" t="s">
        <v>63</v>
      </c>
      <c r="B66" s="42">
        <v>288.41</v>
      </c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2">
        <f>B66+C66+D66+E66+F66+G66+H66+I66+J66+B660+B661+B662</f>
        <v>288.41</v>
      </c>
    </row>
    <row r="67" spans="1:14" ht="16" outlineLevel="1">
      <c r="A67" s="34" t="s">
        <v>64</v>
      </c>
      <c r="B67" s="41"/>
      <c r="C67" s="41"/>
      <c r="D67" s="41"/>
      <c r="E67" s="41"/>
      <c r="F67" s="42">
        <v>38584.59</v>
      </c>
      <c r="G67" s="41"/>
      <c r="H67" s="41"/>
      <c r="I67" s="41"/>
      <c r="J67" s="41"/>
      <c r="K67" s="41"/>
      <c r="L67" s="41"/>
      <c r="M67" s="41"/>
      <c r="N67" s="42">
        <f>B67+C67+D67+E67+F67+G67+H67+I67+J67+B670+B671+B672</f>
        <v>38584.59</v>
      </c>
    </row>
    <row r="68" spans="1:14" ht="16" outlineLevel="1">
      <c r="A68" s="34" t="s">
        <v>65</v>
      </c>
      <c r="B68" s="41"/>
      <c r="C68" s="41"/>
      <c r="D68" s="42">
        <v>1656.25</v>
      </c>
      <c r="E68" s="42">
        <v>236.0</v>
      </c>
      <c r="F68" s="41"/>
      <c r="G68" s="42">
        <v>392.5</v>
      </c>
      <c r="H68" s="42">
        <v>1679.97</v>
      </c>
      <c r="I68" s="42">
        <v>405.0</v>
      </c>
      <c r="J68" s="42">
        <v>824.35</v>
      </c>
      <c r="K68" s="42">
        <v>33.0</v>
      </c>
      <c r="L68" s="41"/>
      <c r="M68" s="42">
        <v>1850.2</v>
      </c>
      <c r="N68" s="42">
        <v>7077.27</v>
      </c>
    </row>
    <row r="69" spans="1:14" ht="16" outlineLevel="1">
      <c r="A69" s="34" t="s">
        <v>66</v>
      </c>
      <c r="B69" s="42">
        <v>1641.67</v>
      </c>
      <c r="C69" s="42">
        <v>865.77</v>
      </c>
      <c r="D69" s="42">
        <v>710.86</v>
      </c>
      <c r="E69" s="42">
        <v>1780.1</v>
      </c>
      <c r="F69" s="42">
        <v>2928.11</v>
      </c>
      <c r="G69" s="42">
        <v>2405.99</v>
      </c>
      <c r="H69" s="42">
        <v>3624.82</v>
      </c>
      <c r="I69" s="42">
        <v>1408.13</v>
      </c>
      <c r="J69" s="42">
        <v>3065.94</v>
      </c>
      <c r="K69" s="42">
        <v>2255.78</v>
      </c>
      <c r="L69" s="42">
        <v>2172.01</v>
      </c>
      <c r="M69" s="42">
        <v>9523.42</v>
      </c>
      <c r="N69" s="42">
        <v>32382.6</v>
      </c>
    </row>
    <row r="70" spans="1:14" ht="16" outlineLevel="1">
      <c r="A70" s="34" t="s">
        <v>67</v>
      </c>
      <c r="B70" s="42">
        <v>656.08</v>
      </c>
      <c r="C70" s="42">
        <v>964.54</v>
      </c>
      <c r="D70" s="42">
        <v>678.12</v>
      </c>
      <c r="E70" s="42">
        <v>306.84</v>
      </c>
      <c r="F70" s="42">
        <v>227.98</v>
      </c>
      <c r="G70" s="42">
        <v>286.56</v>
      </c>
      <c r="H70" s="42">
        <v>88.21</v>
      </c>
      <c r="I70" s="42">
        <v>270.0</v>
      </c>
      <c r="J70" s="42">
        <v>271.78</v>
      </c>
      <c r="K70" s="42">
        <v>2091.89</v>
      </c>
      <c r="L70" s="42">
        <v>5220.98</v>
      </c>
      <c r="M70" s="42">
        <v>2102.07</v>
      </c>
      <c r="N70" s="42">
        <v>13165.05</v>
      </c>
    </row>
    <row r="71" spans="1:14" ht="16" outlineLevel="1">
      <c r="A71" s="34" t="s">
        <v>68</v>
      </c>
      <c r="B71" s="42">
        <v>641.1</v>
      </c>
      <c r="C71" s="41"/>
      <c r="D71" s="42">
        <v>843.21</v>
      </c>
      <c r="E71" s="41"/>
      <c r="F71" s="41"/>
      <c r="G71" s="41"/>
      <c r="H71" s="41"/>
      <c r="I71" s="41"/>
      <c r="J71" s="41"/>
      <c r="K71" s="41"/>
      <c r="L71" s="41"/>
      <c r="M71" s="42">
        <v>20.0</v>
      </c>
      <c r="N71" s="42">
        <v>1504.31</v>
      </c>
    </row>
    <row r="72" spans="1:14" ht="16" outlineLevel="1">
      <c r="A72" s="34" t="s">
        <v>69</v>
      </c>
      <c r="B72" s="42">
        <v>15725.77</v>
      </c>
      <c r="C72" s="42">
        <v>937.61</v>
      </c>
      <c r="D72" s="42">
        <v>1097.31</v>
      </c>
      <c r="E72" s="42">
        <v>654.39</v>
      </c>
      <c r="F72" s="42">
        <v>3017.94</v>
      </c>
      <c r="G72" s="42">
        <v>213.97</v>
      </c>
      <c r="H72" s="42">
        <v>261.49</v>
      </c>
      <c r="I72" s="42">
        <v>1207.03</v>
      </c>
      <c r="J72" s="42">
        <v>2240.53</v>
      </c>
      <c r="K72" s="42">
        <v>1102.08</v>
      </c>
      <c r="L72" s="42">
        <v>5414.91</v>
      </c>
      <c r="M72" s="42">
        <v>2612.04</v>
      </c>
      <c r="N72" s="42">
        <v>34485.07</v>
      </c>
    </row>
    <row r="73" spans="1:14" ht="16" outlineLevel="1">
      <c r="A73" s="34" t="s">
        <v>70</v>
      </c>
      <c r="B73" s="42">
        <v>267.45</v>
      </c>
      <c r="C73" s="42">
        <v>1.1</v>
      </c>
      <c r="D73" s="41"/>
      <c r="E73" s="42">
        <v>425.87</v>
      </c>
      <c r="F73" s="42">
        <v>592.45</v>
      </c>
      <c r="G73" s="42">
        <v>4093.02</v>
      </c>
      <c r="H73" s="42">
        <v>637.09</v>
      </c>
      <c r="I73" s="42">
        <v>549.01</v>
      </c>
      <c r="J73" s="42">
        <v>55.12</v>
      </c>
      <c r="K73" s="41"/>
      <c r="L73" s="42">
        <v>103.98</v>
      </c>
      <c r="M73" s="42">
        <v>163.53</v>
      </c>
      <c r="N73" s="42">
        <v>6888.62</v>
      </c>
    </row>
    <row r="74" spans="1:14" ht="16" outlineLevel="1">
      <c r="A74" s="34" t="s">
        <v>71</v>
      </c>
      <c r="B74" s="42">
        <v>9225.0</v>
      </c>
      <c r="C74" s="42">
        <v>5919.2</v>
      </c>
      <c r="D74" s="42">
        <v>81635.59</v>
      </c>
      <c r="E74" s="42">
        <v>2620.0</v>
      </c>
      <c r="F74" s="42">
        <v>4525.5</v>
      </c>
      <c r="G74" s="42">
        <v>1650.0</v>
      </c>
      <c r="H74" s="42">
        <v>28985.58</v>
      </c>
      <c r="I74" s="42">
        <v>10843.57</v>
      </c>
      <c r="J74" s="42">
        <v>40625.73</v>
      </c>
      <c r="K74" s="42">
        <v>17033.64</v>
      </c>
      <c r="L74" s="42">
        <v>4711.0</v>
      </c>
      <c r="M74" s="42">
        <v>14327.89</v>
      </c>
      <c r="N74" s="42">
        <v>222102.7</v>
      </c>
    </row>
    <row r="75" spans="1:14" ht="16" outlineLevel="1">
      <c r="A75" s="34" t="s">
        <v>72</v>
      </c>
      <c r="B75" s="42">
        <v>121.27</v>
      </c>
      <c r="C75" s="42">
        <v>36.46</v>
      </c>
      <c r="D75" s="41"/>
      <c r="E75" s="42">
        <v>365.89</v>
      </c>
      <c r="F75" s="42">
        <v>71.43</v>
      </c>
      <c r="G75" s="42">
        <v>1087.76</v>
      </c>
      <c r="H75" s="42">
        <v>1754.05</v>
      </c>
      <c r="I75" s="42">
        <v>1835.96</v>
      </c>
      <c r="J75" s="42">
        <v>367.76</v>
      </c>
      <c r="K75" s="42">
        <v>855.0</v>
      </c>
      <c r="L75" s="42">
        <v>806.41</v>
      </c>
      <c r="M75" s="42">
        <v>15655.65</v>
      </c>
      <c r="N75" s="42">
        <v>22957.64</v>
      </c>
    </row>
    <row r="76" spans="1:14" ht="16" outlineLevel="1">
      <c r="A76" s="34" t="s">
        <v>73</v>
      </c>
      <c r="B76" s="42">
        <v>603.44</v>
      </c>
      <c r="C76" s="42">
        <v>676.27</v>
      </c>
      <c r="D76" s="42">
        <v>3504.52</v>
      </c>
      <c r="E76" s="42">
        <v>169.99</v>
      </c>
      <c r="F76" s="42">
        <v>169.99</v>
      </c>
      <c r="G76" s="41"/>
      <c r="H76" s="41"/>
      <c r="I76" s="41"/>
      <c r="J76" s="42">
        <v>579.77</v>
      </c>
      <c r="K76" s="42">
        <v>7769.56</v>
      </c>
      <c r="L76" s="42">
        <v>169.99</v>
      </c>
      <c r="M76" s="42">
        <v>7969.99</v>
      </c>
      <c r="N76" s="42">
        <v>21613.52</v>
      </c>
    </row>
    <row r="77" spans="1:14" ht="16" outlineLevel="1">
      <c r="A77" s="34" t="s">
        <v>74</v>
      </c>
      <c r="B77" s="42">
        <v>2919.53</v>
      </c>
      <c r="C77" s="42">
        <v>937.08</v>
      </c>
      <c r="D77" s="42">
        <v>2723.0</v>
      </c>
      <c r="E77" s="42">
        <v>2302.0</v>
      </c>
      <c r="F77" s="42">
        <v>6235.06</v>
      </c>
      <c r="G77" s="42">
        <v>3539.83</v>
      </c>
      <c r="H77" s="42">
        <v>3677.49</v>
      </c>
      <c r="I77" s="42">
        <v>3825.56</v>
      </c>
      <c r="J77" s="42">
        <v>11797.06</v>
      </c>
      <c r="K77" s="42">
        <v>8848.34</v>
      </c>
      <c r="L77" s="42">
        <v>11552.67</v>
      </c>
      <c r="M77" s="42">
        <v>13883.8</v>
      </c>
      <c r="N77" s="42">
        <v>72241.42</v>
      </c>
    </row>
    <row r="78" spans="1:14" ht="16" outlineLevel="1">
      <c r="A78" s="34" t="s">
        <v>75</v>
      </c>
      <c r="B78" s="42">
        <v>2572.37</v>
      </c>
      <c r="C78" s="42">
        <v>2622.37</v>
      </c>
      <c r="D78" s="42">
        <v>4031.22</v>
      </c>
      <c r="E78" s="42">
        <v>4031.22</v>
      </c>
      <c r="F78" s="42">
        <v>3931.22</v>
      </c>
      <c r="G78" s="42">
        <v>3931.22</v>
      </c>
      <c r="H78" s="42">
        <v>18030.22</v>
      </c>
      <c r="I78" s="42">
        <v>19458.22</v>
      </c>
      <c r="J78" s="42">
        <v>23804.24</v>
      </c>
      <c r="K78" s="42">
        <v>21990.86</v>
      </c>
      <c r="L78" s="42">
        <v>11160.21</v>
      </c>
      <c r="M78" s="42">
        <v>39496.93</v>
      </c>
      <c r="N78" s="42">
        <v>155060.3</v>
      </c>
    </row>
    <row r="79" spans="1:14" ht="16" outlineLevel="1">
      <c r="A79" s="34" t="s">
        <v>76</v>
      </c>
      <c r="B79" s="42">
        <v>8577.78</v>
      </c>
      <c r="C79" s="41"/>
      <c r="D79" s="42">
        <v>6341.99</v>
      </c>
      <c r="E79" s="42">
        <v>4288.89</v>
      </c>
      <c r="F79" s="42">
        <v>614.7</v>
      </c>
      <c r="G79" s="42">
        <v>587.96</v>
      </c>
      <c r="H79" s="42">
        <v>7394.12</v>
      </c>
      <c r="I79" s="42">
        <v>1491.37</v>
      </c>
      <c r="J79" s="42">
        <v>5864.13</v>
      </c>
      <c r="K79" s="42">
        <v>6263.89</v>
      </c>
      <c r="L79" s="42">
        <v>3515.61</v>
      </c>
      <c r="M79" s="41"/>
      <c r="N79" s="42">
        <v>44940.439999999995</v>
      </c>
    </row>
    <row r="80" spans="1:14" ht="16" outlineLevel="1">
      <c r="A80" s="34" t="s">
        <v>77</v>
      </c>
      <c r="B80" s="42">
        <v>51.65</v>
      </c>
      <c r="C80" s="41"/>
      <c r="D80" s="42">
        <v>3916.0</v>
      </c>
      <c r="E80" s="42">
        <v>272.7</v>
      </c>
      <c r="F80" s="41"/>
      <c r="G80" s="42">
        <v>34.71</v>
      </c>
      <c r="H80" s="42">
        <v>8019.35</v>
      </c>
      <c r="I80" s="42">
        <v>122.23</v>
      </c>
      <c r="J80" s="42">
        <v>128.65</v>
      </c>
      <c r="K80" s="42">
        <v>3428.27</v>
      </c>
      <c r="L80" s="42">
        <v>220.32</v>
      </c>
      <c r="M80" s="42">
        <v>5308.3</v>
      </c>
      <c r="N80" s="42">
        <v>21502.18</v>
      </c>
    </row>
    <row r="81" spans="1:14" ht="16" outlineLevel="1">
      <c r="A81" s="34" t="s">
        <v>78</v>
      </c>
      <c r="B81" s="42">
        <v>17172.59</v>
      </c>
      <c r="C81" s="42">
        <v>13553.58</v>
      </c>
      <c r="D81" s="42">
        <v>7027.69</v>
      </c>
      <c r="E81" s="42">
        <v>4717.04</v>
      </c>
      <c r="F81" s="42">
        <v>4026.53</v>
      </c>
      <c r="G81" s="42">
        <v>3899.13</v>
      </c>
      <c r="H81" s="42">
        <v>2580.23</v>
      </c>
      <c r="I81" s="42">
        <v>2853.15</v>
      </c>
      <c r="J81" s="42">
        <v>1293.57</v>
      </c>
      <c r="K81" s="42">
        <v>5009.01</v>
      </c>
      <c r="L81" s="42">
        <v>6501.94</v>
      </c>
      <c r="M81" s="42">
        <v>3451.57</v>
      </c>
      <c r="N81" s="42">
        <v>72086.03000000001</v>
      </c>
    </row>
    <row r="82" spans="1:14" ht="16" outlineLevel="1">
      <c r="A82" s="34" t="s">
        <v>79</v>
      </c>
      <c r="B82" s="41"/>
      <c r="C82" s="41"/>
      <c r="D82" s="42">
        <v>3978.0</v>
      </c>
      <c r="E82" s="41"/>
      <c r="F82" s="41"/>
      <c r="G82" s="41"/>
      <c r="H82" s="41"/>
      <c r="I82" s="41"/>
      <c r="J82" s="41"/>
      <c r="K82" s="41"/>
      <c r="L82" s="41"/>
      <c r="M82" s="41"/>
      <c r="N82" s="42">
        <f>B82+C82+D82+E82+F82+G82+H82+I82+J82+B820+B821+B822</f>
        <v>3978.0</v>
      </c>
    </row>
    <row r="83" spans="1:14" ht="16" outlineLevel="1">
      <c r="A83" s="34" t="s">
        <v>80</v>
      </c>
      <c r="B83" s="42">
        <v>6171.78</v>
      </c>
      <c r="C83" s="42">
        <v>2039.27</v>
      </c>
      <c r="D83" s="42">
        <v>638.14</v>
      </c>
      <c r="E83" s="42">
        <v>319.69</v>
      </c>
      <c r="F83" s="42">
        <v>1799.42</v>
      </c>
      <c r="G83" s="42">
        <v>1278.69</v>
      </c>
      <c r="H83" s="42">
        <v>858.36</v>
      </c>
      <c r="I83" s="42">
        <v>8088.07</v>
      </c>
      <c r="J83" s="42">
        <v>6961.07</v>
      </c>
      <c r="K83" s="42">
        <v>3503.73</v>
      </c>
      <c r="L83" s="42">
        <v>761.91</v>
      </c>
      <c r="M83" s="42">
        <v>2783.25</v>
      </c>
      <c r="N83" s="42">
        <v>35203.38</v>
      </c>
    </row>
    <row r="84" spans="1:14" ht="16" outlineLevel="1">
      <c r="A84" s="34" t="s">
        <v>81</v>
      </c>
      <c r="B84" s="42">
        <v>61.01</v>
      </c>
      <c r="C84" s="41"/>
      <c r="D84" s="42">
        <v>180.69</v>
      </c>
      <c r="E84" s="42">
        <v>231.1</v>
      </c>
      <c r="F84" s="42">
        <v>2875.33</v>
      </c>
      <c r="G84" s="42">
        <v>550.38</v>
      </c>
      <c r="H84" s="42">
        <v>667.41</v>
      </c>
      <c r="I84" s="42">
        <v>1931.76</v>
      </c>
      <c r="J84" s="42">
        <v>111.24</v>
      </c>
      <c r="K84" s="42">
        <v>17.91</v>
      </c>
      <c r="L84" s="42">
        <v>99.12</v>
      </c>
      <c r="M84" s="41"/>
      <c r="N84" s="42">
        <v>6725.95</v>
      </c>
    </row>
    <row r="85" spans="1:14" ht="16" outlineLevel="1">
      <c r="A85" s="34" t="s">
        <v>82</v>
      </c>
      <c r="B85" s="42">
        <v>5432.6</v>
      </c>
      <c r="C85" s="41"/>
      <c r="D85" s="42">
        <v>382.0</v>
      </c>
      <c r="E85" s="41"/>
      <c r="F85" s="42">
        <v>1998.27</v>
      </c>
      <c r="G85" s="42">
        <v>273.71</v>
      </c>
      <c r="H85" s="42">
        <v>1175.63</v>
      </c>
      <c r="I85" s="42">
        <v>2544.78</v>
      </c>
      <c r="J85" s="42">
        <v>1466.76</v>
      </c>
      <c r="K85" s="42">
        <v>2958.28</v>
      </c>
      <c r="L85" s="42">
        <v>589.1</v>
      </c>
      <c r="M85" s="42">
        <v>1640.31</v>
      </c>
      <c r="N85" s="42">
        <v>18461.440000000002</v>
      </c>
    </row>
    <row r="86" spans="1:14" ht="16" outlineLevel="1">
      <c r="A86" s="34" t="s">
        <v>83</v>
      </c>
      <c r="B86" s="42">
        <v>1983.35</v>
      </c>
      <c r="C86" s="42">
        <v>1058.83</v>
      </c>
      <c r="D86" s="42">
        <v>2413.37</v>
      </c>
      <c r="E86" s="42">
        <v>1130.7</v>
      </c>
      <c r="F86" s="42">
        <v>3254.01</v>
      </c>
      <c r="G86" s="42">
        <v>3291.29</v>
      </c>
      <c r="H86" s="42">
        <v>1676.3</v>
      </c>
      <c r="I86" s="42">
        <v>1348.33</v>
      </c>
      <c r="J86" s="42">
        <v>1493.69</v>
      </c>
      <c r="K86" s="42">
        <v>3763.83</v>
      </c>
      <c r="L86" s="42">
        <v>1592.58</v>
      </c>
      <c r="M86" s="42">
        <v>4231.29</v>
      </c>
      <c r="N86" s="42">
        <v>27237.57</v>
      </c>
    </row>
    <row r="87" spans="1:14" ht="16" outlineLevel="1">
      <c r="A87" s="34" t="s">
        <v>84</v>
      </c>
      <c r="B87" s="41"/>
      <c r="C87" s="42">
        <v>6226.19</v>
      </c>
      <c r="D87" s="42">
        <v>3727.77</v>
      </c>
      <c r="E87" s="42">
        <v>2123.24</v>
      </c>
      <c r="F87" s="41"/>
      <c r="G87" s="41"/>
      <c r="H87" s="41"/>
      <c r="I87" s="42">
        <v>1.53</v>
      </c>
      <c r="J87" s="41"/>
      <c r="K87" s="42">
        <v>8.5</v>
      </c>
      <c r="L87" s="42">
        <v>7265.59</v>
      </c>
      <c r="M87" s="42">
        <v>14653.54</v>
      </c>
      <c r="N87" s="42">
        <v>34006.36</v>
      </c>
    </row>
    <row r="88" spans="1:14" ht="16" outlineLevel="1">
      <c r="A88" s="34" t="s">
        <v>85</v>
      </c>
      <c r="B88" s="41"/>
      <c r="C88" s="41"/>
      <c r="D88" s="41"/>
      <c r="E88" s="42">
        <v>1014.34</v>
      </c>
      <c r="F88" s="42">
        <v>36.85</v>
      </c>
      <c r="G88" s="42">
        <v>29.0</v>
      </c>
      <c r="H88" s="42">
        <v>759.61</v>
      </c>
      <c r="I88" s="42">
        <v>350.0</v>
      </c>
      <c r="J88" s="41"/>
      <c r="K88" s="42">
        <v>54.5</v>
      </c>
      <c r="L88" s="42">
        <v>50.0</v>
      </c>
      <c r="M88" s="41"/>
      <c r="N88" s="42">
        <v>2294.3</v>
      </c>
    </row>
    <row r="89" spans="1:14" ht="16" outlineLevel="1">
      <c r="A89" s="34" t="s">
        <v>86</v>
      </c>
      <c r="B89" s="42">
        <v>1750.74</v>
      </c>
      <c r="C89" s="42">
        <v>1971.33</v>
      </c>
      <c r="D89" s="42">
        <v>1806.76</v>
      </c>
      <c r="E89" s="42">
        <v>1460.92</v>
      </c>
      <c r="F89" s="42">
        <v>1748.18</v>
      </c>
      <c r="G89" s="42">
        <v>1751.14</v>
      </c>
      <c r="H89" s="42">
        <v>1904.22</v>
      </c>
      <c r="I89" s="42">
        <v>2075.38</v>
      </c>
      <c r="J89" s="42">
        <v>2107.65</v>
      </c>
      <c r="K89" s="42">
        <v>2302.0</v>
      </c>
      <c r="L89" s="42">
        <v>3599.22</v>
      </c>
      <c r="M89" s="42">
        <v>2695.54</v>
      </c>
      <c r="N89" s="42">
        <v>25173.08</v>
      </c>
    </row>
    <row r="90" spans="1:14" ht="16" outlineLevel="1">
      <c r="A90" s="34" t="s">
        <v>87</v>
      </c>
      <c r="B90" s="41"/>
      <c r="C90" s="41"/>
      <c r="D90" s="41"/>
      <c r="E90" s="41"/>
      <c r="F90" s="42">
        <v>309.0</v>
      </c>
      <c r="G90" s="41"/>
      <c r="H90" s="42">
        <v>103.0</v>
      </c>
      <c r="I90" s="41"/>
      <c r="J90" s="41"/>
      <c r="K90" s="42">
        <v>103.0</v>
      </c>
      <c r="L90" s="41"/>
      <c r="M90" s="41"/>
      <c r="N90" s="42">
        <v>515.0</v>
      </c>
    </row>
    <row r="91" spans="1:14" ht="16" outlineLevel="1">
      <c r="A91" s="34" t="s">
        <v>88</v>
      </c>
      <c r="B91" s="42">
        <v>9139.86</v>
      </c>
      <c r="C91" s="42">
        <v>13831.07</v>
      </c>
      <c r="D91" s="42">
        <v>13806.61</v>
      </c>
      <c r="E91" s="42">
        <v>12560.45</v>
      </c>
      <c r="F91" s="42">
        <v>10992.02</v>
      </c>
      <c r="G91" s="42">
        <v>19017.05</v>
      </c>
      <c r="H91" s="42">
        <v>11238.54</v>
      </c>
      <c r="I91" s="42">
        <v>562.54</v>
      </c>
      <c r="J91" s="42">
        <v>4549.81</v>
      </c>
      <c r="K91" s="42">
        <v>4819.19</v>
      </c>
      <c r="L91" s="42">
        <v>3239.11</v>
      </c>
      <c r="M91" s="42">
        <v>3280.01</v>
      </c>
      <c r="N91" s="42">
        <v>107036.26</v>
      </c>
    </row>
    <row r="92" spans="1:14" ht="16" outlineLevel="1">
      <c r="A92" s="34" t="s">
        <v>89</v>
      </c>
      <c r="B92" s="42">
        <v>1999.17</v>
      </c>
      <c r="C92" s="42">
        <v>3380.41</v>
      </c>
      <c r="D92" s="42">
        <v>2303.19</v>
      </c>
      <c r="E92" s="42">
        <v>3164.59</v>
      </c>
      <c r="F92" s="42">
        <v>2140.95</v>
      </c>
      <c r="G92" s="42">
        <v>2754.84</v>
      </c>
      <c r="H92" s="42">
        <v>2030.08</v>
      </c>
      <c r="I92" s="42">
        <v>2229.48</v>
      </c>
      <c r="J92" s="42">
        <v>2702.57</v>
      </c>
      <c r="K92" s="42">
        <v>2930.86</v>
      </c>
      <c r="L92" s="42">
        <v>3582.9</v>
      </c>
      <c r="M92" s="42">
        <v>6447.98</v>
      </c>
      <c r="N92" s="42">
        <v>35667.020000000004</v>
      </c>
    </row>
    <row r="93" spans="1:14" ht="16" outlineLevel="1">
      <c r="A93" s="34" t="s">
        <v>90</v>
      </c>
      <c r="B93" s="42">
        <v>2349.32</v>
      </c>
      <c r="C93" s="42">
        <v>2183.19</v>
      </c>
      <c r="D93" s="42">
        <v>1091.4</v>
      </c>
      <c r="E93" s="42">
        <v>1944.54</v>
      </c>
      <c r="F93" s="42">
        <v>1331.97</v>
      </c>
      <c r="G93" s="42">
        <v>4771.11</v>
      </c>
      <c r="H93" s="42">
        <v>2246.25</v>
      </c>
      <c r="I93" s="42">
        <v>2854.09</v>
      </c>
      <c r="J93" s="42">
        <v>2860.83</v>
      </c>
      <c r="K93" s="42">
        <v>2941.16</v>
      </c>
      <c r="L93" s="42">
        <v>2038.49</v>
      </c>
      <c r="M93" s="42">
        <v>1828.98</v>
      </c>
      <c r="N93" s="42">
        <v>28441.329999999998</v>
      </c>
    </row>
    <row r="94" spans="1:14" ht="16" outlineLevel="1">
      <c r="A94" s="34" t="s">
        <v>91</v>
      </c>
      <c r="B94" s="41"/>
      <c r="C94" s="41"/>
      <c r="D94" s="42">
        <v>7735.0</v>
      </c>
      <c r="E94" s="41"/>
      <c r="F94" s="41"/>
      <c r="G94" s="41"/>
      <c r="H94" s="41"/>
      <c r="I94" s="41"/>
      <c r="J94" s="41"/>
      <c r="K94" s="41"/>
      <c r="L94" s="41"/>
      <c r="M94" s="42">
        <v>1515.22</v>
      </c>
      <c r="N94" s="42">
        <v>9250.22</v>
      </c>
    </row>
    <row r="95" spans="1:14" ht="16" outlineLevel="1">
      <c r="A95" s="34" t="s">
        <v>92</v>
      </c>
      <c r="B95" s="41"/>
      <c r="C95" s="41"/>
      <c r="D95" s="41"/>
      <c r="E95" s="41"/>
      <c r="F95" s="42">
        <v>-94.83</v>
      </c>
      <c r="G95" s="42">
        <v>-1337.0</v>
      </c>
      <c r="H95" s="42">
        <v>1431.83</v>
      </c>
      <c r="I95" s="42">
        <v>1515.22</v>
      </c>
      <c r="J95" s="41"/>
      <c r="K95" s="41"/>
      <c r="L95" s="41"/>
      <c r="M95" s="42">
        <v>-1465.22</v>
      </c>
      <c r="N95" s="42">
        <v>50.0</v>
      </c>
    </row>
    <row r="96" spans="1:14" ht="16" outlineLevel="1">
      <c r="A96" s="34" t="s">
        <v>93</v>
      </c>
      <c r="B96" s="42">
        <v>5088.14</v>
      </c>
      <c r="C96" s="42">
        <v>11421.73</v>
      </c>
      <c r="D96" s="42">
        <v>11097.0</v>
      </c>
      <c r="E96" s="42">
        <v>10390.03</v>
      </c>
      <c r="F96" s="42">
        <v>9624.86</v>
      </c>
      <c r="G96" s="42">
        <v>8125.67</v>
      </c>
      <c r="H96" s="42">
        <v>8759.39</v>
      </c>
      <c r="I96" s="42">
        <v>-6056.77</v>
      </c>
      <c r="J96" s="42">
        <v>7768.49</v>
      </c>
      <c r="K96" s="42">
        <v>8443.31</v>
      </c>
      <c r="L96" s="42">
        <v>6688.87</v>
      </c>
      <c r="M96" s="42">
        <v>5698.23</v>
      </c>
      <c r="N96" s="44">
        <v>87048.95</v>
      </c>
    </row>
    <row r="97" spans="1:14" ht="16">
      <c r="A97" s="37" t="s">
        <v>94</v>
      </c>
      <c r="B97" s="43">
        <f>B39+B40+B41+B42+B43+B44+B45+B46+B47+B48+B49+B50+B51+B52+B53+B54+B55+B64+B65+B66+B67+B68+B69+B70+B71+B72+B73+B74+B75+B76+B77+B78+B79+B80+B81+B82+B83+B84+B85+B86+B87+B88+B89+B90+B91+B92+B93+B94+B95+B96</f>
        <v>274944.04</v>
      </c>
      <c r="C97" s="43">
        <f>C39+C40+C41+C42+C43+C44+C45+C46+C47+C48+C49+C50+C51+C52+C53+C54+C55+C64+C65+C66+C67+C68+C69+C70+C71+C72+C73+C74+C75+C76+C77+C78+C79+C80+C81+C82+C83+C84+C85+C86+C87+C88+C89+C90+C91+C92+C93+C94+C95+C96</f>
        <v>253453.25999999992</v>
      </c>
      <c r="D97" s="43">
        <f>D39+D40+D41+D42+D43+D44+D45+D46+D47+D48+D49+D50+D51+D52+D53+D54+D55+D64+D65+D66+D67+D68+D69+D70+D71+D72+D73+D74+D75+D76+D77+D78+D79+D80+D81+D82+D83+D84+D85+D86+D87+D88+D89+D90+D91+D92+D93+D94+D95+D96</f>
        <v>421980.36000000004</v>
      </c>
      <c r="E97" s="43">
        <f>E39+E40+E41+E42+E43+E44+E45+E46+E47+E48+E49+E50+E51+E52+E53+E54+E55+E64+E65+E66+E67+E68+E69+E70+E71+E72+E73+E74+E75+E76+E77+E78+E79+E80+E81+E82+E83+E84+E85+E86+E87+E88+E89+E90+E91+E92+E93+E94+E95+E96</f>
        <v>257236.4000000001</v>
      </c>
      <c r="F97" s="43">
        <f>F39+F40+F41+F42+F43+F44+F45+F46+F47+F48+F49+F50+F51+F52+F53+F54+F55+F64+F65+F66+F67+F68+F69+F70+F71+F72+F73+F74+F75+F76+F77+F78+F79+F80+F81+F82+F83+F84+F85+F86+F87+F88+F89+F90+F91+F92+F93+F94+F95+F96</f>
        <v>283626.79</v>
      </c>
      <c r="G97" s="43">
        <f>G39+G40+G41+G42+G43+G44+G45+G46+G47+G48+G49+G50+G51+G52+G53+G54+G55+G64+G65+G66+G67+G68+G69+G70+G71+G72+G73+G74+G75+G76+G77+G78+G79+G80+G81+G82+G83+G84+G85+G86+G87+G88+G89+G90+G91+G92+G93+G94+G95+G96</f>
        <v>251404.91999999993</v>
      </c>
      <c r="H97" s="43">
        <f>H39+H40+H41+H42+H43+H44+H45+H46+H47+H48+H49+H50+H51+H52+H53+H54+H55+H64+H65+H66+H67+H68+H69+H70+H71+H72+H73+H74+H75+H76+H77+H78+H79+H80+H81+H82+H83+H84+H85+H86+H87+H88+H89+H90+H91+H92+H93+H94+H95+H96</f>
        <v>316493.50999999995</v>
      </c>
      <c r="I97" s="43">
        <f>I39+I40+I41+I42+I43+I44+I45+I46+I47+I48+I49+I50+I51+I52+I53+I54+I55+I64+I65+I66+I67+I68+I69+I70+I71+I72+I73+I74+I75+I76+I77+I78+I79+I80+I81+I82+I83+I84+I85+I86+I87+I88+I89+I90+I91+I92+I93+I94+I95+I96</f>
        <v>348565.39000000013</v>
      </c>
      <c r="J97" s="43">
        <f>J39+J40+J41+J42+J43+J44+J45+J46+J47+J48+J49+J50+J51+J52+J53+J54+J55+J64+J65+J66+J67+J68+J69+J70+J71+J72+J73+J74+J75+J76+J77+J78+J79+J80+J81+J82+J83+J84+J85+J86+J87+J88+J89+J90+J91+J92+J93+J94+J95+J96</f>
        <v>249349.01999999996</v>
      </c>
      <c r="K97" s="43">
        <f>K39+K40+K41+K42+K43+K44+K45+K46+K47+K48+K49+K50+K51+K52+K53+K54+K55+K64+K65+K66+K67+K68+K69+K70+K71+K72+K73+K74+K75+K76+K77+K78+K79+K80+K81+K82+K83+K84+K85+K86+K87+K88+K89+K90+K91+K92+K93+K94+K95+K96</f>
        <v>233275.09000000003</v>
      </c>
      <c r="L97" s="43">
        <f>L39+L40+L41+L42+L43+L44+L45+L46+L47+L48+L49+L50+L51+L52+L53+L54+L55+L64+L65+L66+L67+L68+L69+L70+L71+L72+L73+L74+L75+L76+L77+L78+L79+L80+L81+L82+L83+L84+L85+L86+L87+L88+L89+L90+L91+L92+L93+L94+L95+L96</f>
        <v>298075.75</v>
      </c>
      <c r="M97" s="43">
        <f>M39+M40+M41+M42+M43+M44+M45+M46+M47+M48+M49+M50+M51+M52+M53+M54+M55+M64+M65+M66+M67+M68+M69+M70+M71+M72+M73+M74+M75+M76+M77+M78+M79+M80+M81+M82+M83+M84+M85+M86+M87+M88+M89+M90+M91+M92+M93+M94+M95+M96</f>
        <v>609603.9000000001</v>
      </c>
      <c r="N97" s="46">
        <v>3798008.4299999997</v>
      </c>
    </row>
    <row r="98" spans="1:14" ht="16">
      <c r="A98" s="37" t="s">
        <v>95</v>
      </c>
      <c r="B98" s="43">
        <f>B33-B97</f>
        <v>-541938.1799999999</v>
      </c>
      <c r="C98" s="43">
        <f>C33-C97</f>
        <v>-173718.43999999992</v>
      </c>
      <c r="D98" s="43">
        <f>D33-D97</f>
        <v>239763.25000000006</v>
      </c>
      <c r="E98" s="43">
        <f>E33-E97</f>
        <v>-43761.25000000009</v>
      </c>
      <c r="F98" s="43">
        <f>F33-F97</f>
        <v>74515.73000000004</v>
      </c>
      <c r="G98" s="43">
        <f>G33-G97</f>
        <v>13486.590000000084</v>
      </c>
      <c r="H98" s="43">
        <f>H33-H97</f>
        <v>-4721.899999999907</v>
      </c>
      <c r="I98" s="43">
        <f>I33-I97</f>
        <v>-82622.28000000014</v>
      </c>
      <c r="J98" s="43">
        <f>J33-J97</f>
        <v>55609.87000000005</v>
      </c>
      <c r="K98" s="43">
        <f>K33-K97</f>
        <v>-100669.09000000003</v>
      </c>
      <c r="L98" s="43">
        <f>L33-L97</f>
        <v>86865.29000000004</v>
      </c>
      <c r="M98" s="43">
        <f>M33-M97</f>
        <v>-118345.68000000017</v>
      </c>
      <c r="N98" s="45">
        <v>-595536.0899999985</v>
      </c>
    </row>
    <row r="99" spans="1:13" ht="16">
      <c r="A99" s="33" t="s">
        <v>96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</row>
    <row r="100" spans="1:14" ht="16" outlineLevel="1">
      <c r="A100" s="34" t="s">
        <v>97</v>
      </c>
      <c r="B100" s="42">
        <v>1469.0</v>
      </c>
      <c r="C100" s="41"/>
      <c r="D100" s="41"/>
      <c r="E100" s="41"/>
      <c r="F100" s="41"/>
      <c r="G100" s="41"/>
      <c r="H100" s="41"/>
      <c r="I100" s="41"/>
      <c r="J100" s="41"/>
      <c r="K100" s="42">
        <v>41273.56</v>
      </c>
      <c r="L100" s="41"/>
      <c r="M100" s="41"/>
      <c r="N100" s="44">
        <v>42742.56</v>
      </c>
    </row>
    <row r="101" spans="1:14" ht="16">
      <c r="A101" s="37" t="s">
        <v>98</v>
      </c>
      <c r="B101" s="43">
        <f>B100</f>
        <v>1469.0</v>
      </c>
      <c r="C101" s="43"/>
      <c r="D101" s="43"/>
      <c r="E101" s="43"/>
      <c r="F101" s="43"/>
      <c r="G101" s="43"/>
      <c r="H101" s="43"/>
      <c r="I101" s="43"/>
      <c r="J101" s="43"/>
      <c r="K101" s="43">
        <f>K100</f>
        <v>41273.56</v>
      </c>
      <c r="L101" s="43"/>
      <c r="M101" s="43"/>
      <c r="N101" s="45">
        <v>42742.56</v>
      </c>
    </row>
    <row r="102" spans="1:13" ht="16">
      <c r="A102" s="33" t="s">
        <v>99</v>
      </c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</row>
    <row r="103" spans="1:14" ht="16" outlineLevel="1">
      <c r="A103" s="34" t="s">
        <v>100</v>
      </c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2">
        <v>71836.21</v>
      </c>
      <c r="N103" s="44">
        <v>71836.21</v>
      </c>
    </row>
    <row r="104" spans="1:14" ht="16">
      <c r="A104" s="37" t="s">
        <v>101</v>
      </c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>
        <f>M103</f>
        <v>71836.21</v>
      </c>
      <c r="N104" s="46">
        <v>71836.21</v>
      </c>
    </row>
    <row r="105" spans="1:14" ht="16">
      <c r="A105" s="37" t="s">
        <v>102</v>
      </c>
      <c r="B105" s="43">
        <f>B101-B104</f>
        <v>1469.0</v>
      </c>
      <c r="C105" s="43"/>
      <c r="D105" s="43"/>
      <c r="E105" s="43"/>
      <c r="F105" s="43"/>
      <c r="G105" s="43"/>
      <c r="H105" s="43"/>
      <c r="I105" s="43"/>
      <c r="J105" s="43"/>
      <c r="K105" s="43">
        <f>K101-K104</f>
        <v>41273.56</v>
      </c>
      <c r="L105" s="43"/>
      <c r="M105" s="43">
        <f>M101-M104</f>
        <v>-71836.21</v>
      </c>
      <c r="N105" s="46">
        <v>-29093.65000000001</v>
      </c>
    </row>
    <row r="106" spans="1:14" ht="16">
      <c r="A106" s="37" t="s">
        <v>103</v>
      </c>
      <c r="B106" s="43">
        <f>B98+B105</f>
        <v>-540469.1799999999</v>
      </c>
      <c r="C106" s="43">
        <f>C98+C105</f>
        <v>-173718.43999999992</v>
      </c>
      <c r="D106" s="43">
        <f>D98+D105</f>
        <v>239763.25000000006</v>
      </c>
      <c r="E106" s="43">
        <f>E98+E105</f>
        <v>-43761.25000000009</v>
      </c>
      <c r="F106" s="43">
        <f>F98+F105</f>
        <v>74515.73000000004</v>
      </c>
      <c r="G106" s="43">
        <f>G98+G105</f>
        <v>13486.590000000084</v>
      </c>
      <c r="H106" s="43">
        <f>H98+H105</f>
        <v>-4721.899999999907</v>
      </c>
      <c r="I106" s="43">
        <f>I98+I105</f>
        <v>-82622.28000000014</v>
      </c>
      <c r="J106" s="43">
        <f>J98+J105</f>
        <v>55609.87000000005</v>
      </c>
      <c r="K106" s="43">
        <f>K98+K105</f>
        <v>-59395.53000000003</v>
      </c>
      <c r="L106" s="43">
        <f>L98+L105</f>
        <v>86865.29000000004</v>
      </c>
      <c r="M106" s="43">
        <f>M98+M105</f>
        <v>-190181.8900000002</v>
      </c>
      <c r="N106" s="45">
        <v>-624629.7399999985</v>
      </c>
    </row>
    <row r="110" spans="1:1" ht="16">
      <c r="A110" s="47" t="s">
        <v>118</v>
      </c>
    </row>
  </sheetData>
  <mergeCells count="4">
    <mergeCell ref="A1:N1"/>
    <mergeCell ref="A2:N2"/>
    <mergeCell ref="A3:N3"/>
    <mergeCell ref="A110:N11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